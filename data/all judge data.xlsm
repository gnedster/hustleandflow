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624"/>
  <workbookPr date1904="1" showInkAnnotation="0" autoCompressPictures="0"/>
  <bookViews>
    <workbookView xWindow="6560" yWindow="0" windowWidth="22100" windowHeight="14840" tabRatio="500" activeTab="3"/>
  </bookViews>
  <sheets>
    <sheet name="Sheet5" sheetId="6" r:id="rId1"/>
    <sheet name="judges" sheetId="1" r:id="rId2"/>
    <sheet name="Sheet6" sheetId="7" r:id="rId3"/>
    <sheet name="combined data (paired by gift)" sheetId="2" r:id="rId4"/>
    <sheet name="donors" sheetId="3" r:id="rId5"/>
  </sheets>
  <definedNames>
    <definedName name="_xlnm._FilterDatabase" localSheetId="3" hidden="1">'combined data (paired by gift)'!$D$1:$D$727</definedName>
    <definedName name="_xlnm._FilterDatabase" localSheetId="1" hidden="1">judges!$A$1:$I$1684</definedName>
  </definedNames>
  <calcPr calcId="140001" concurrentCalc="0"/>
  <pivotCaches>
    <pivotCache cacheId="45" r:id="rId6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G727" i="2"/>
  <c r="G721" i="2"/>
  <c r="G716" i="2"/>
  <c r="G713" i="2"/>
  <c r="G711" i="2"/>
  <c r="G710" i="2"/>
  <c r="G707" i="2"/>
  <c r="G705" i="2"/>
  <c r="G696" i="2"/>
  <c r="G695" i="2"/>
  <c r="G665" i="2"/>
  <c r="G664" i="2"/>
  <c r="G660" i="2"/>
  <c r="G658" i="2"/>
  <c r="G653" i="2"/>
  <c r="G652" i="2"/>
  <c r="G648" i="2"/>
  <c r="G633" i="2"/>
  <c r="G628" i="2"/>
  <c r="G625" i="2"/>
  <c r="G622" i="2"/>
  <c r="G621" i="2"/>
  <c r="G620" i="2"/>
  <c r="G608" i="2"/>
  <c r="G600" i="2"/>
  <c r="G593" i="2"/>
  <c r="G588" i="2"/>
  <c r="G575" i="2"/>
  <c r="G569" i="2"/>
  <c r="G568" i="2"/>
  <c r="G564" i="2"/>
  <c r="G551" i="2"/>
  <c r="G546" i="2"/>
  <c r="G545" i="2"/>
  <c r="G544" i="2"/>
  <c r="G543" i="2"/>
  <c r="G542" i="2"/>
  <c r="G539" i="2"/>
  <c r="G538" i="2"/>
  <c r="G537" i="2"/>
  <c r="G530" i="2"/>
  <c r="G529" i="2"/>
  <c r="G526" i="2"/>
  <c r="G525" i="2"/>
  <c r="G524" i="2"/>
  <c r="G523" i="2"/>
  <c r="G518" i="2"/>
  <c r="G515" i="2"/>
  <c r="G506" i="2"/>
  <c r="G505" i="2"/>
  <c r="G499" i="2"/>
  <c r="G498" i="2"/>
  <c r="G497" i="2"/>
  <c r="G496" i="2"/>
  <c r="G494" i="2"/>
  <c r="G493" i="2"/>
  <c r="G484" i="2"/>
  <c r="G480" i="2"/>
  <c r="G477" i="2"/>
  <c r="G475" i="2"/>
  <c r="G474" i="2"/>
  <c r="G471" i="2"/>
  <c r="G463" i="2"/>
  <c r="G461" i="2"/>
  <c r="G450" i="2"/>
  <c r="G449" i="2"/>
  <c r="G442" i="2"/>
  <c r="G440" i="2"/>
  <c r="G437" i="2"/>
  <c r="G436" i="2"/>
  <c r="G434" i="2"/>
  <c r="G430" i="2"/>
  <c r="G429" i="2"/>
  <c r="G428" i="2"/>
  <c r="G426" i="2"/>
  <c r="G424" i="2"/>
  <c r="G420" i="2"/>
  <c r="G417" i="2"/>
  <c r="G416" i="2"/>
  <c r="G408" i="2"/>
  <c r="G407" i="2"/>
  <c r="G404" i="2"/>
  <c r="G393" i="2"/>
  <c r="G390" i="2"/>
  <c r="G380" i="2"/>
  <c r="G376" i="2"/>
  <c r="G366" i="2"/>
  <c r="G363" i="2"/>
  <c r="G362" i="2"/>
  <c r="G360" i="2"/>
  <c r="G359" i="2"/>
  <c r="G358" i="2"/>
  <c r="G352" i="2"/>
  <c r="G349" i="2"/>
  <c r="G348" i="2"/>
  <c r="G347" i="2"/>
  <c r="G344" i="2"/>
  <c r="G343" i="2"/>
  <c r="G342" i="2"/>
  <c r="G341" i="2"/>
  <c r="G340" i="2"/>
  <c r="G338" i="2"/>
  <c r="G336" i="2"/>
  <c r="G335" i="2"/>
  <c r="G333" i="2"/>
  <c r="G331" i="2"/>
  <c r="G330" i="2"/>
  <c r="G309" i="2"/>
  <c r="G308" i="2"/>
  <c r="G305" i="2"/>
  <c r="G303" i="2"/>
  <c r="G299" i="2"/>
  <c r="G297" i="2"/>
  <c r="G290" i="2"/>
  <c r="G288" i="2"/>
  <c r="G285" i="2"/>
  <c r="G272" i="2"/>
  <c r="G265" i="2"/>
  <c r="G263" i="2"/>
  <c r="G255" i="2"/>
  <c r="G249" i="2"/>
  <c r="G248" i="2"/>
  <c r="G246" i="2"/>
  <c r="G244" i="2"/>
  <c r="G243" i="2"/>
  <c r="G242" i="2"/>
  <c r="G235" i="2"/>
  <c r="G233" i="2"/>
  <c r="G224" i="2"/>
  <c r="G205" i="2"/>
  <c r="G204" i="2"/>
  <c r="G202" i="2"/>
  <c r="G198" i="2"/>
  <c r="G196" i="2"/>
  <c r="G192" i="2"/>
  <c r="G188" i="2"/>
  <c r="G180" i="2"/>
  <c r="G179" i="2"/>
  <c r="G177" i="2"/>
  <c r="G176" i="2"/>
  <c r="G170" i="2"/>
  <c r="G166" i="2"/>
  <c r="G165" i="2"/>
  <c r="G162" i="2"/>
  <c r="G153" i="2"/>
  <c r="G152" i="2"/>
  <c r="G151" i="2"/>
  <c r="G149" i="2"/>
  <c r="G137" i="2"/>
  <c r="G136" i="2"/>
  <c r="G133" i="2"/>
  <c r="G132" i="2"/>
  <c r="G130" i="2"/>
  <c r="G127" i="2"/>
  <c r="G125" i="2"/>
  <c r="G121" i="2"/>
  <c r="G120" i="2"/>
  <c r="G119" i="2"/>
  <c r="G111" i="2"/>
  <c r="G104" i="2"/>
  <c r="G103" i="2"/>
  <c r="G100" i="2"/>
  <c r="G99" i="2"/>
  <c r="G98" i="2"/>
  <c r="G96" i="2"/>
  <c r="G95" i="2"/>
  <c r="G88" i="2"/>
  <c r="G87" i="2"/>
  <c r="G85" i="2"/>
  <c r="G81" i="2"/>
  <c r="G75" i="2"/>
  <c r="G74" i="2"/>
  <c r="G72" i="2"/>
  <c r="G71" i="2"/>
  <c r="G69" i="2"/>
  <c r="G67" i="2"/>
  <c r="G63" i="2"/>
  <c r="G59" i="2"/>
  <c r="G54" i="2"/>
  <c r="G50" i="2"/>
  <c r="G49" i="2"/>
  <c r="G48" i="2"/>
  <c r="G44" i="2"/>
  <c r="G43" i="2"/>
  <c r="G42" i="2"/>
  <c r="G41" i="2"/>
  <c r="G39" i="2"/>
  <c r="G35" i="2"/>
  <c r="G33" i="2"/>
  <c r="G21" i="2"/>
  <c r="G18" i="2"/>
  <c r="G17" i="2"/>
  <c r="G14" i="2"/>
  <c r="G13" i="2"/>
  <c r="G7" i="2"/>
  <c r="G6" i="2"/>
  <c r="G5" i="2"/>
  <c r="G3" i="2"/>
  <c r="G2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726" i="2"/>
  <c r="G725" i="2"/>
  <c r="G724" i="2"/>
  <c r="G723" i="2"/>
  <c r="G722" i="2"/>
  <c r="G720" i="2"/>
  <c r="G719" i="2"/>
  <c r="G718" i="2"/>
  <c r="G717" i="2"/>
  <c r="G715" i="2"/>
  <c r="G714" i="2"/>
  <c r="G712" i="2"/>
  <c r="G709" i="2"/>
  <c r="G708" i="2"/>
  <c r="G706" i="2"/>
  <c r="G704" i="2"/>
  <c r="G703" i="2"/>
  <c r="G702" i="2"/>
  <c r="G701" i="2"/>
  <c r="G700" i="2"/>
  <c r="G699" i="2"/>
  <c r="G698" i="2"/>
  <c r="G697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3" i="2"/>
  <c r="G662" i="2"/>
  <c r="G661" i="2"/>
  <c r="G659" i="2"/>
  <c r="G657" i="2"/>
  <c r="G656" i="2"/>
  <c r="G655" i="2"/>
  <c r="G654" i="2"/>
  <c r="G651" i="2"/>
  <c r="G650" i="2"/>
  <c r="G649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2" i="2"/>
  <c r="G631" i="2"/>
  <c r="G630" i="2"/>
  <c r="G629" i="2"/>
  <c r="G627" i="2"/>
  <c r="G626" i="2"/>
  <c r="G624" i="2"/>
  <c r="G623" i="2"/>
  <c r="G619" i="2"/>
  <c r="G618" i="2"/>
  <c r="G617" i="2"/>
  <c r="G616" i="2"/>
  <c r="G615" i="2"/>
  <c r="G614" i="2"/>
  <c r="G613" i="2"/>
  <c r="G612" i="2"/>
  <c r="G611" i="2"/>
  <c r="G610" i="2"/>
  <c r="G609" i="2"/>
  <c r="G607" i="2"/>
  <c r="G606" i="2"/>
  <c r="G605" i="2"/>
  <c r="G604" i="2"/>
  <c r="G603" i="2"/>
  <c r="G602" i="2"/>
  <c r="G601" i="2"/>
  <c r="G599" i="2"/>
  <c r="G598" i="2"/>
  <c r="G597" i="2"/>
  <c r="G596" i="2"/>
  <c r="G595" i="2"/>
  <c r="G594" i="2"/>
  <c r="G592" i="2"/>
  <c r="G591" i="2"/>
  <c r="G590" i="2"/>
  <c r="G589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4" i="2"/>
  <c r="G573" i="2"/>
  <c r="G572" i="2"/>
  <c r="G571" i="2"/>
  <c r="G570" i="2"/>
  <c r="G567" i="2"/>
  <c r="G566" i="2"/>
  <c r="G565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0" i="2"/>
  <c r="G549" i="2"/>
  <c r="G548" i="2"/>
  <c r="G547" i="2"/>
  <c r="G541" i="2"/>
  <c r="G540" i="2"/>
  <c r="G536" i="2"/>
  <c r="G535" i="2"/>
  <c r="G534" i="2"/>
  <c r="G533" i="2"/>
  <c r="G532" i="2"/>
  <c r="G531" i="2"/>
  <c r="G528" i="2"/>
  <c r="G527" i="2"/>
  <c r="G522" i="2"/>
  <c r="G521" i="2"/>
  <c r="G520" i="2"/>
  <c r="G519" i="2"/>
  <c r="G517" i="2"/>
  <c r="G516" i="2"/>
  <c r="G514" i="2"/>
  <c r="G513" i="2"/>
  <c r="G512" i="2"/>
  <c r="G511" i="2"/>
  <c r="G510" i="2"/>
  <c r="G509" i="2"/>
  <c r="G508" i="2"/>
  <c r="G507" i="2"/>
  <c r="G504" i="2"/>
  <c r="G503" i="2"/>
  <c r="G502" i="2"/>
  <c r="G501" i="2"/>
  <c r="G500" i="2"/>
  <c r="G495" i="2"/>
  <c r="G492" i="2"/>
  <c r="G491" i="2"/>
  <c r="G490" i="2"/>
  <c r="G489" i="2"/>
  <c r="G488" i="2"/>
  <c r="G487" i="2"/>
  <c r="G486" i="2"/>
  <c r="G485" i="2"/>
  <c r="G483" i="2"/>
  <c r="G482" i="2"/>
  <c r="G481" i="2"/>
  <c r="G479" i="2"/>
  <c r="G478" i="2"/>
  <c r="G476" i="2"/>
  <c r="G473" i="2"/>
  <c r="G472" i="2"/>
  <c r="G470" i="2"/>
  <c r="G469" i="2"/>
  <c r="G468" i="2"/>
  <c r="G467" i="2"/>
  <c r="G466" i="2"/>
  <c r="G465" i="2"/>
  <c r="G464" i="2"/>
  <c r="G462" i="2"/>
  <c r="G460" i="2"/>
  <c r="G459" i="2"/>
  <c r="G458" i="2"/>
  <c r="G457" i="2"/>
  <c r="G456" i="2"/>
  <c r="G455" i="2"/>
  <c r="G454" i="2"/>
  <c r="G453" i="2"/>
  <c r="G452" i="2"/>
  <c r="G451" i="2"/>
  <c r="G448" i="2"/>
  <c r="G447" i="2"/>
  <c r="G446" i="2"/>
  <c r="G445" i="2"/>
  <c r="G444" i="2"/>
  <c r="G443" i="2"/>
  <c r="G441" i="2"/>
  <c r="G439" i="2"/>
  <c r="G438" i="2"/>
  <c r="G435" i="2"/>
  <c r="G433" i="2"/>
  <c r="G432" i="2"/>
  <c r="G431" i="2"/>
  <c r="G427" i="2"/>
  <c r="G425" i="2"/>
  <c r="G423" i="2"/>
  <c r="G422" i="2"/>
  <c r="G421" i="2"/>
  <c r="G419" i="2"/>
  <c r="G418" i="2"/>
  <c r="G415" i="2"/>
  <c r="G414" i="2"/>
  <c r="G413" i="2"/>
  <c r="G412" i="2"/>
  <c r="G411" i="2"/>
  <c r="G410" i="2"/>
  <c r="G409" i="2"/>
  <c r="G406" i="2"/>
  <c r="G405" i="2"/>
  <c r="G403" i="2"/>
  <c r="G402" i="2"/>
  <c r="G401" i="2"/>
  <c r="G400" i="2"/>
  <c r="G399" i="2"/>
  <c r="G398" i="2"/>
  <c r="G397" i="2"/>
  <c r="G396" i="2"/>
  <c r="G395" i="2"/>
  <c r="G394" i="2"/>
  <c r="G392" i="2"/>
  <c r="G391" i="2"/>
  <c r="G389" i="2"/>
  <c r="G388" i="2"/>
  <c r="G387" i="2"/>
  <c r="G386" i="2"/>
  <c r="G385" i="2"/>
  <c r="G384" i="2"/>
  <c r="G383" i="2"/>
  <c r="G382" i="2"/>
  <c r="G381" i="2"/>
  <c r="G379" i="2"/>
  <c r="G378" i="2"/>
  <c r="G377" i="2"/>
  <c r="G375" i="2"/>
  <c r="G374" i="2"/>
  <c r="G373" i="2"/>
  <c r="G372" i="2"/>
  <c r="G371" i="2"/>
  <c r="G370" i="2"/>
  <c r="G369" i="2"/>
  <c r="G368" i="2"/>
  <c r="G367" i="2"/>
  <c r="G365" i="2"/>
  <c r="G364" i="2"/>
  <c r="G361" i="2"/>
  <c r="G357" i="2"/>
  <c r="G356" i="2"/>
  <c r="G355" i="2"/>
  <c r="G354" i="2"/>
  <c r="G353" i="2"/>
  <c r="G351" i="2"/>
  <c r="G350" i="2"/>
  <c r="G346" i="2"/>
  <c r="G345" i="2"/>
  <c r="G339" i="2"/>
  <c r="G337" i="2"/>
  <c r="G334" i="2"/>
  <c r="G332" i="2"/>
  <c r="G329" i="2"/>
  <c r="G328" i="2"/>
  <c r="G327" i="2"/>
  <c r="G326" i="2"/>
  <c r="G325" i="2"/>
  <c r="G324" i="2"/>
  <c r="G323" i="2"/>
  <c r="G322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G307" i="2"/>
  <c r="G306" i="2"/>
  <c r="G304" i="2"/>
  <c r="G302" i="2"/>
  <c r="G301" i="2"/>
  <c r="G300" i="2"/>
  <c r="G298" i="2"/>
  <c r="G296" i="2"/>
  <c r="G295" i="2"/>
  <c r="G294" i="2"/>
  <c r="G293" i="2"/>
  <c r="G292" i="2"/>
  <c r="G291" i="2"/>
  <c r="G289" i="2"/>
  <c r="G287" i="2"/>
  <c r="G286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1" i="2"/>
  <c r="G270" i="2"/>
  <c r="G269" i="2"/>
  <c r="G268" i="2"/>
  <c r="G267" i="2"/>
  <c r="G266" i="2"/>
  <c r="G264" i="2"/>
  <c r="G262" i="2"/>
  <c r="G261" i="2"/>
  <c r="G260" i="2"/>
  <c r="G259" i="2"/>
  <c r="G258" i="2"/>
  <c r="G257" i="2"/>
  <c r="G256" i="2"/>
  <c r="G254" i="2"/>
  <c r="G253" i="2"/>
  <c r="G252" i="2"/>
  <c r="G251" i="2"/>
  <c r="G250" i="2"/>
  <c r="G247" i="2"/>
  <c r="G245" i="2"/>
  <c r="G241" i="2"/>
  <c r="G240" i="2"/>
  <c r="G239" i="2"/>
  <c r="G238" i="2"/>
  <c r="G237" i="2"/>
  <c r="G236" i="2"/>
  <c r="G234" i="2"/>
  <c r="G232" i="2"/>
  <c r="G231" i="2"/>
  <c r="G230" i="2"/>
  <c r="G229" i="2"/>
  <c r="G228" i="2"/>
  <c r="G227" i="2"/>
  <c r="G226" i="2"/>
  <c r="G225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3" i="2"/>
  <c r="G201" i="2"/>
  <c r="G200" i="2"/>
  <c r="G199" i="2"/>
  <c r="G197" i="2"/>
  <c r="G195" i="2"/>
  <c r="G194" i="2"/>
  <c r="G193" i="2"/>
  <c r="G191" i="2"/>
  <c r="G190" i="2"/>
  <c r="G189" i="2"/>
  <c r="G187" i="2"/>
  <c r="G186" i="2"/>
  <c r="G185" i="2"/>
  <c r="G184" i="2"/>
  <c r="G183" i="2"/>
  <c r="G182" i="2"/>
  <c r="G181" i="2"/>
  <c r="G178" i="2"/>
  <c r="G175" i="2"/>
  <c r="G174" i="2"/>
  <c r="G173" i="2"/>
  <c r="G172" i="2"/>
  <c r="G171" i="2"/>
  <c r="G169" i="2"/>
  <c r="G168" i="2"/>
  <c r="G167" i="2"/>
  <c r="G164" i="2"/>
  <c r="G163" i="2"/>
  <c r="G161" i="2"/>
  <c r="G160" i="2"/>
  <c r="G159" i="2"/>
  <c r="G158" i="2"/>
  <c r="G157" i="2"/>
  <c r="G156" i="2"/>
  <c r="G155" i="2"/>
  <c r="G154" i="2"/>
  <c r="G150" i="2"/>
  <c r="G148" i="2"/>
  <c r="G147" i="2"/>
  <c r="G146" i="2"/>
  <c r="G145" i="2"/>
  <c r="G144" i="2"/>
  <c r="G143" i="2"/>
  <c r="G142" i="2"/>
  <c r="G141" i="2"/>
  <c r="G140" i="2"/>
  <c r="G139" i="2"/>
  <c r="G138" i="2"/>
  <c r="G135" i="2"/>
  <c r="G134" i="2"/>
  <c r="G131" i="2"/>
  <c r="G129" i="2"/>
  <c r="G128" i="2"/>
  <c r="G126" i="2"/>
  <c r="G124" i="2"/>
  <c r="G123" i="2"/>
  <c r="G122" i="2"/>
  <c r="G118" i="2"/>
  <c r="G117" i="2"/>
  <c r="G116" i="2"/>
  <c r="G115" i="2"/>
  <c r="G114" i="2"/>
  <c r="G113" i="2"/>
  <c r="G112" i="2"/>
  <c r="G110" i="2"/>
  <c r="G109" i="2"/>
  <c r="G108" i="2"/>
  <c r="G107" i="2"/>
  <c r="G106" i="2"/>
  <c r="G105" i="2"/>
  <c r="G102" i="2"/>
  <c r="G101" i="2"/>
  <c r="G97" i="2"/>
  <c r="G94" i="2"/>
  <c r="G93" i="2"/>
  <c r="G92" i="2"/>
  <c r="G91" i="2"/>
  <c r="G90" i="2"/>
  <c r="G89" i="2"/>
  <c r="G86" i="2"/>
  <c r="G84" i="2"/>
  <c r="G83" i="2"/>
  <c r="G82" i="2"/>
  <c r="G80" i="2"/>
  <c r="G79" i="2"/>
  <c r="G78" i="2"/>
  <c r="G77" i="2"/>
  <c r="G76" i="2"/>
  <c r="G73" i="2"/>
  <c r="G70" i="2"/>
  <c r="G68" i="2"/>
  <c r="G66" i="2"/>
  <c r="G65" i="2"/>
  <c r="G64" i="2"/>
  <c r="G62" i="2"/>
  <c r="G61" i="2"/>
  <c r="G60" i="2"/>
  <c r="G58" i="2"/>
  <c r="G57" i="2"/>
  <c r="G56" i="2"/>
  <c r="G55" i="2"/>
  <c r="G53" i="2"/>
  <c r="G52" i="2"/>
  <c r="G51" i="2"/>
  <c r="G47" i="2"/>
  <c r="G46" i="2"/>
  <c r="G45" i="2"/>
  <c r="G40" i="2"/>
  <c r="G38" i="2"/>
  <c r="G37" i="2"/>
  <c r="G36" i="2"/>
  <c r="G34" i="2"/>
  <c r="G32" i="2"/>
  <c r="G31" i="2"/>
  <c r="G30" i="2"/>
  <c r="G29" i="2"/>
  <c r="G28" i="2"/>
  <c r="G27" i="2"/>
  <c r="G26" i="2"/>
  <c r="G25" i="2"/>
  <c r="G24" i="2"/>
  <c r="G23" i="2"/>
  <c r="G22" i="2"/>
  <c r="G20" i="2"/>
  <c r="G19" i="2"/>
  <c r="G16" i="2"/>
  <c r="G15" i="2"/>
  <c r="G12" i="2"/>
  <c r="G11" i="2"/>
  <c r="G10" i="2"/>
  <c r="G9" i="2"/>
  <c r="G8" i="2"/>
  <c r="G4" i="2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2" i="1"/>
</calcChain>
</file>

<file path=xl/sharedStrings.xml><?xml version="1.0" encoding="utf-8"?>
<sst xmlns="http://schemas.openxmlformats.org/spreadsheetml/2006/main" count="13292" uniqueCount="4891">
  <si>
    <t>judge_id</t>
  </si>
  <si>
    <t xml:space="preserve"> zuniga</t>
  </si>
  <si>
    <t xml:space="preserve"> barbara</t>
  </si>
  <si>
    <t xml:space="preserve"> ann</t>
  </si>
  <si>
    <t xml:space="preserve"> </t>
  </si>
  <si>
    <t xml:space="preserve"> zika</t>
  </si>
  <si>
    <t xml:space="preserve"> patrick</t>
  </si>
  <si>
    <t xml:space="preserve"> john</t>
  </si>
  <si>
    <t xml:space="preserve"> superior court of the state of california</t>
  </si>
  <si>
    <t xml:space="preserve"> county of alameda</t>
  </si>
  <si>
    <t xml:space="preserve"> judge</t>
  </si>
  <si>
    <t xml:space="preserve"> zepeda-madrid</t>
  </si>
  <si>
    <t xml:space="preserve"> carrie</t>
  </si>
  <si>
    <t xml:space="preserve"> ajimura</t>
  </si>
  <si>
    <t xml:space="preserve"> superior court of california county of santa clara</t>
  </si>
  <si>
    <t xml:space="preserve"> santa clara county</t>
  </si>
  <si>
    <t xml:space="preserve"> zelon</t>
  </si>
  <si>
    <t xml:space="preserve"> laurie</t>
  </si>
  <si>
    <t xml:space="preserve"> dee</t>
  </si>
  <si>
    <t xml:space="preserve"> court of appeal</t>
  </si>
  <si>
    <t xml:space="preserve"> second appellate district</t>
  </si>
  <si>
    <t xml:space="preserve"> justice</t>
  </si>
  <si>
    <t xml:space="preserve"> zeidler</t>
  </si>
  <si>
    <t xml:space="preserve"> daniel</t>
  </si>
  <si>
    <t xml:space="preserve"> zeke</t>
  </si>
  <si>
    <t xml:space="preserve"> los angeles superior court</t>
  </si>
  <si>
    <t xml:space="preserve"> zeff</t>
  </si>
  <si>
    <t xml:space="preserve"> thomas</t>
  </si>
  <si>
    <t xml:space="preserve"> david</t>
  </si>
  <si>
    <t xml:space="preserve"> stanislaus county superior court</t>
  </si>
  <si>
    <t xml:space="preserve"> zecher</t>
  </si>
  <si>
    <t xml:space="preserve"> vanessa</t>
  </si>
  <si>
    <t xml:space="preserve"> superior court of california</t>
  </si>
  <si>
    <t xml:space="preserve"> zayner</t>
  </si>
  <si>
    <t xml:space="preserve"> theodore</t>
  </si>
  <si>
    <t xml:space="preserve"> charles</t>
  </si>
  <si>
    <t xml:space="preserve"> superior court judge</t>
  </si>
  <si>
    <t xml:space="preserve"> zacky</t>
  </si>
  <si>
    <t xml:space="preserve"> hayden</t>
  </si>
  <si>
    <t xml:space="preserve"> a</t>
  </si>
  <si>
    <t xml:space="preserve"> county of los angeles</t>
  </si>
  <si>
    <t xml:space="preserve"> yriarte</t>
  </si>
  <si>
    <t xml:space="preserve"> geanene</t>
  </si>
  <si>
    <t xml:space="preserve"> marie</t>
  </si>
  <si>
    <t xml:space="preserve"> young</t>
  </si>
  <si>
    <t xml:space="preserve"> mark</t>
  </si>
  <si>
    <t xml:space="preserve"> los angeles county superior court</t>
  </si>
  <si>
    <t xml:space="preserve"> bruce</t>
  </si>
  <si>
    <t xml:space="preserve"> alan</t>
  </si>
  <si>
    <t xml:space="preserve"> superior court</t>
  </si>
  <si>
    <t xml:space="preserve"> ventura county</t>
  </si>
  <si>
    <t xml:space="preserve"> yew</t>
  </si>
  <si>
    <t xml:space="preserve"> erica</t>
  </si>
  <si>
    <t xml:space="preserve"> r</t>
  </si>
  <si>
    <t xml:space="preserve"> california superior court</t>
  </si>
  <si>
    <t xml:space="preserve"> santa clara</t>
  </si>
  <si>
    <t xml:space="preserve"> yep</t>
  </si>
  <si>
    <t xml:space="preserve"> brian</t>
  </si>
  <si>
    <t xml:space="preserve"> north district</t>
  </si>
  <si>
    <t xml:space="preserve"> yegan</t>
  </si>
  <si>
    <t xml:space="preserve"> kenneth</t>
  </si>
  <si>
    <t xml:space="preserve"> joseph a. lane</t>
  </si>
  <si>
    <t xml:space="preserve"> second appellate district division six</t>
  </si>
  <si>
    <t xml:space="preserve"> yeager</t>
  </si>
  <si>
    <t xml:space="preserve"> christopher</t>
  </si>
  <si>
    <t xml:space="preserve"> w.</t>
  </si>
  <si>
    <t xml:space="preserve"> county of imperial</t>
  </si>
  <si>
    <t xml:space="preserve"> yaggy</t>
  </si>
  <si>
    <t xml:space="preserve"> carol</t>
  </si>
  <si>
    <t xml:space="preserve"> coates</t>
  </si>
  <si>
    <t xml:space="preserve"> san francisco</t>
  </si>
  <si>
    <t xml:space="preserve"> yabuno</t>
  </si>
  <si>
    <t xml:space="preserve"> robert</t>
  </si>
  <si>
    <t xml:space="preserve"> glenn</t>
  </si>
  <si>
    <t xml:space="preserve"> san bernardino superior court</t>
  </si>
  <si>
    <t xml:space="preserve"> wright</t>
  </si>
  <si>
    <t xml:space="preserve"> victor</t>
  </si>
  <si>
    <t xml:space="preserve"> l</t>
  </si>
  <si>
    <t xml:space="preserve"> department o</t>
  </si>
  <si>
    <t xml:space="preserve"> ryan</t>
  </si>
  <si>
    <t xml:space="preserve"> joseph</t>
  </si>
  <si>
    <t xml:space="preserve"> county of ventura</t>
  </si>
  <si>
    <t xml:space="preserve"> worley</t>
  </si>
  <si>
    <t xml:space="preserve"> ventura county superior court</t>
  </si>
  <si>
    <t xml:space="preserve"> east county courthouse</t>
  </si>
  <si>
    <t xml:space="preserve"> woolard</t>
  </si>
  <si>
    <t xml:space="preserve"> charlotte</t>
  </si>
  <si>
    <t xml:space="preserve"> walter</t>
  </si>
  <si>
    <t xml:space="preserve"> san francisco superior court</t>
  </si>
  <si>
    <t xml:space="preserve"> woodward</t>
  </si>
  <si>
    <t xml:space="preserve"> james</t>
  </si>
  <si>
    <t xml:space="preserve"> p.</t>
  </si>
  <si>
    <t xml:space="preserve"> trinity county superior court</t>
  </si>
  <si>
    <t xml:space="preserve"> cory</t>
  </si>
  <si>
    <t xml:space="preserve"> j.</t>
  </si>
  <si>
    <t xml:space="preserve"> county of kern</t>
  </si>
  <si>
    <t xml:space="preserve"> woods jr.</t>
  </si>
  <si>
    <t xml:space="preserve"> norvell</t>
  </si>
  <si>
    <t xml:space="preserve"> frederick (fred)</t>
  </si>
  <si>
    <t xml:space="preserve"> woods</t>
  </si>
  <si>
    <t xml:space="preserve"> margie</t>
  </si>
  <si>
    <t xml:space="preserve"> san diego superior court</t>
  </si>
  <si>
    <t xml:space="preserve"> n/a</t>
  </si>
  <si>
    <t xml:space="preserve"> judge of the superior court</t>
  </si>
  <si>
    <t xml:space="preserve"> woodhouse</t>
  </si>
  <si>
    <t xml:space="preserve"> derek</t>
  </si>
  <si>
    <t xml:space="preserve"> santa clara county superior court</t>
  </si>
  <si>
    <t xml:space="preserve"> wood</t>
  </si>
  <si>
    <t xml:space="preserve"> gerrit</t>
  </si>
  <si>
    <t xml:space="preserve"> wardell</t>
  </si>
  <si>
    <t xml:space="preserve"> superior court state of california sacramento county</t>
  </si>
  <si>
    <t xml:space="preserve"> wong</t>
  </si>
  <si>
    <t xml:space="preserve"> garrett</t>
  </si>
  <si>
    <t xml:space="preserve"> lee</t>
  </si>
  <si>
    <t xml:space="preserve"> san francisco county superior court</t>
  </si>
  <si>
    <t xml:space="preserve"> wojcik</t>
  </si>
  <si>
    <t xml:space="preserve"> albert</t>
  </si>
  <si>
    <t xml:space="preserve"> superior court of californiacounty of riverside</t>
  </si>
  <si>
    <t xml:space="preserve"> southwest justice center</t>
  </si>
  <si>
    <t xml:space="preserve"> wohlfeil</t>
  </si>
  <si>
    <t xml:space="preserve"> joel</t>
  </si>
  <si>
    <t xml:space="preserve"> robin</t>
  </si>
  <si>
    <t xml:space="preserve"> witt</t>
  </si>
  <si>
    <t xml:space="preserve"> gary</t>
  </si>
  <si>
    <t xml:space="preserve"> ralph</t>
  </si>
  <si>
    <t xml:space="preserve"> wiss</t>
  </si>
  <si>
    <t xml:space="preserve"> mary</t>
  </si>
  <si>
    <t xml:space="preserve"> e.</t>
  </si>
  <si>
    <t xml:space="preserve"> wiseman</t>
  </si>
  <si>
    <t xml:space="preserve"> rebecca</t>
  </si>
  <si>
    <t xml:space="preserve"> court of appeal 5th district associate justice</t>
  </si>
  <si>
    <t xml:space="preserve"> winn</t>
  </si>
  <si>
    <t xml:space="preserve"> county of sacramento</t>
  </si>
  <si>
    <t xml:space="preserve"> windham</t>
  </si>
  <si>
    <t xml:space="preserve"> e</t>
  </si>
  <si>
    <t xml:space="preserve"> los angeles county</t>
  </si>
  <si>
    <t xml:space="preserve"> wilson</t>
  </si>
  <si>
    <t xml:space="preserve"> superior court orange county</t>
  </si>
  <si>
    <t xml:space="preserve"> wilson jr.</t>
  </si>
  <si>
    <t xml:space="preserve"> harold</t>
  </si>
  <si>
    <t xml:space="preserve"> t</t>
  </si>
  <si>
    <t xml:space="preserve"> county of san bernardino/central district</t>
  </si>
  <si>
    <t xml:space="preserve"> guy</t>
  </si>
  <si>
    <t xml:space="preserve"> humboldt county superior court</t>
  </si>
  <si>
    <t xml:space="preserve"> wills</t>
  </si>
  <si>
    <t xml:space="preserve"> warren</t>
  </si>
  <si>
    <t xml:space="preserve"> monterey county superior court</t>
  </si>
  <si>
    <t xml:space="preserve"> willis</t>
  </si>
  <si>
    <t xml:space="preserve"> browder</t>
  </si>
  <si>
    <t xml:space="preserve"> williams</t>
  </si>
  <si>
    <t xml:space="preserve"> anthony</t>
  </si>
  <si>
    <t xml:space="preserve"> county of san bernardino/rancho cucamonga district</t>
  </si>
  <si>
    <t xml:space="preserve"> willhite</t>
  </si>
  <si>
    <t xml:space="preserve"> lyle</t>
  </si>
  <si>
    <t xml:space="preserve"> willett</t>
  </si>
  <si>
    <t xml:space="preserve"> william</t>
  </si>
  <si>
    <t xml:space="preserve"> g.</t>
  </si>
  <si>
    <t xml:space="preserve"> edwin</t>
  </si>
  <si>
    <t xml:space="preserve"> central district los angeles</t>
  </si>
  <si>
    <t xml:space="preserve"> wiley</t>
  </si>
  <si>
    <t xml:space="preserve"> monica</t>
  </si>
  <si>
    <t xml:space="preserve"> f.</t>
  </si>
  <si>
    <t xml:space="preserve"> shepard</t>
  </si>
  <si>
    <t xml:space="preserve"> wieland</t>
  </si>
  <si>
    <t xml:space="preserve"> madera county superior court</t>
  </si>
  <si>
    <t xml:space="preserve"> widdifield</t>
  </si>
  <si>
    <t xml:space="preserve"> melissa</t>
  </si>
  <si>
    <t xml:space="preserve"> noel</t>
  </si>
  <si>
    <t xml:space="preserve"> wick</t>
  </si>
  <si>
    <t xml:space="preserve"> arthur</t>
  </si>
  <si>
    <t xml:space="preserve"> andrew</t>
  </si>
  <si>
    <t xml:space="preserve"> sonoma county</t>
  </si>
  <si>
    <t xml:space="preserve"> whitney</t>
  </si>
  <si>
    <t xml:space="preserve"> richard</t>
  </si>
  <si>
    <t xml:space="preserve"> s.</t>
  </si>
  <si>
    <t xml:space="preserve"> whitleymarshall ivan</t>
  </si>
  <si>
    <t xml:space="preserve"> alameda county</t>
  </si>
  <si>
    <t xml:space="preserve"> whitehead</t>
  </si>
  <si>
    <t xml:space="preserve"> denise</t>
  </si>
  <si>
    <t xml:space="preserve"> superior court of california - fresno county</t>
  </si>
  <si>
    <t xml:space="preserve"> white</t>
  </si>
  <si>
    <t xml:space="preserve"> trevor</t>
  </si>
  <si>
    <t xml:space="preserve"> s</t>
  </si>
  <si>
    <t xml:space="preserve"> stephen</t>
  </si>
  <si>
    <t xml:space="preserve"> superior court of california county of sacramento</t>
  </si>
  <si>
    <t xml:space="preserve"> randall</t>
  </si>
  <si>
    <t xml:space="preserve"> d.</t>
  </si>
  <si>
    <t xml:space="preserve"> riverside</t>
  </si>
  <si>
    <t xml:space="preserve"> kathleen</t>
  </si>
  <si>
    <t xml:space="preserve"> m.</t>
  </si>
  <si>
    <t xml:space="preserve"> yolo county</t>
  </si>
  <si>
    <t xml:space="preserve"> elizabeth</t>
  </si>
  <si>
    <t xml:space="preserve"> allen</t>
  </si>
  <si>
    <t xml:space="preserve"> colleen</t>
  </si>
  <si>
    <t xml:space="preserve"> toy</t>
  </si>
  <si>
    <t xml:space="preserve"> white-brown</t>
  </si>
  <si>
    <t xml:space="preserve"> gloria</t>
  </si>
  <si>
    <t xml:space="preserve"> lynn</t>
  </si>
  <si>
    <t xml:space="preserve"> superior court of california county of los angeles</t>
  </si>
  <si>
    <t xml:space="preserve"> indge</t>
  </si>
  <si>
    <t xml:space="preserve"> wheeldin</t>
  </si>
  <si>
    <t xml:space="preserve"> county of sonoma commissioner</t>
  </si>
  <si>
    <t xml:space="preserve"> wheatley</t>
  </si>
  <si>
    <t xml:space="preserve"> diana merline</t>
  </si>
  <si>
    <t xml:space="preserve"> west</t>
  </si>
  <si>
    <t xml:space="preserve"> katrina</t>
  </si>
  <si>
    <t xml:space="preserve"> carl</t>
  </si>
  <si>
    <t xml:space="preserve"> wesley</t>
  </si>
  <si>
    <t xml:space="preserve"> werdegar</t>
  </si>
  <si>
    <t xml:space="preserve"> kathryn</t>
  </si>
  <si>
    <t xml:space="preserve"> mickle</t>
  </si>
  <si>
    <t xml:space="preserve"> california supreme court</t>
  </si>
  <si>
    <t xml:space="preserve"> associate justice</t>
  </si>
  <si>
    <t xml:space="preserve"> wells</t>
  </si>
  <si>
    <t xml:space="preserve"> kerry</t>
  </si>
  <si>
    <t xml:space="preserve"> dale</t>
  </si>
  <si>
    <t xml:space="preserve"> riverside superior court</t>
  </si>
  <si>
    <t xml:space="preserve"> riverside county- indio branch</t>
  </si>
  <si>
    <t xml:space="preserve"> welch</t>
  </si>
  <si>
    <t xml:space="preserve"> michael</t>
  </si>
  <si>
    <t xml:space="preserve"> county of san bernardino probate division</t>
  </si>
  <si>
    <t xml:space="preserve"> weintraub</t>
  </si>
  <si>
    <t xml:space="preserve"> debre katz</t>
  </si>
  <si>
    <t xml:space="preserve"> atz</t>
  </si>
  <si>
    <t xml:space="preserve"> judge superior court</t>
  </si>
  <si>
    <t xml:space="preserve"> court</t>
  </si>
  <si>
    <t xml:space="preserve"> debre</t>
  </si>
  <si>
    <t xml:space="preserve"> katz</t>
  </si>
  <si>
    <t xml:space="preserve"> judge superior c</t>
  </si>
  <si>
    <t xml:space="preserve"> ourt</t>
  </si>
  <si>
    <t xml:space="preserve"> weiner</t>
  </si>
  <si>
    <t xml:space="preserve"> superior court of california county of san mateo</t>
  </si>
  <si>
    <t xml:space="preserve"> weinbach</t>
  </si>
  <si>
    <t xml:space="preserve"> elia</t>
  </si>
  <si>
    <t xml:space="preserve"> stanley mosk famility 2d</t>
  </si>
  <si>
    <t xml:space="preserve"> weil</t>
  </si>
  <si>
    <t xml:space="preserve"> edward</t>
  </si>
  <si>
    <t xml:space="preserve"> george</t>
  </si>
  <si>
    <t xml:space="preserve"> webster</t>
  </si>
  <si>
    <t xml:space="preserve"> allen joseph</t>
  </si>
  <si>
    <t xml:space="preserve"> jn</t>
  </si>
  <si>
    <t xml:space="preserve"> weber</t>
  </si>
  <si>
    <t xml:space="preserve"> joan</t>
  </si>
  <si>
    <t xml:space="preserve"> weathers</t>
  </si>
  <si>
    <t xml:space="preserve"> watson william</t>
  </si>
  <si>
    <t xml:space="preserve"> waters</t>
  </si>
  <si>
    <t xml:space="preserve"> sharon</t>
  </si>
  <si>
    <t xml:space="preserve"> county of riverside</t>
  </si>
  <si>
    <t xml:space="preserve"> wasserman</t>
  </si>
  <si>
    <t xml:space="preserve"> fumiko</t>
  </si>
  <si>
    <t xml:space="preserve"> h</t>
  </si>
  <si>
    <t xml:space="preserve"> warner</t>
  </si>
  <si>
    <t xml:space="preserve"> p</t>
  </si>
  <si>
    <t xml:space="preserve"> wapner</t>
  </si>
  <si>
    <t xml:space="preserve"> frederick</t>
  </si>
  <si>
    <t xml:space="preserve"> nathan</t>
  </si>
  <si>
    <t xml:space="preserve"> waltz</t>
  </si>
  <si>
    <t xml:space="preserve"> l.</t>
  </si>
  <si>
    <t xml:space="preserve"> walton</t>
  </si>
  <si>
    <t xml:space="preserve"> laura</t>
  </si>
  <si>
    <t xml:space="preserve"> raene</t>
  </si>
  <si>
    <t xml:space="preserve"> dana</t>
  </si>
  <si>
    <t xml:space="preserve"> mariposa county superior court</t>
  </si>
  <si>
    <t xml:space="preserve"> walsh</t>
  </si>
  <si>
    <t xml:space="preserve"> timothy</t>
  </si>
  <si>
    <t xml:space="preserve"> r.</t>
  </si>
  <si>
    <t xml:space="preserve"> henry</t>
  </si>
  <si>
    <t xml:space="preserve"> connor</t>
  </si>
  <si>
    <t xml:space="preserve"> santa clara co.</t>
  </si>
  <si>
    <t xml:space="preserve"> walmark</t>
  </si>
  <si>
    <t xml:space="preserve"> foster</t>
  </si>
  <si>
    <t xml:space="preserve"> walker</t>
  </si>
  <si>
    <t xml:space="preserve"> hugh</t>
  </si>
  <si>
    <t xml:space="preserve"> arnold</t>
  </si>
  <si>
    <t xml:space="preserve"> california alameda county</t>
  </si>
  <si>
    <t xml:space="preserve"> wagoner</t>
  </si>
  <si>
    <t xml:space="preserve"> el dorado county</t>
  </si>
  <si>
    <t xml:space="preserve"> wachob</t>
  </si>
  <si>
    <t xml:space="preserve"> placer county superior court</t>
  </si>
  <si>
    <t xml:space="preserve"> vortmann</t>
  </si>
  <si>
    <t xml:space="preserve"> paul</t>
  </si>
  <si>
    <t xml:space="preserve"> tulare county superior court</t>
  </si>
  <si>
    <t xml:space="preserve"> von kalinowski</t>
  </si>
  <si>
    <t xml:space="preserve"> sim</t>
  </si>
  <si>
    <t xml:space="preserve"> volkmann</t>
  </si>
  <si>
    <t xml:space="preserve"> superior court sanota court county</t>
  </si>
  <si>
    <t xml:space="preserve"> superior court santa cruz county</t>
  </si>
  <si>
    <t xml:space="preserve"> vogt</t>
  </si>
  <si>
    <t xml:space="preserve"> f</t>
  </si>
  <si>
    <t xml:space="preserve"> county of fresno</t>
  </si>
  <si>
    <t xml:space="preserve"> vlavianos</t>
  </si>
  <si>
    <t xml:space="preserve"> superior cout of califormia</t>
  </si>
  <si>
    <t xml:space="preserve"> county of san joaquin</t>
  </si>
  <si>
    <t xml:space="preserve"> virga</t>
  </si>
  <si>
    <t xml:space="preserve"> villarreal</t>
  </si>
  <si>
    <t xml:space="preserve"> lydia</t>
  </si>
  <si>
    <t xml:space="preserve"> montaray country</t>
  </si>
  <si>
    <t xml:space="preserve"> yillos de longonia</t>
  </si>
  <si>
    <t xml:space="preserve"> mary lou</t>
  </si>
  <si>
    <t xml:space="preserve"> central district</t>
  </si>
  <si>
    <t xml:space="preserve"> villapudua</t>
  </si>
  <si>
    <t xml:space="preserve"> xapuri</t>
  </si>
  <si>
    <t xml:space="preserve"> brandt</t>
  </si>
  <si>
    <t xml:space="preserve"> san joaquin county superior court</t>
  </si>
  <si>
    <t xml:space="preserve"> villalobos</t>
  </si>
  <si>
    <t xml:space="preserve"> rene</t>
  </si>
  <si>
    <t xml:space="preserve"> riverside county desert branch</t>
  </si>
  <si>
    <t xml:space="preserve"> vilardi</t>
  </si>
  <si>
    <t xml:space="preserve"> alice</t>
  </si>
  <si>
    <t xml:space="preserve"> hayward hall of justice</t>
  </si>
  <si>
    <t xml:space="preserve"> vicencia</t>
  </si>
  <si>
    <t xml:space="preserve"> verderosa</t>
  </si>
  <si>
    <t xml:space="preserve"> michele</t>
  </si>
  <si>
    <t xml:space="preserve"> tajang</t>
  </si>
  <si>
    <t xml:space="preserve"> superior court of california county of lassen</t>
  </si>
  <si>
    <t xml:space="preserve"> verastegui</t>
  </si>
  <si>
    <t xml:space="preserve"> yvette</t>
  </si>
  <si>
    <t xml:space="preserve"> vega</t>
  </si>
  <si>
    <t xml:space="preserve"> louie</t>
  </si>
  <si>
    <t xml:space="preserve"> superior cort of california</t>
  </si>
  <si>
    <t xml:space="preserve"> county of kem</t>
  </si>
  <si>
    <t xml:space="preserve"> veals</t>
  </si>
  <si>
    <t xml:space="preserve"> craig</t>
  </si>
  <si>
    <t xml:space="preserve"> elliott</t>
  </si>
  <si>
    <t xml:space="preserve"> vazquez</t>
  </si>
  <si>
    <t xml:space="preserve"> carlos</t>
  </si>
  <si>
    <t xml:space="preserve"> enrique</t>
  </si>
  <si>
    <t xml:space="preserve"> vasquez</t>
  </si>
  <si>
    <t xml:space="preserve"> emily</t>
  </si>
  <si>
    <t xml:space="preserve"> vargas</t>
  </si>
  <si>
    <t xml:space="preserve"> luis</t>
  </si>
  <si>
    <t xml:space="preserve"> vanderet</t>
  </si>
  <si>
    <t xml:space="preserve"> c.</t>
  </si>
  <si>
    <t xml:space="preserve"> vander lans</t>
  </si>
  <si>
    <t xml:space="preserve"> judith</t>
  </si>
  <si>
    <t xml:space="preserve"> vander feer</t>
  </si>
  <si>
    <t xml:space="preserve"> peter</t>
  </si>
  <si>
    <t xml:space="preserve"> county of san bernadino</t>
  </si>
  <si>
    <t xml:space="preserve"> van sicklen</t>
  </si>
  <si>
    <t xml:space="preserve"> steven</t>
  </si>
  <si>
    <t xml:space="preserve"> read</t>
  </si>
  <si>
    <t xml:space="preserve"> van oss</t>
  </si>
  <si>
    <t xml:space="preserve"> terrence</t>
  </si>
  <si>
    <t xml:space="preserve"> van camp</t>
  </si>
  <si>
    <t xml:space="preserve"> valentine jr.</t>
  </si>
  <si>
    <t xml:space="preserve"> leo</t>
  </si>
  <si>
    <t xml:space="preserve"> valencia</t>
  </si>
  <si>
    <t xml:space="preserve"> jesus</t>
  </si>
  <si>
    <t xml:space="preserve"> vrie</t>
  </si>
  <si>
    <t xml:space="preserve"> phillip</t>
  </si>
  <si>
    <t xml:space="preserve"> relyea</t>
  </si>
  <si>
    <t xml:space="preserve"> uranga</t>
  </si>
  <si>
    <t xml:space="preserve"> unger</t>
  </si>
  <si>
    <t xml:space="preserve"> cynda</t>
  </si>
  <si>
    <t xml:space="preserve"> riggins</t>
  </si>
  <si>
    <t xml:space="preserve"> soland county superior court</t>
  </si>
  <si>
    <t xml:space="preserve"> judicial office no.2 (dept.5)</t>
  </si>
  <si>
    <t xml:space="preserve"> ulmer</t>
  </si>
  <si>
    <t xml:space="preserve"> b</t>
  </si>
  <si>
    <t xml:space="preserve"> superior court san francisco</t>
  </si>
  <si>
    <t xml:space="preserve"> ulloa</t>
  </si>
  <si>
    <t xml:space="preserve"> juan</t>
  </si>
  <si>
    <t xml:space="preserve"> (nmn)</t>
  </si>
  <si>
    <t xml:space="preserve"> imperial county</t>
  </si>
  <si>
    <t xml:space="preserve"> ulfig</t>
  </si>
  <si>
    <t xml:space="preserve"> cynthia</t>
  </si>
  <si>
    <t xml:space="preserve"> leigh</t>
  </si>
  <si>
    <t xml:space="preserve"> superior court of california los angeles</t>
  </si>
  <si>
    <t xml:space="preserve"> uhler</t>
  </si>
  <si>
    <t xml:space="preserve"> ingrid</t>
  </si>
  <si>
    <t xml:space="preserve"> adamson</t>
  </si>
  <si>
    <t xml:space="preserve"> superior court of california county of san bernardino</t>
  </si>
  <si>
    <t xml:space="preserve"> fontana district</t>
  </si>
  <si>
    <t xml:space="preserve"> tynan</t>
  </si>
  <si>
    <t xml:space="preserve"> superior court - state of califonia</t>
  </si>
  <si>
    <t xml:space="preserve"> twisselman ii</t>
  </si>
  <si>
    <t xml:space="preserve"> twiss robert m.</t>
  </si>
  <si>
    <t xml:space="preserve"> sacramento county</t>
  </si>
  <si>
    <t xml:space="preserve"> twede</t>
  </si>
  <si>
    <t xml:space="preserve"> superior court of california county of glenn</t>
  </si>
  <si>
    <t xml:space="preserve"> turner</t>
  </si>
  <si>
    <t xml:space="preserve"> jerold</t>
  </si>
  <si>
    <t xml:space="preserve"> tsenin</t>
  </si>
  <si>
    <t xml:space="preserve"> ksenia</t>
  </si>
  <si>
    <t xml:space="preserve"> kay</t>
  </si>
  <si>
    <t xml:space="preserve"> true john</t>
  </si>
  <si>
    <t xml:space="preserve"> marshalliii</t>
  </si>
  <si>
    <t xml:space="preserve"> alameda county superior court</t>
  </si>
  <si>
    <t xml:space="preserve"> trice</t>
  </si>
  <si>
    <t xml:space="preserve"> alexander</t>
  </si>
  <si>
    <t xml:space="preserve"> state of calif. s.l.c. county sup. ct.</t>
  </si>
  <si>
    <t xml:space="preserve"> treu</t>
  </si>
  <si>
    <t xml:space="preserve"> rolf</t>
  </si>
  <si>
    <t xml:space="preserve"> county of los angelesdept 58</t>
  </si>
  <si>
    <t xml:space="preserve"> trentacosta</t>
  </si>
  <si>
    <t xml:space="preserve"> treat</t>
  </si>
  <si>
    <t xml:space="preserve"> trask</t>
  </si>
  <si>
    <t xml:space="preserve"> trapp</t>
  </si>
  <si>
    <t xml:space="preserve"> randa</t>
  </si>
  <si>
    <t xml:space="preserve"> tranbarger</t>
  </si>
  <si>
    <t xml:space="preserve"> b.</t>
  </si>
  <si>
    <t xml:space="preserve"> torribio</t>
  </si>
  <si>
    <t xml:space="preserve"> torrealbia</t>
  </si>
  <si>
    <t xml:space="preserve"> shelly</t>
  </si>
  <si>
    <t xml:space="preserve"> toohey</t>
  </si>
  <si>
    <t xml:space="preserve"> francis</t>
  </si>
  <si>
    <t xml:space="preserve"> tondreau</t>
  </si>
  <si>
    <t xml:space="preserve"> eugene</t>
  </si>
  <si>
    <t xml:space="preserve"> tondreau patrick eugene</t>
  </si>
  <si>
    <t xml:space="preserve"> tomberlin</t>
  </si>
  <si>
    <t xml:space="preserve"> m</t>
  </si>
  <si>
    <t xml:space="preserve"> county of san bernardino</t>
  </si>
  <si>
    <t xml:space="preserve"> toff</t>
  </si>
  <si>
    <t xml:space="preserve"> ronald</t>
  </si>
  <si>
    <t xml:space="preserve"> i.</t>
  </si>
  <si>
    <t xml:space="preserve"> todd kathryn doi</t>
  </si>
  <si>
    <t xml:space="preserve"> tobias harry</t>
  </si>
  <si>
    <t xml:space="preserve"> harry j</t>
  </si>
  <si>
    <t xml:space="preserve"> titus</t>
  </si>
  <si>
    <t xml:space="preserve"> patricia</t>
  </si>
  <si>
    <t xml:space="preserve"> department 6</t>
  </si>
  <si>
    <t xml:space="preserve"> tisher</t>
  </si>
  <si>
    <t xml:space="preserve"> napa superior court</t>
  </si>
  <si>
    <t xml:space="preserve"> tipton</t>
  </si>
  <si>
    <t xml:space="preserve"> leland</t>
  </si>
  <si>
    <t xml:space="preserve"> herbert</t>
  </si>
  <si>
    <t xml:space="preserve"> superior court - bellflower courthouse</t>
  </si>
  <si>
    <t xml:space="preserve"> southeast</t>
  </si>
  <si>
    <t xml:space="preserve"> tillmon</t>
  </si>
  <si>
    <t xml:space="preserve"> bobbi</t>
  </si>
  <si>
    <t xml:space="preserve"> tigar</t>
  </si>
  <si>
    <t xml:space="preserve"> jon</t>
  </si>
  <si>
    <t xml:space="preserve"> thorbourne</t>
  </si>
  <si>
    <t xml:space="preserve"> raoul</t>
  </si>
  <si>
    <t xml:space="preserve"> sacramento</t>
  </si>
  <si>
    <t xml:space="preserve"> thomsen</t>
  </si>
  <si>
    <t xml:space="preserve"> scott</t>
  </si>
  <si>
    <t xml:space="preserve"> superior court of california county of nevada</t>
  </si>
  <si>
    <t xml:space="preserve"> thompson stanley</t>
  </si>
  <si>
    <t xml:space="preserve"> trina</t>
  </si>
  <si>
    <t xml:space="preserve"> felony jury trials and domestic violence</t>
  </si>
  <si>
    <t xml:space="preserve"> thompson</t>
  </si>
  <si>
    <t xml:space="preserve"> nicholas</t>
  </si>
  <si>
    <t xml:space="preserve"> six</t>
  </si>
  <si>
    <t xml:space="preserve"> north justice center</t>
  </si>
  <si>
    <t xml:space="preserve"> east county division</t>
  </si>
  <si>
    <t xml:space="preserve"> jeffrey</t>
  </si>
  <si>
    <t xml:space="preserve"> a.</t>
  </si>
  <si>
    <t xml:space="preserve"> superior court of callfornia</t>
  </si>
  <si>
    <t xml:space="preserve"> county of colusa</t>
  </si>
  <si>
    <t xml:space="preserve"> thomasson</t>
  </si>
  <si>
    <t xml:space="preserve"> lauren</t>
  </si>
  <si>
    <t xml:space="preserve"> thistlethwaite jamie</t>
  </si>
  <si>
    <t xml:space="preserve"> ellen</t>
  </si>
  <si>
    <t xml:space="preserve"> thierbach</t>
  </si>
  <si>
    <t xml:space="preserve"> christian</t>
  </si>
  <si>
    <t xml:space="preserve"> superior court of californa-country of riverside</t>
  </si>
  <si>
    <t xml:space="preserve"> tharpe</t>
  </si>
  <si>
    <t xml:space="preserve"> tyler</t>
  </si>
  <si>
    <t xml:space="preserve"> fresno superior court</t>
  </si>
  <si>
    <t xml:space="preserve"> terrell</t>
  </si>
  <si>
    <t xml:space="preserve"> los angeles</t>
  </si>
  <si>
    <t xml:space="preserve"> taylor</t>
  </si>
  <si>
    <t xml:space="preserve"> eric</t>
  </si>
  <si>
    <t xml:space="preserve"> torrance-southwest district</t>
  </si>
  <si>
    <t xml:space="preserve"> district judge</t>
  </si>
  <si>
    <t xml:space="preserve"> chet</t>
  </si>
  <si>
    <t xml:space="preserve"> tavill</t>
  </si>
  <si>
    <t xml:space="preserve"> gregory</t>
  </si>
  <si>
    <t xml:space="preserve"> san bernardino county juvenile district</t>
  </si>
  <si>
    <t xml:space="preserve"> tarter</t>
  </si>
  <si>
    <t xml:space="preserve"> donna</t>
  </si>
  <si>
    <t xml:space="preserve"> county of kings</t>
  </si>
  <si>
    <t xml:space="preserve"> tarle</t>
  </si>
  <si>
    <t xml:space="preserve"> norman</t>
  </si>
  <si>
    <t xml:space="preserve"> perry</t>
  </si>
  <si>
    <t xml:space="preserve"> tansil</t>
  </si>
  <si>
    <t xml:space="preserve"> tangeman</t>
  </si>
  <si>
    <t xml:space="preserve"> martin</t>
  </si>
  <si>
    <t xml:space="preserve"> county of san luis obispo</t>
  </si>
  <si>
    <t xml:space="preserve"> tang</t>
  </si>
  <si>
    <t xml:space="preserve"> julie</t>
  </si>
  <si>
    <t xml:space="preserve"> tanaka gary y.</t>
  </si>
  <si>
    <t xml:space="preserve"> south central district</t>
  </si>
  <si>
    <t xml:space="preserve"> tamietti</t>
  </si>
  <si>
    <t xml:space="preserve"> takasugi</t>
  </si>
  <si>
    <t xml:space="preserve"> takaichi</t>
  </si>
  <si>
    <t xml:space="preserve"> drew</t>
  </si>
  <si>
    <t xml:space="preserve"> superior cort of calfornia</t>
  </si>
  <si>
    <t xml:space="preserve"> tafoya</t>
  </si>
  <si>
    <t xml:space="preserve"> symons</t>
  </si>
  <si>
    <t xml:space="preserve"> ariadne</t>
  </si>
  <si>
    <t xml:space="preserve"> superior court state of california</t>
  </si>
  <si>
    <t xml:space="preserve"> santa cruz county</t>
  </si>
  <si>
    <t xml:space="preserve"> swope iii</t>
  </si>
  <si>
    <t xml:space="preserve"> virgil</t>
  </si>
  <si>
    <t xml:space="preserve"> raymond</t>
  </si>
  <si>
    <t xml:space="preserve"> sweet</t>
  </si>
  <si>
    <t xml:space="preserve"> superior court sacramento</t>
  </si>
  <si>
    <t xml:space="preserve"> department 20</t>
  </si>
  <si>
    <t xml:space="preserve"> swain</t>
  </si>
  <si>
    <t xml:space="preserve"> leslie</t>
  </si>
  <si>
    <t xml:space="preserve"> suzuki</t>
  </si>
  <si>
    <t xml:space="preserve"> ted</t>
  </si>
  <si>
    <t xml:space="preserve"> suzukawa</t>
  </si>
  <si>
    <t xml:space="preserve"> sumner</t>
  </si>
  <si>
    <t xml:space="preserve"> howard</t>
  </si>
  <si>
    <t xml:space="preserve"> saceamento county superior court</t>
  </si>
  <si>
    <t xml:space="preserve"> sullivan</t>
  </si>
  <si>
    <t xml:space="preserve"> donald</t>
  </si>
  <si>
    <t xml:space="preserve"> sugiyama</t>
  </si>
  <si>
    <t xml:space="preserve"> hideki</t>
  </si>
  <si>
    <t xml:space="preserve"> contra costa county</t>
  </si>
  <si>
    <t xml:space="preserve"> sueyoshi</t>
  </si>
  <si>
    <t xml:space="preserve"> k</t>
  </si>
  <si>
    <t xml:space="preserve"> styn</t>
  </si>
  <si>
    <t xml:space="preserve"> sturgeon</t>
  </si>
  <si>
    <t xml:space="preserve"> eddie</t>
  </si>
  <si>
    <t xml:space="preserve"> stull</t>
  </si>
  <si>
    <t xml:space="preserve"> county of san bernardino barstow district</t>
  </si>
  <si>
    <t xml:space="preserve"> stuebbe</t>
  </si>
  <si>
    <t xml:space="preserve"> stuart</t>
  </si>
  <si>
    <t xml:space="preserve"> l.a. county superior court</t>
  </si>
  <si>
    <t xml:space="preserve"> strobel</t>
  </si>
  <si>
    <t xml:space="preserve"> streger</t>
  </si>
  <si>
    <t xml:space="preserve"> elaine</t>
  </si>
  <si>
    <t xml:space="preserve"> strauss</t>
  </si>
  <si>
    <t xml:space="preserve"> e.l</t>
  </si>
  <si>
    <t xml:space="preserve"> stratton</t>
  </si>
  <si>
    <t xml:space="preserve"> maria</t>
  </si>
  <si>
    <t xml:space="preserve"> elena</t>
  </si>
  <si>
    <t xml:space="preserve"> judg</t>
  </si>
  <si>
    <t xml:space="preserve"> stracener</t>
  </si>
  <si>
    <t xml:space="preserve"> curtis</t>
  </si>
  <si>
    <t xml:space="preserve"> stout</t>
  </si>
  <si>
    <t xml:space="preserve"> dean</t>
  </si>
  <si>
    <t xml:space="preserve"> stotler</t>
  </si>
  <si>
    <t xml:space="preserve"> stone</t>
  </si>
  <si>
    <t xml:space="preserve"> rodney</t>
  </si>
  <si>
    <t xml:space="preserve"> stoelker</t>
  </si>
  <si>
    <t xml:space="preserve"> louis</t>
  </si>
  <si>
    <t xml:space="preserve"> stock</t>
  </si>
  <si>
    <t xml:space="preserve"> nancy</t>
  </si>
  <si>
    <t xml:space="preserve"> wieben</t>
  </si>
  <si>
    <t xml:space="preserve"> superior court- county of orange</t>
  </si>
  <si>
    <t xml:space="preserve"> stewart</t>
  </si>
  <si>
    <t xml:space="preserve"> kennedy</t>
  </si>
  <si>
    <t xml:space="preserve"> sterne</t>
  </si>
  <si>
    <t xml:space="preserve"> santa barbara county superior court</t>
  </si>
  <si>
    <t xml:space="preserve"> stern</t>
  </si>
  <si>
    <t xml:space="preserve"> larwed</t>
  </si>
  <si>
    <t xml:space="preserve"> jacqueline</t>
  </si>
  <si>
    <t xml:space="preserve"> marion</t>
  </si>
  <si>
    <t xml:space="preserve"> sterling</t>
  </si>
  <si>
    <t xml:space="preserve"> stephenson</t>
  </si>
  <si>
    <t xml:space="preserve"> franklin</t>
  </si>
  <si>
    <t xml:space="preserve"> san joaquin county</t>
  </si>
  <si>
    <t xml:space="preserve"> steiner</t>
  </si>
  <si>
    <t xml:space="preserve"> bf a deputy</t>
  </si>
  <si>
    <t xml:space="preserve"> county of orange</t>
  </si>
  <si>
    <t xml:space="preserve"> steinberg</t>
  </si>
  <si>
    <t xml:space="preserve"> marjorie</t>
  </si>
  <si>
    <t xml:space="preserve"> steffen</t>
  </si>
  <si>
    <t xml:space="preserve"> steele ja</t>
  </si>
  <si>
    <t xml:space="preserve"> james andrew</t>
  </si>
  <si>
    <t xml:space="preserve"> van nuys</t>
  </si>
  <si>
    <t xml:space="preserve"> stashyn</t>
  </si>
  <si>
    <t xml:space="preserve"> solano county superior court</t>
  </si>
  <si>
    <t xml:space="preserve"> trial judge</t>
  </si>
  <si>
    <t xml:space="preserve"> stark</t>
  </si>
  <si>
    <t xml:space="preserve"> d</t>
  </si>
  <si>
    <t xml:space="preserve"> state of california</t>
  </si>
  <si>
    <t xml:space="preserve"> stanford</t>
  </si>
  <si>
    <t xml:space="preserve"> bf n.</t>
  </si>
  <si>
    <t xml:space="preserve"> stainfield</t>
  </si>
  <si>
    <t xml:space="preserve"> bryan</t>
  </si>
  <si>
    <t xml:space="preserve"> k.</t>
  </si>
  <si>
    <t xml:space="preserve"> stafford jr.</t>
  </si>
  <si>
    <t xml:space="preserve"> everett</t>
  </si>
  <si>
    <t xml:space="preserve"> staffel</t>
  </si>
  <si>
    <t xml:space="preserve"> santa maria division</t>
  </si>
  <si>
    <t xml:space="preserve"> speer susan</t>
  </si>
  <si>
    <t xml:space="preserve"> spanos</t>
  </si>
  <si>
    <t xml:space="preserve"> w</t>
  </si>
  <si>
    <t xml:space="preserve"> county of contra costa</t>
  </si>
  <si>
    <t xml:space="preserve"> spain</t>
  </si>
  <si>
    <t xml:space="preserve"> julia</t>
  </si>
  <si>
    <t xml:space="preserve"> angeline</t>
  </si>
  <si>
    <t xml:space="preserve"> soto</t>
  </si>
  <si>
    <t xml:space="preserve"> philip</t>
  </si>
  <si>
    <t xml:space="preserve"> l.a. superior court juedge</t>
  </si>
  <si>
    <t xml:space="preserve"> sotelo</t>
  </si>
  <si>
    <t xml:space="preserve"> sortino</t>
  </si>
  <si>
    <t xml:space="preserve"> douglas</t>
  </si>
  <si>
    <t xml:space="preserve"> sontag</t>
  </si>
  <si>
    <t xml:space="preserve"> stephanie</t>
  </si>
  <si>
    <t xml:space="preserve"> somers</t>
  </si>
  <si>
    <t xml:space="preserve"> stanley</t>
  </si>
  <si>
    <t xml:space="preserve"> soconzano</t>
  </si>
  <si>
    <t xml:space="preserve"> kadtryn</t>
  </si>
  <si>
    <t xml:space="preserve"> west lay</t>
  </si>
  <si>
    <t xml:space="preserve"> solner</t>
  </si>
  <si>
    <t xml:space="preserve"> soldani</t>
  </si>
  <si>
    <t xml:space="preserve"> sokolov</t>
  </si>
  <si>
    <t xml:space="preserve"> sokol</t>
  </si>
  <si>
    <t xml:space="preserve"> frank</t>
  </si>
  <si>
    <t xml:space="preserve"> superior court of california county of lassar</t>
  </si>
  <si>
    <t xml:space="preserve"> super</t>
  </si>
  <si>
    <t xml:space="preserve"> sohigian ronald</t>
  </si>
  <si>
    <t xml:space="preserve"> so</t>
  </si>
  <si>
    <t xml:space="preserve"> snauffer</t>
  </si>
  <si>
    <t xml:space="preserve"> smyth</t>
  </si>
  <si>
    <t xml:space="preserve"> smith</t>
  </si>
  <si>
    <t xml:space="preserve"> winifred</t>
  </si>
  <si>
    <t xml:space="preserve"> y.</t>
  </si>
  <si>
    <t xml:space="preserve"> smith-steward</t>
  </si>
  <si>
    <t xml:space="preserve"> tamela</t>
  </si>
  <si>
    <t xml:space="preserve"> spurgeon</t>
  </si>
  <si>
    <t xml:space="preserve"> emmerson</t>
  </si>
  <si>
    <t xml:space="preserve"> los aneles superior court</t>
  </si>
  <si>
    <t xml:space="preserve"> clay</t>
  </si>
  <si>
    <t xml:space="preserve"> smiley</t>
  </si>
  <si>
    <t xml:space="preserve"> smerling</t>
  </si>
  <si>
    <t xml:space="preserve"> terry</t>
  </si>
  <si>
    <t xml:space="preserve"> slough</t>
  </si>
  <si>
    <t xml:space="preserve"> marsha</t>
  </si>
  <si>
    <t xml:space="preserve"> civil division</t>
  </si>
  <si>
    <t xml:space="preserve"> skyers</t>
  </si>
  <si>
    <t xml:space="preserve"> l.a. superior court</t>
  </si>
  <si>
    <t xml:space="preserve"> skillman</t>
  </si>
  <si>
    <t xml:space="preserve"> jonathan</t>
  </si>
  <si>
    <t xml:space="preserve"> judge- tehama county superior judge</t>
  </si>
  <si>
    <t xml:space="preserve"> skiles</t>
  </si>
  <si>
    <t xml:space="preserve"> fresno county superior court</t>
  </si>
  <si>
    <t xml:space="preserve"> sirna</t>
  </si>
  <si>
    <t xml:space="preserve"> salvatore</t>
  </si>
  <si>
    <t xml:space="preserve"> t.</t>
  </si>
  <si>
    <t xml:space="preserve"> east district</t>
  </si>
  <si>
    <t xml:space="preserve"> singer</t>
  </si>
  <si>
    <t xml:space="preserve"> carla</t>
  </si>
  <si>
    <t xml:space="preserve"> superior court-orange county</t>
  </si>
  <si>
    <t xml:space="preserve"> sing</t>
  </si>
  <si>
    <t xml:space="preserve"> lillian</t>
  </si>
  <si>
    <t xml:space="preserve"> sinanian</t>
  </si>
  <si>
    <t xml:space="preserve"> zaven</t>
  </si>
  <si>
    <t xml:space="preserve"> v.</t>
  </si>
  <si>
    <t xml:space="preserve"> simpson</t>
  </si>
  <si>
    <t xml:space="preserve"> superior court - los angeles</t>
  </si>
  <si>
    <t xml:space="preserve"> simons</t>
  </si>
  <si>
    <t xml:space="preserve"> court of appeal sate of california</t>
  </si>
  <si>
    <t xml:space="preserve"> first appellate district</t>
  </si>
  <si>
    <t xml:space="preserve"> associate judge</t>
  </si>
  <si>
    <t xml:space="preserve"> simonds</t>
  </si>
  <si>
    <t xml:space="preserve"> beernink</t>
  </si>
  <si>
    <t xml:space="preserve"> sonoma county superior court</t>
  </si>
  <si>
    <t xml:space="preserve"> simmons</t>
  </si>
  <si>
    <t xml:space="preserve"> kelly vieira</t>
  </si>
  <si>
    <t xml:space="preserve"> by: e. ramazzura deputy</t>
  </si>
  <si>
    <t xml:space="preserve"> marin county superior court</t>
  </si>
  <si>
    <t xml:space="preserve"> silvers</t>
  </si>
  <si>
    <t xml:space="preserve"> jessica</t>
  </si>
  <si>
    <t xml:space="preserve"> perrin</t>
  </si>
  <si>
    <t xml:space="preserve"> silverman</t>
  </si>
  <si>
    <t xml:space="preserve"> silver</t>
  </si>
  <si>
    <t xml:space="preserve"> shari</t>
  </si>
  <si>
    <t xml:space="preserve"> kreisler</t>
  </si>
  <si>
    <t xml:space="preserve"> silveira</t>
  </si>
  <si>
    <t xml:space="preserve"> stanislaus county</t>
  </si>
  <si>
    <t xml:space="preserve"> silberman</t>
  </si>
  <si>
    <t xml:space="preserve"> harvey</t>
  </si>
  <si>
    <t xml:space="preserve"> silbar</t>
  </si>
  <si>
    <t xml:space="preserve"> clandia</t>
  </si>
  <si>
    <t xml:space="preserve"> superior court of california - county of orange</t>
  </si>
  <si>
    <t xml:space="preserve"> siggins</t>
  </si>
  <si>
    <t xml:space="preserve"> california court of appeal</t>
  </si>
  <si>
    <t xml:space="preserve"> siefkin susan</t>
  </si>
  <si>
    <t xml:space="preserve"> susan</t>
  </si>
  <si>
    <t xml:space="preserve"> sichel</t>
  </si>
  <si>
    <t xml:space="preserve"> elsabeth</t>
  </si>
  <si>
    <t xml:space="preserve"> superior court of california - county of riverside</t>
  </si>
  <si>
    <t xml:space="preserve"> shubin</t>
  </si>
  <si>
    <t xml:space="preserve"> dorothy</t>
  </si>
  <si>
    <t xml:space="preserve"> superior court of los angeles county</t>
  </si>
  <si>
    <t xml:space="preserve"> shore</t>
  </si>
  <si>
    <t xml:space="preserve"> shirk</t>
  </si>
  <si>
    <t xml:space="preserve"> jennifer</t>
  </si>
  <si>
    <t xml:space="preserve"> visalia division</t>
  </si>
  <si>
    <t xml:space="preserve"> sherman</t>
  </si>
  <si>
    <t xml:space="preserve"> shelton</t>
  </si>
  <si>
    <t xml:space="preserve"> roderick</t>
  </si>
  <si>
    <t xml:space="preserve"> ward</t>
  </si>
  <si>
    <t xml:space="preserve"> sheldon</t>
  </si>
  <si>
    <t xml:space="preserve"> south district</t>
  </si>
  <si>
    <t xml:space="preserve"> shapiro</t>
  </si>
  <si>
    <t xml:space="preserve"> norm</t>
  </si>
  <si>
    <t xml:space="preserve"> shapero</t>
  </si>
  <si>
    <t xml:space="preserve"> shamoon polly h.</t>
  </si>
  <si>
    <t xml:space="preserve"> shaller</t>
  </si>
  <si>
    <t xml:space="preserve"> superior court county of los angeles</t>
  </si>
  <si>
    <t xml:space="preserve"> d : 46 mosk court house</t>
  </si>
  <si>
    <t xml:space="preserve"> shaffer</t>
  </si>
  <si>
    <t xml:space="preserve"> case</t>
  </si>
  <si>
    <t xml:space="preserve"> sevier</t>
  </si>
  <si>
    <t xml:space="preserve"> gerald</t>
  </si>
  <si>
    <t xml:space="preserve"> sepulveda</t>
  </si>
  <si>
    <t xml:space="preserve"> first district div 4</t>
  </si>
  <si>
    <t xml:space="preserve"> segal</t>
  </si>
  <si>
    <t xml:space="preserve"> seeman</t>
  </si>
  <si>
    <t xml:space="preserve"> see</t>
  </si>
  <si>
    <t xml:space="preserve"> ramona</t>
  </si>
  <si>
    <t xml:space="preserve"> gail</t>
  </si>
  <si>
    <t xml:space="preserve"> seaver</t>
  </si>
  <si>
    <t xml:space="preserve"> carlton</t>
  </si>
  <si>
    <t xml:space="preserve"> seave</t>
  </si>
  <si>
    <t xml:space="preserve"> sacramento county superior court</t>
  </si>
  <si>
    <t xml:space="preserve"> judgeship</t>
  </si>
  <si>
    <t xml:space="preserve"> scrogin</t>
  </si>
  <si>
    <t xml:space="preserve"> yube county superior court</t>
  </si>
  <si>
    <t xml:space="preserve"> department iii</t>
  </si>
  <si>
    <t xml:space="preserve"> william stephen</t>
  </si>
  <si>
    <t xml:space="preserve"> san joaquin county court</t>
  </si>
  <si>
    <t xml:space="preserve"> russell</t>
  </si>
  <si>
    <t xml:space="preserve"> superior court of california county of monterey</t>
  </si>
  <si>
    <t xml:space="preserve"> daphne</t>
  </si>
  <si>
    <t xml:space="preserve"> sykes</t>
  </si>
  <si>
    <t xml:space="preserve"> orange county</t>
  </si>
  <si>
    <t xml:space="preserve"> schwarz</t>
  </si>
  <si>
    <t xml:space="preserve"> shawna</t>
  </si>
  <si>
    <t xml:space="preserve"> superior court of santa clara county</t>
  </si>
  <si>
    <t xml:space="preserve"> schwartz teri</t>
  </si>
  <si>
    <t xml:space="preserve"> i</t>
  </si>
  <si>
    <t xml:space="preserve"> schwartz</t>
  </si>
  <si>
    <t xml:space="preserve"> keith</t>
  </si>
  <si>
    <t xml:space="preserve"> bernard</t>
  </si>
  <si>
    <t xml:space="preserve"> julian</t>
  </si>
  <si>
    <t xml:space="preserve"> schwarm walter</t>
  </si>
  <si>
    <t xml:space="preserve"> palmer</t>
  </si>
  <si>
    <t xml:space="preserve"> schumann</t>
  </si>
  <si>
    <t xml:space="preserve"> tam</t>
  </si>
  <si>
    <t xml:space="preserve"> bk</t>
  </si>
  <si>
    <t xml:space="preserve"> schulte</t>
  </si>
  <si>
    <t xml:space="preserve"> mury</t>
  </si>
  <si>
    <t xml:space="preserve"> fingal</t>
  </si>
  <si>
    <t xml:space="preserve"> schuit</t>
  </si>
  <si>
    <t xml:space="preserve"> schuett</t>
  </si>
  <si>
    <t xml:space="preserve"> schneiderjr.</t>
  </si>
  <si>
    <t xml:space="preserve"> wilfred</t>
  </si>
  <si>
    <t xml:space="preserve"> schneider</t>
  </si>
  <si>
    <t xml:space="preserve"> schnegg</t>
  </si>
  <si>
    <t xml:space="preserve"> scheuler</t>
  </si>
  <si>
    <t xml:space="preserve"> scheper</t>
  </si>
  <si>
    <t xml:space="preserve"> central</t>
  </si>
  <si>
    <t xml:space="preserve"> schall</t>
  </si>
  <si>
    <t xml:space="preserve"> lisa</t>
  </si>
  <si>
    <t xml:space="preserve"> scanlon</t>
  </si>
  <si>
    <t xml:space="preserve"> contra costa county superior court</t>
  </si>
  <si>
    <t xml:space="preserve"> sawtelle</t>
  </si>
  <si>
    <t xml:space="preserve"> ernest</t>
  </si>
  <si>
    <t xml:space="preserve"> wayne</t>
  </si>
  <si>
    <t xml:space="preserve"> savage</t>
  </si>
  <si>
    <t xml:space="preserve"> sautner</t>
  </si>
  <si>
    <t xml:space="preserve"> saunders</t>
  </si>
  <si>
    <t xml:space="preserve"> reginald</t>
  </si>
  <si>
    <t xml:space="preserve"> san bernardino district</t>
  </si>
  <si>
    <t xml:space="preserve"> saucedo</t>
  </si>
  <si>
    <t xml:space="preserve"> valeriano</t>
  </si>
  <si>
    <t xml:space="preserve"> sarmientosalvador</t>
  </si>
  <si>
    <t xml:space="preserve"> bf</t>
  </si>
  <si>
    <t xml:space="preserve"> sarmiento</t>
  </si>
  <si>
    <t xml:space="preserve"> cesar</t>
  </si>
  <si>
    <t xml:space="preserve"> c</t>
  </si>
  <si>
    <t xml:space="preserve"> sarkisian</t>
  </si>
  <si>
    <t xml:space="preserve"> edward jr.</t>
  </si>
  <si>
    <t xml:space="preserve"> superior court county of fresno</t>
  </si>
  <si>
    <t xml:space="preserve"> county of fresno - judge</t>
  </si>
  <si>
    <t xml:space="preserve"> santana</t>
  </si>
  <si>
    <t xml:space="preserve"> ray</t>
  </si>
  <si>
    <t xml:space="preserve"> finance section</t>
  </si>
  <si>
    <t xml:space="preserve"> sanora</t>
  </si>
  <si>
    <t xml:space="preserve"> sandvig</t>
  </si>
  <si>
    <t xml:space="preserve"> melvin</t>
  </si>
  <si>
    <t xml:space="preserve"> dept f47 north valley</t>
  </si>
  <si>
    <t xml:space="preserve"> north valley didtrict judge</t>
  </si>
  <si>
    <t xml:space="preserve"> sandoval</t>
  </si>
  <si>
    <t xml:space="preserve"> jose</t>
  </si>
  <si>
    <t xml:space="preserve"> gerardo</t>
  </si>
  <si>
    <t xml:space="preserve"> campos</t>
  </si>
  <si>
    <t xml:space="preserve"> criminal</t>
  </si>
  <si>
    <t xml:space="preserve"> sanderson</t>
  </si>
  <si>
    <t xml:space="preserve"> houry</t>
  </si>
  <si>
    <t xml:space="preserve"> superior court fresno county</t>
  </si>
  <si>
    <t xml:space="preserve"> sanders</t>
  </si>
  <si>
    <t xml:space="preserve"> county of san benito</t>
  </si>
  <si>
    <t xml:space="preserve"> glenda</t>
  </si>
  <si>
    <t xml:space="preserve"> (none)deputy</t>
  </si>
  <si>
    <t xml:space="preserve"> sanchez</t>
  </si>
  <si>
    <t xml:space="preserve"> yuonne theresa</t>
  </si>
  <si>
    <t xml:space="preserve"> resa</t>
  </si>
  <si>
    <t xml:space="preserve"> sanche2- giroon</t>
  </si>
  <si>
    <t xml:space="preserve"> teresa</t>
  </si>
  <si>
    <t xml:space="preserve"> officer/clerk os angeles</t>
  </si>
  <si>
    <t xml:space="preserve"> deborah</t>
  </si>
  <si>
    <t xml:space="preserve"> southeast district</t>
  </si>
  <si>
    <t xml:space="preserve"> samuels</t>
  </si>
  <si>
    <t xml:space="preserve"> shellie</t>
  </si>
  <si>
    <t xml:space="preserve"> salter</t>
  </si>
  <si>
    <t xml:space="preserve"> salkin</t>
  </si>
  <si>
    <t xml:space="preserve"> valerie</t>
  </si>
  <si>
    <t xml:space="preserve"> la superior court</t>
  </si>
  <si>
    <t xml:space="preserve"> metro courthouse</t>
  </si>
  <si>
    <t xml:space="preserve"> saleson</t>
  </si>
  <si>
    <t xml:space="preserve"> stephan</t>
  </si>
  <si>
    <t xml:space="preserve"> gray</t>
  </si>
  <si>
    <t xml:space="preserve"> salazar</t>
  </si>
  <si>
    <t xml:space="preserve"> saito</t>
  </si>
  <si>
    <t xml:space="preserve"> rex</t>
  </si>
  <si>
    <t xml:space="preserve"> juvenile dependency</t>
  </si>
  <si>
    <t xml:space="preserve"> sahagun</t>
  </si>
  <si>
    <t xml:space="preserve"> raul</t>
  </si>
  <si>
    <t xml:space="preserve"> sachs</t>
  </si>
  <si>
    <t xml:space="preserve"> sabet</t>
  </si>
  <si>
    <t xml:space="preserve"> shahla</t>
  </si>
  <si>
    <t xml:space="preserve"> superior court county of san bernardino</t>
  </si>
  <si>
    <t xml:space="preserve"> rancho cucamonga district</t>
  </si>
  <si>
    <t xml:space="preserve"> ryu</t>
  </si>
  <si>
    <t xml:space="preserve"> tammy</t>
  </si>
  <si>
    <t xml:space="preserve"> chung</t>
  </si>
  <si>
    <t xml:space="preserve"> rylaarsdam</t>
  </si>
  <si>
    <t xml:space="preserve"> district 4 division 3</t>
  </si>
  <si>
    <t xml:space="preserve"> superior court of california - county of santa clara</t>
  </si>
  <si>
    <t xml:space="preserve"> ruvolo</t>
  </si>
  <si>
    <t xml:space="preserve"> ignazio</t>
  </si>
  <si>
    <t xml:space="preserve"> first district division 4</t>
  </si>
  <si>
    <t xml:space="preserve"> presiding justice</t>
  </si>
  <si>
    <t xml:space="preserve"> rushton</t>
  </si>
  <si>
    <t xml:space="preserve"> riverside county superior court</t>
  </si>
  <si>
    <t xml:space="preserve"> rushing</t>
  </si>
  <si>
    <t xml:space="preserve"> conrad</t>
  </si>
  <si>
    <t xml:space="preserve"> sixth appellate district</t>
  </si>
  <si>
    <t xml:space="preserve"> administrative presiding justice</t>
  </si>
  <si>
    <t xml:space="preserve"> ruggiero</t>
  </si>
  <si>
    <t xml:space="preserve"> superior court shasta county</t>
  </si>
  <si>
    <t xml:space="preserve"> rubwson</t>
  </si>
  <si>
    <t xml:space="preserve"> van nuys (northwest) district</t>
  </si>
  <si>
    <t xml:space="preserve"> rubin</t>
  </si>
  <si>
    <t xml:space="preserve"> rand</t>
  </si>
  <si>
    <t xml:space="preserve"> laurence</t>
  </si>
  <si>
    <t xml:space="preserve"> morris</t>
  </si>
  <si>
    <t xml:space="preserve"> rothschild</t>
  </si>
  <si>
    <t xml:space="preserve"> frances</t>
  </si>
  <si>
    <t xml:space="preserve"> deputy clerk</t>
  </si>
  <si>
    <t xml:space="preserve"> rotenberg</t>
  </si>
  <si>
    <t xml:space="preserve"> ross</t>
  </si>
  <si>
    <t xml:space="preserve"> roger</t>
  </si>
  <si>
    <t xml:space="preserve"> rosenfield</t>
  </si>
  <si>
    <t xml:space="preserve"> rosenblatt</t>
  </si>
  <si>
    <t xml:space="preserve"> michelle</t>
  </si>
  <si>
    <t xml:space="preserve"> rosenberg gerald</t>
  </si>
  <si>
    <t xml:space="preserve"> county of los angeles west district</t>
  </si>
  <si>
    <t xml:space="preserve"> rosenberg</t>
  </si>
  <si>
    <t xml:space="preserve"> yolo superior court</t>
  </si>
  <si>
    <t xml:space="preserve"> department 4</t>
  </si>
  <si>
    <t xml:space="preserve"> presiding judge</t>
  </si>
  <si>
    <t xml:space="preserve"> rose</t>
  </si>
  <si>
    <t xml:space="preserve"> rosales</t>
  </si>
  <si>
    <t xml:space="preserve"> olivia</t>
  </si>
  <si>
    <t xml:space="preserve"> roper</t>
  </si>
  <si>
    <t xml:space="preserve"> glade</t>
  </si>
  <si>
    <t xml:space="preserve"> romero richard</t>
  </si>
  <si>
    <t xml:space="preserve"> roy</t>
  </si>
  <si>
    <t xml:space="preserve"> roman</t>
  </si>
  <si>
    <t xml:space="preserve"> jaime</t>
  </si>
  <si>
    <t xml:space="preserve"> rolefson</t>
  </si>
  <si>
    <t xml:space="preserve"> rodger</t>
  </si>
  <si>
    <t xml:space="preserve"> thomas charles</t>
  </si>
  <si>
    <t xml:space="preserve"> charles rogers</t>
  </si>
  <si>
    <t xml:space="preserve"> rogers</t>
  </si>
  <si>
    <t xml:space="preserve"> alameda couney superior court</t>
  </si>
  <si>
    <t xml:space="preserve"> rogers randolp</t>
  </si>
  <si>
    <t xml:space="preserve"> randolph</t>
  </si>
  <si>
    <t xml:space="preserve"> rogan</t>
  </si>
  <si>
    <t xml:space="preserve"> laugaz</t>
  </si>
  <si>
    <t xml:space="preserve"> rodriguez</t>
  </si>
  <si>
    <t xml:space="preserve"> jesse</t>
  </si>
  <si>
    <t xml:space="preserve"> long beach south</t>
  </si>
  <si>
    <t xml:space="preserve"> rochman</t>
  </si>
  <si>
    <t xml:space="preserve"> morton</t>
  </si>
  <si>
    <t xml:space="preserve"> robison</t>
  </si>
  <si>
    <t xml:space="preserve"> robinson</t>
  </si>
  <si>
    <t xml:space="preserve"> karen</t>
  </si>
  <si>
    <t xml:space="preserve"> orange county superior court</t>
  </si>
  <si>
    <t xml:space="preserve"> robie</t>
  </si>
  <si>
    <t xml:space="preserve"> boyd</t>
  </si>
  <si>
    <t xml:space="preserve"> third district</t>
  </si>
  <si>
    <t xml:space="preserve"> robertson ii</t>
  </si>
  <si>
    <t xml:space="preserve"> armand</t>
  </si>
  <si>
    <t xml:space="preserve"> roberts</t>
  </si>
  <si>
    <t xml:space="preserve"> superior court monterey county</t>
  </si>
  <si>
    <t xml:space="preserve"> roberts (aka schill)</t>
  </si>
  <si>
    <t xml:space="preserve"> louise</t>
  </si>
  <si>
    <t xml:space="preserve"> butte county superior court</t>
  </si>
  <si>
    <t xml:space="preserve"> dept 9</t>
  </si>
  <si>
    <t xml:space="preserve"> robbins roger</t>
  </si>
  <si>
    <t xml:space="preserve"> rizk</t>
  </si>
  <si>
    <t xml:space="preserve"> georgina</t>
  </si>
  <si>
    <t xml:space="preserve"> torres</t>
  </si>
  <si>
    <t xml:space="preserve"> rivera</t>
  </si>
  <si>
    <t xml:space="preserve"> pamela</t>
  </si>
  <si>
    <t xml:space="preserve"> first district court of appeal</t>
  </si>
  <si>
    <t xml:space="preserve"> division four</t>
  </si>
  <si>
    <t xml:space="preserve"> ritchie</t>
  </si>
  <si>
    <t xml:space="preserve"> diane</t>
  </si>
  <si>
    <t xml:space="preserve"> riley</t>
  </si>
  <si>
    <t xml:space="preserve"> country of ventura</t>
  </si>
  <si>
    <t xml:space="preserve"> rigby</t>
  </si>
  <si>
    <t xml:space="preserve"> mitchell</t>
  </si>
  <si>
    <t xml:space="preserve"> county of madesa</t>
  </si>
  <si>
    <t xml:space="preserve"> rigali</t>
  </si>
  <si>
    <t xml:space="preserve"> santa maria courthouse</t>
  </si>
  <si>
    <t xml:space="preserve"> riemer</t>
  </si>
  <si>
    <t xml:space="preserve"> grant</t>
  </si>
  <si>
    <t xml:space="preserve"> superior court of california county of riverside</t>
  </si>
  <si>
    <t xml:space="preserve"> department 5</t>
  </si>
  <si>
    <t xml:space="preserve"> rico</t>
  </si>
  <si>
    <t xml:space="preserve"> richmond</t>
  </si>
  <si>
    <t xml:space="preserve"> amador county superior court</t>
  </si>
  <si>
    <t xml:space="preserve"> assistant presiding judge</t>
  </si>
  <si>
    <t xml:space="preserve"> richman</t>
  </si>
  <si>
    <t xml:space="preserve"> assoc justice</t>
  </si>
  <si>
    <t xml:space="preserve"> richli</t>
  </si>
  <si>
    <t xml:space="preserve"> betty</t>
  </si>
  <si>
    <t xml:space="preserve"> fourth district court of appeal</t>
  </si>
  <si>
    <t xml:space="preserve"> division two</t>
  </si>
  <si>
    <t xml:space="preserve"> richardson</t>
  </si>
  <si>
    <t xml:space="preserve"> county of yolo</t>
  </si>
  <si>
    <t xml:space="preserve"> rice</t>
  </si>
  <si>
    <t xml:space="preserve"> superior court of ca county of los angeles</t>
  </si>
  <si>
    <t xml:space="preserve"> southwest</t>
  </si>
  <si>
    <t xml:space="preserve"> ricciandulli</t>
  </si>
  <si>
    <t xml:space="preserve"> alex</t>
  </si>
  <si>
    <t xml:space="preserve"> rhynes</t>
  </si>
  <si>
    <t xml:space="preserve"> faye</t>
  </si>
  <si>
    <t xml:space="preserve"> rhodes</t>
  </si>
  <si>
    <t xml:space="preserve"> randy</t>
  </si>
  <si>
    <t xml:space="preserve"> north valley district</t>
  </si>
  <si>
    <t xml:space="preserve"> reyes</t>
  </si>
  <si>
    <t xml:space="preserve"> baker</t>
  </si>
  <si>
    <t xml:space="preserve"> revel</t>
  </si>
  <si>
    <t xml:space="preserve"> n</t>
  </si>
  <si>
    <t xml:space="preserve"> reiser</t>
  </si>
  <si>
    <t xml:space="preserve"> glen</t>
  </si>
  <si>
    <t xml:space="preserve"> reinholtsen</t>
  </si>
  <si>
    <t xml:space="preserve"> superior court county of humboldt</t>
  </si>
  <si>
    <t xml:space="preserve"> reilly</t>
  </si>
  <si>
    <t xml:space="preserve"> tara</t>
  </si>
  <si>
    <t xml:space="preserve"> reilley</t>
  </si>
  <si>
    <t xml:space="preserve"> reid</t>
  </si>
  <si>
    <t xml:space="preserve"> h.</t>
  </si>
  <si>
    <t xml:space="preserve"> reichert</t>
  </si>
  <si>
    <t xml:space="preserve"> emil</t>
  </si>
  <si>
    <t xml:space="preserve"> san bemardino superior court</t>
  </si>
  <si>
    <t xml:space="preserve"> rehm jr.</t>
  </si>
  <si>
    <t xml:space="preserve"> carol henry</t>
  </si>
  <si>
    <t xml:space="preserve"> reeves</t>
  </si>
  <si>
    <t xml:space="preserve"> dawna</t>
  </si>
  <si>
    <t xml:space="preserve"> frenchie</t>
  </si>
  <si>
    <t xml:space="preserve"> reed</t>
  </si>
  <si>
    <t xml:space="preserve"> melinda</t>
  </si>
  <si>
    <t xml:space="preserve"> recana</t>
  </si>
  <si>
    <t xml:space="preserve"> mel</t>
  </si>
  <si>
    <t xml:space="preserve"> ren</t>
  </si>
  <si>
    <t xml:space="preserve"> for the county of los angeles</t>
  </si>
  <si>
    <t xml:space="preserve"> reardon</t>
  </si>
  <si>
    <t xml:space="preserve"> calif. court of appeal first appellate dist.</t>
  </si>
  <si>
    <t xml:space="preserve"> matthew</t>
  </si>
  <si>
    <t xml:space="preserve"> rayvis</t>
  </si>
  <si>
    <t xml:space="preserve"> raye</t>
  </si>
  <si>
    <t xml:space="preserve"> vance</t>
  </si>
  <si>
    <t xml:space="preserve"> third district court of appeal</t>
  </si>
  <si>
    <t xml:space="preserve"> rappe curtts</t>
  </si>
  <si>
    <t xml:space="preserve"> ramon</t>
  </si>
  <si>
    <t xml:space="preserve"> hector</t>
  </si>
  <si>
    <t xml:space="preserve"> enrigue</t>
  </si>
  <si>
    <t xml:space="preserve"> ramirez</t>
  </si>
  <si>
    <t xml:space="preserve"> manuel</t>
  </si>
  <si>
    <t xml:space="preserve"> fourth district division two</t>
  </si>
  <si>
    <t xml:space="preserve"> pena</t>
  </si>
  <si>
    <t xml:space="preserve"> superior court los angele</t>
  </si>
  <si>
    <t xml:space="preserve"> quinn</t>
  </si>
  <si>
    <t xml:space="preserve"> linda</t>
  </si>
  <si>
    <t xml:space="preserve"> buelhauf</t>
  </si>
  <si>
    <t xml:space="preserve"> quidachay</t>
  </si>
  <si>
    <t xml:space="preserve"> evans</t>
  </si>
  <si>
    <t xml:space="preserve"> pulido</t>
  </si>
  <si>
    <t xml:space="preserve"> alameda county superor</t>
  </si>
  <si>
    <t xml:space="preserve"> presiding judge of family law</t>
  </si>
  <si>
    <t xml:space="preserve"> provost</t>
  </si>
  <si>
    <t xml:space="preserve"> eleanor</t>
  </si>
  <si>
    <t xml:space="preserve"> tuolumne county</t>
  </si>
  <si>
    <t xml:space="preserve"> proud</t>
  </si>
  <si>
    <t xml:space="preserve"> proietti</t>
  </si>
  <si>
    <t xml:space="preserve"> merced superior court</t>
  </si>
  <si>
    <t xml:space="preserve"> priver</t>
  </si>
  <si>
    <t xml:space="preserve"> prickett</t>
  </si>
  <si>
    <t xml:space="preserve"> gregory(gregg)</t>
  </si>
  <si>
    <t xml:space="preserve"> state of california - super court</t>
  </si>
  <si>
    <t xml:space="preserve"> price</t>
  </si>
  <si>
    <t xml:space="preserve"> prevost</t>
  </si>
  <si>
    <t xml:space="preserve"> jarvis</t>
  </si>
  <si>
    <t xml:space="preserve"> pressman</t>
  </si>
  <si>
    <t xml:space="preserve"> premo</t>
  </si>
  <si>
    <t xml:space="preserve"> sixth district</t>
  </si>
  <si>
    <t xml:space="preserve"> preckel</t>
  </si>
  <si>
    <t xml:space="preserve"> allan</t>
  </si>
  <si>
    <t xml:space="preserve"> prager</t>
  </si>
  <si>
    <t xml:space="preserve"> powers</t>
  </si>
  <si>
    <t xml:space="preserve"> margaret</t>
  </si>
  <si>
    <t xml:space="preserve"> superior court of san bernardino county</t>
  </si>
  <si>
    <t xml:space="preserve"> division board department district if applicable</t>
  </si>
  <si>
    <t xml:space="preserve"> power</t>
  </si>
  <si>
    <t xml:space="preserve"> powell</t>
  </si>
  <si>
    <t xml:space="preserve"> jefferson</t>
  </si>
  <si>
    <t xml:space="preserve"> san bernardino county</t>
  </si>
  <si>
    <t xml:space="preserve"> powazek</t>
  </si>
  <si>
    <t xml:space="preserve"> harry</t>
  </si>
  <si>
    <t xml:space="preserve"> poochigian</t>
  </si>
  <si>
    <t xml:space="preserve"> fifth appellate district</t>
  </si>
  <si>
    <t xml:space="preserve"> poncin</t>
  </si>
  <si>
    <t xml:space="preserve"> pollard</t>
  </si>
  <si>
    <t xml:space="preserve"> pollak</t>
  </si>
  <si>
    <t xml:space="preserve"> first district division 3</t>
  </si>
  <si>
    <t xml:space="preserve"> pollack</t>
  </si>
  <si>
    <t xml:space="preserve"> poche</t>
  </si>
  <si>
    <t xml:space="preserve"> marcel</t>
  </si>
  <si>
    <t xml:space="preserve"> county of santa clara</t>
  </si>
  <si>
    <t xml:space="preserve"> pluim</t>
  </si>
  <si>
    <t xml:space="preserve"> jan</t>
  </si>
  <si>
    <t xml:space="preserve"> pasadena ne dist.</t>
  </si>
  <si>
    <t xml:space="preserve"> plourd</t>
  </si>
  <si>
    <t xml:space="preserve"> imperial county superior court</t>
  </si>
  <si>
    <t xml:space="preserve"> #2</t>
  </si>
  <si>
    <t xml:space="preserve"> pirozzi</t>
  </si>
  <si>
    <t xml:space="preserve"> pineschi</t>
  </si>
  <si>
    <t xml:space="preserve"> v</t>
  </si>
  <si>
    <t xml:space="preserve"> placer county</t>
  </si>
  <si>
    <t xml:space="preserve"> pierce</t>
  </si>
  <si>
    <t xml:space="preserve"> hanson</t>
  </si>
  <si>
    <t xml:space="preserve"> pichon</t>
  </si>
  <si>
    <t xml:space="preserve"> rise</t>
  </si>
  <si>
    <t xml:space="preserve"> jones</t>
  </si>
  <si>
    <t xml:space="preserve"> picetti</t>
  </si>
  <si>
    <t xml:space="preserve"> phimister</t>
  </si>
  <si>
    <t xml:space="preserve"> el dorado county superior court</t>
  </si>
  <si>
    <t xml:space="preserve"> div 7</t>
  </si>
  <si>
    <t xml:space="preserve"> phillips</t>
  </si>
  <si>
    <t xml:space="preserve"> gene</t>
  </si>
  <si>
    <t xml:space="preserve"> pham</t>
  </si>
  <si>
    <t xml:space="preserve"> cheri</t>
  </si>
  <si>
    <t xml:space="preserve"> thi</t>
  </si>
  <si>
    <t xml:space="preserve"> pfahler</t>
  </si>
  <si>
    <t xml:space="preserve"> petrucelli</t>
  </si>
  <si>
    <t xml:space="preserve"> superior court of california county of fresno</t>
  </si>
  <si>
    <t xml:space="preserve"> petrou</t>
  </si>
  <si>
    <t xml:space="preserve"> ioana</t>
  </si>
  <si>
    <t xml:space="preserve"> peterson</t>
  </si>
  <si>
    <t xml:space="preserve"> dennis</t>
  </si>
  <si>
    <t xml:space="preserve"> petersen</t>
  </si>
  <si>
    <t xml:space="preserve"> persky</t>
  </si>
  <si>
    <t xml:space="preserve"> aaron</t>
  </si>
  <si>
    <t xml:space="preserve"> jordan</t>
  </si>
  <si>
    <t xml:space="preserve"> perren</t>
  </si>
  <si>
    <t xml:space="preserve"> zalkind</t>
  </si>
  <si>
    <t xml:space="preserve"> perluss</t>
  </si>
  <si>
    <t xml:space="preserve"> perkins</t>
  </si>
  <si>
    <t xml:space="preserve"> g</t>
  </si>
  <si>
    <t xml:space="preserve"> perk</t>
  </si>
  <si>
    <t xml:space="preserve"> perez</t>
  </si>
  <si>
    <t xml:space="preserve"> joe</t>
  </si>
  <si>
    <t xml:space="preserve"> teel</t>
  </si>
  <si>
    <t xml:space="preserve"> pennypacker</t>
  </si>
  <si>
    <t xml:space="preserve"> santa clara - superior court</t>
  </si>
  <si>
    <t xml:space="preserve"> penney</t>
  </si>
  <si>
    <t xml:space="preserve"> penner</t>
  </si>
  <si>
    <t xml:space="preserve"> don</t>
  </si>
  <si>
    <t xml:space="preserve"> superior court for the county of fresno</t>
  </si>
  <si>
    <t xml:space="preserve"> rosendo</t>
  </si>
  <si>
    <t xml:space="preserve"> pellman</t>
  </si>
  <si>
    <t xml:space="preserve"> amy</t>
  </si>
  <si>
    <t xml:space="preserve"> peel</t>
  </si>
  <si>
    <t xml:space="preserve"> vernard</t>
  </si>
  <si>
    <t xml:space="preserve"> pastor</t>
  </si>
  <si>
    <t xml:space="preserve"> parsons</t>
  </si>
  <si>
    <t xml:space="preserve"> superior court of californiacounty of san mateo</t>
  </si>
  <si>
    <t xml:space="preserve"> department 9</t>
  </si>
  <si>
    <t xml:space="preserve"> parsky</t>
  </si>
  <si>
    <t xml:space="preserve"> parrish</t>
  </si>
  <si>
    <t xml:space="preserve"> parker</t>
  </si>
  <si>
    <t xml:space="preserve"> superior courtsutter co d</t>
  </si>
  <si>
    <t xml:space="preserve"> panetta</t>
  </si>
  <si>
    <t xml:space="preserve"> mcintyre</t>
  </si>
  <si>
    <t xml:space="preserve"> palazuelos</t>
  </si>
  <si>
    <t xml:space="preserve"> paer</t>
  </si>
  <si>
    <t xml:space="preserve"> paden</t>
  </si>
  <si>
    <t xml:space="preserve"> gery</t>
  </si>
  <si>
    <t xml:space="preserve"> lewis</t>
  </si>
  <si>
    <t xml:space="preserve"> pachelo</t>
  </si>
  <si>
    <t xml:space="preserve"> pacheco</t>
  </si>
  <si>
    <t xml:space="preserve"> pace</t>
  </si>
  <si>
    <t xml:space="preserve"> annemarie</t>
  </si>
  <si>
    <t xml:space="preserve"> san bernardino county superior court</t>
  </si>
  <si>
    <t xml:space="preserve"> overton</t>
  </si>
  <si>
    <t xml:space="preserve"> weinstein</t>
  </si>
  <si>
    <t xml:space="preserve"> ottolia</t>
  </si>
  <si>
    <t xml:space="preserve"> otto</t>
  </si>
  <si>
    <t xml:space="preserve"> superior court ca county of los angeles</t>
  </si>
  <si>
    <t xml:space="preserve"> ottenweller</t>
  </si>
  <si>
    <t xml:space="preserve"> sonoma superior court</t>
  </si>
  <si>
    <t xml:space="preserve"> osorio</t>
  </si>
  <si>
    <t xml:space="preserve"> benny</t>
  </si>
  <si>
    <t xml:space="preserve"> cornelio</t>
  </si>
  <si>
    <t xml:space="preserve"> orozco</t>
  </si>
  <si>
    <t xml:space="preserve"> yolanda</t>
  </si>
  <si>
    <t xml:space="preserve"> o'rourke</t>
  </si>
  <si>
    <t xml:space="preserve"> byron</t>
  </si>
  <si>
    <t xml:space="preserve"> district 4 div. 1</t>
  </si>
  <si>
    <t xml:space="preserve"> oros</t>
  </si>
  <si>
    <t xml:space="preserve"> delbert</t>
  </si>
  <si>
    <t xml:space="preserve"> orndoff</t>
  </si>
  <si>
    <t xml:space="preserve"> orfield</t>
  </si>
  <si>
    <t xml:space="preserve"> adrienne</t>
  </si>
  <si>
    <t xml:space="preserve"> orcutt</t>
  </si>
  <si>
    <t xml:space="preserve"> jean</t>
  </si>
  <si>
    <t xml:space="preserve"> san joequin county superior court</t>
  </si>
  <si>
    <t xml:space="preserve"> ongkeko</t>
  </si>
  <si>
    <t xml:space="preserve"> rafael(ralph)</t>
  </si>
  <si>
    <t xml:space="preserve"> ong</t>
  </si>
  <si>
    <t xml:space="preserve"> tomson</t>
  </si>
  <si>
    <t xml:space="preserve"> oneill</t>
  </si>
  <si>
    <t xml:space="preserve"> vincent</t>
  </si>
  <si>
    <t xml:space="preserve"> ventura superior court</t>
  </si>
  <si>
    <t xml:space="preserve"> o'neill</t>
  </si>
  <si>
    <t xml:space="preserve"> o'malley</t>
  </si>
  <si>
    <t xml:space="preserve"> olson</t>
  </si>
  <si>
    <t xml:space="preserve"> los angels superior court</t>
  </si>
  <si>
    <t xml:space="preserve"> olmedo</t>
  </si>
  <si>
    <t xml:space="preserve"> charlaine</t>
  </si>
  <si>
    <t xml:space="preserve"> frieda</t>
  </si>
  <si>
    <t xml:space="preserve"> olivera</t>
  </si>
  <si>
    <t xml:space="preserve"> ufkes</t>
  </si>
  <si>
    <t xml:space="preserve"> oliver</t>
  </si>
  <si>
    <t xml:space="preserve"> harocn</t>
  </si>
  <si>
    <t xml:space="preserve"> fresno county superior court office #12</t>
  </si>
  <si>
    <t xml:space="preserve"> o'leary</t>
  </si>
  <si>
    <t xml:space="preserve"> fourth appellate districtdivision three</t>
  </si>
  <si>
    <t xml:space="preserve"> oldendorf</t>
  </si>
  <si>
    <t xml:space="preserve"> oki</t>
  </si>
  <si>
    <t xml:space="preserve"> dan</t>
  </si>
  <si>
    <t xml:space="preserve"> okamoto</t>
  </si>
  <si>
    <t xml:space="preserve"> hichiro</t>
  </si>
  <si>
    <t xml:space="preserve"> ohta</t>
  </si>
  <si>
    <t xml:space="preserve"> sam</t>
  </si>
  <si>
    <t xml:space="preserve"> oglesby</t>
  </si>
  <si>
    <t xml:space="preserve"> kern county</t>
  </si>
  <si>
    <t xml:space="preserve"> ocden steven</t>
  </si>
  <si>
    <t xml:space="preserve"> o'gara</t>
  </si>
  <si>
    <t xml:space="preserve"> o'flaherty</t>
  </si>
  <si>
    <t xml:space="preserve"> wilde</t>
  </si>
  <si>
    <t xml:space="preserve"> placeer county superior court</t>
  </si>
  <si>
    <t xml:space="preserve"> o'donnell</t>
  </si>
  <si>
    <t xml:space="preserve"> joanne</t>
  </si>
  <si>
    <t xml:space="preserve"> o'connor</t>
  </si>
  <si>
    <t xml:space="preserve"> yuba county superior court</t>
  </si>
  <si>
    <t xml:space="preserve"> yuba county superior court judge</t>
  </si>
  <si>
    <t xml:space="preserve"> o'conneli</t>
  </si>
  <si>
    <t xml:space="preserve"> beverly</t>
  </si>
  <si>
    <t xml:space="preserve"> ochoa</t>
  </si>
  <si>
    <t xml:space="preserve"> gilbert</t>
  </si>
  <si>
    <t xml:space="preserve"> santa barbara superior court</t>
  </si>
  <si>
    <t xml:space="preserve"> anacapa division</t>
  </si>
  <si>
    <t xml:space="preserve"> ocampo</t>
  </si>
  <si>
    <t xml:space="preserve"> ricardo</t>
  </si>
  <si>
    <t xml:space="preserve"> roces</t>
  </si>
  <si>
    <t xml:space="preserve"> agency namesuperior court of california</t>
  </si>
  <si>
    <t xml:space="preserve"> oberholtzer</t>
  </si>
  <si>
    <t xml:space="preserve"> oakley</t>
  </si>
  <si>
    <t xml:space="preserve"> county of madera</t>
  </si>
  <si>
    <t xml:space="preserve"> nystrom-geist</t>
  </si>
  <si>
    <t xml:space="preserve"> kimberly</t>
  </si>
  <si>
    <t xml:space="preserve"> jeanne</t>
  </si>
  <si>
    <t xml:space="preserve"> nunley</t>
  </si>
  <si>
    <t xml:space="preserve"> troy</t>
  </si>
  <si>
    <t xml:space="preserve"> lynne</t>
  </si>
  <si>
    <t xml:space="preserve"> nugent</t>
  </si>
  <si>
    <t xml:space="preserve"> nudell</t>
  </si>
  <si>
    <t xml:space="preserve"> joy</t>
  </si>
  <si>
    <t xml:space="preserve"> n.w. district van nuys</t>
  </si>
  <si>
    <t xml:space="preserve"> novak</t>
  </si>
  <si>
    <t xml:space="preserve"> superior court of california san mayeo county</t>
  </si>
  <si>
    <t xml:space="preserve"> northway</t>
  </si>
  <si>
    <t xml:space="preserve"> northup</t>
  </si>
  <si>
    <t xml:space="preserve"> san joaquin superior court</t>
  </si>
  <si>
    <t xml:space="preserve"> nonthridoe</t>
  </si>
  <si>
    <t xml:space="preserve"> neill</t>
  </si>
  <si>
    <t xml:space="preserve"> nishimoto</t>
  </si>
  <si>
    <t xml:space="preserve"> cary</t>
  </si>
  <si>
    <t xml:space="preserve"> nishigaya daniel</t>
  </si>
  <si>
    <t xml:space="preserve"> daniel toru</t>
  </si>
  <si>
    <t xml:space="preserve"> nieto</t>
  </si>
  <si>
    <t xml:space="preserve"> nicholson</t>
  </si>
  <si>
    <t xml:space="preserve"> third appellate district</t>
  </si>
  <si>
    <t xml:space="preserve"> nichols</t>
  </si>
  <si>
    <t xml:space="preserve"> nguyen</t>
  </si>
  <si>
    <t xml:space="preserve"> john nho</t>
  </si>
  <si>
    <t xml:space="preserve"> trong</t>
  </si>
  <si>
    <t xml:space="preserve"> newman</t>
  </si>
  <si>
    <t xml:space="preserve"> superior court- los angeles</t>
  </si>
  <si>
    <t xml:space="preserve"> nevitt</t>
  </si>
  <si>
    <t xml:space="preserve"> renwickjr</t>
  </si>
  <si>
    <t xml:space="preserve"> nelson sr.</t>
  </si>
  <si>
    <t xml:space="preserve"> superior courts- state of california- los angeles</t>
  </si>
  <si>
    <t xml:space="preserve"> dept. 2 whittier</t>
  </si>
  <si>
    <t xml:space="preserve"> nelson</t>
  </si>
  <si>
    <t xml:space="preserve"> maren</t>
  </si>
  <si>
    <t xml:space="preserve"> earl</t>
  </si>
  <si>
    <t xml:space="preserve"> bradley</t>
  </si>
  <si>
    <t xml:space="preserve"> mendocino county superior court</t>
  </si>
  <si>
    <t xml:space="preserve"> needham</t>
  </si>
  <si>
    <t xml:space="preserve"> court of appeal first district</t>
  </si>
  <si>
    <t xml:space="preserve"> navarro</t>
  </si>
  <si>
    <t xml:space="preserve"> nash</t>
  </si>
  <si>
    <t xml:space="preserve"> lloyd</t>
  </si>
  <si>
    <t xml:space="preserve"> nares</t>
  </si>
  <si>
    <t xml:space="preserve"> fourth district division one</t>
  </si>
  <si>
    <t xml:space="preserve"> naranjo</t>
  </si>
  <si>
    <t xml:space="preserve"> nakata</t>
  </si>
  <si>
    <t xml:space="preserve"> county of san bernardino victorville district</t>
  </si>
  <si>
    <t xml:space="preserve"> nakamura</t>
  </si>
  <si>
    <t xml:space="preserve"> kirk</t>
  </si>
  <si>
    <t xml:space="preserve"> haruo</t>
  </si>
  <si>
    <t xml:space="preserve"> nakshara</t>
  </si>
  <si>
    <t xml:space="preserve"> vernon</t>
  </si>
  <si>
    <t xml:space="preserve"> nadler</t>
  </si>
  <si>
    <t xml:space="preserve"> jerome</t>
  </si>
  <si>
    <t xml:space="preserve"> murray (jr.)</t>
  </si>
  <si>
    <t xml:space="preserve"> murphy</t>
  </si>
  <si>
    <t xml:space="preserve"> mary ann</t>
  </si>
  <si>
    <t xml:space="preserve"> kevin</t>
  </si>
  <si>
    <t xml:space="preserve"> munter</t>
  </si>
  <si>
    <t xml:space="preserve"> edgar</t>
  </si>
  <si>
    <t xml:space="preserve"> munoz</t>
  </si>
  <si>
    <t xml:space="preserve"> mullen</t>
  </si>
  <si>
    <t xml:space="preserve"> shawn</t>
  </si>
  <si>
    <t xml:space="preserve"> moss</t>
  </si>
  <si>
    <t xml:space="preserve"> mosk 12 feb 23</t>
  </si>
  <si>
    <t xml:space="preserve"> second appellate district division 5</t>
  </si>
  <si>
    <t xml:space="preserve"> moses</t>
  </si>
  <si>
    <t xml:space="preserve"> jared</t>
  </si>
  <si>
    <t xml:space="preserve"> mosbarger</t>
  </si>
  <si>
    <t xml:space="preserve"> tamara</t>
  </si>
  <si>
    <t xml:space="preserve"> moruza</t>
  </si>
  <si>
    <t xml:space="preserve"> christine</t>
  </si>
  <si>
    <t xml:space="preserve"> state of california county of alameda superior court</t>
  </si>
  <si>
    <t xml:space="preserve"> miriam</t>
  </si>
  <si>
    <t xml:space="preserve"> ivy</t>
  </si>
  <si>
    <t xml:space="preserve"> barstow district</t>
  </si>
  <si>
    <t xml:space="preserve"> morse</t>
  </si>
  <si>
    <t xml:space="preserve"> heather</t>
  </si>
  <si>
    <t xml:space="preserve"> juvenile delinquency</t>
  </si>
  <si>
    <t xml:space="preserve"> moring</t>
  </si>
  <si>
    <t xml:space="preserve"> dwayne</t>
  </si>
  <si>
    <t xml:space="preserve"> kenyatta</t>
  </si>
  <si>
    <t xml:space="preserve"> morgan</t>
  </si>
  <si>
    <t xml:space="preserve"> brett</t>
  </si>
  <si>
    <t xml:space="preserve"> huston</t>
  </si>
  <si>
    <t xml:space="preserve"> moreton</t>
  </si>
  <si>
    <t xml:space="preserve"> moranda</t>
  </si>
  <si>
    <t xml:space="preserve"> state of california county of merced</t>
  </si>
  <si>
    <t xml:space="preserve"> moorman 12 feb 29</t>
  </si>
  <si>
    <t xml:space="preserve"> carole</t>
  </si>
  <si>
    <t xml:space="preserve"> county of mendocino</t>
  </si>
  <si>
    <t xml:space="preserve"> judicial officer</t>
  </si>
  <si>
    <t xml:space="preserve"> moore</t>
  </si>
  <si>
    <t xml:space="preserve"> eileen</t>
  </si>
  <si>
    <t xml:space="preserve"> district four division three</t>
  </si>
  <si>
    <t xml:space="preserve"> dwight</t>
  </si>
  <si>
    <t xml:space="preserve"> mooney</t>
  </si>
  <si>
    <t xml:space="preserve"> monterosso</t>
  </si>
  <si>
    <t xml:space="preserve"> montejano</t>
  </si>
  <si>
    <t xml:space="preserve"> monroy</t>
  </si>
  <si>
    <t xml:space="preserve"> monroe</t>
  </si>
  <si>
    <t xml:space="preserve"> monahan</t>
  </si>
  <si>
    <t xml:space="preserve"> moloney</t>
  </si>
  <si>
    <t xml:space="preserve"> molloy</t>
  </si>
  <si>
    <t xml:space="preserve"> devlon</t>
  </si>
  <si>
    <t xml:space="preserve"> superior court of california - county of reverside</t>
  </si>
  <si>
    <t xml:space="preserve"> mohr</t>
  </si>
  <si>
    <t xml:space="preserve"> j</t>
  </si>
  <si>
    <t xml:space="preserve"> mock</t>
  </si>
  <si>
    <t xml:space="preserve"> department three</t>
  </si>
  <si>
    <t xml:space="preserve"> moberly</t>
  </si>
  <si>
    <t xml:space="preserve"> jamoa</t>
  </si>
  <si>
    <t xml:space="preserve"> athena</t>
  </si>
  <si>
    <t xml:space="preserve"> superior court - county of orange</t>
  </si>
  <si>
    <t xml:space="preserve"> mize</t>
  </si>
  <si>
    <t xml:space="preserve"> sacramento superior court</t>
  </si>
  <si>
    <t xml:space="preserve"> sate of california</t>
  </si>
  <si>
    <t xml:space="preserve"> sebastian</t>
  </si>
  <si>
    <t xml:space="preserve"> daviann</t>
  </si>
  <si>
    <t xml:space="preserve"> lilee</t>
  </si>
  <si>
    <t xml:space="preserve"> criminal - north</t>
  </si>
  <si>
    <t xml:space="preserve"> dept. 133 central</t>
  </si>
  <si>
    <t xml:space="preserve"> mirich</t>
  </si>
  <si>
    <t xml:space="preserve"> superior court of state of california</t>
  </si>
  <si>
    <t xml:space="preserve"> miram</t>
  </si>
  <si>
    <t xml:space="preserve"> antony</t>
  </si>
  <si>
    <t xml:space="preserve"> mira lawrence</t>
  </si>
  <si>
    <t xml:space="preserve"> lawrence</t>
  </si>
  <si>
    <t xml:space="preserve"> minto</t>
  </si>
  <si>
    <t xml:space="preserve"> east district pomona south</t>
  </si>
  <si>
    <t xml:space="preserve"> minning</t>
  </si>
  <si>
    <t xml:space="preserve"> mineta</t>
  </si>
  <si>
    <t xml:space="preserve"> elisabeth</t>
  </si>
  <si>
    <t xml:space="preserve"> keiko</t>
  </si>
  <si>
    <t xml:space="preserve"> county of monterey</t>
  </si>
  <si>
    <t xml:space="preserve"> milton</t>
  </si>
  <si>
    <t xml:space="preserve"> mills</t>
  </si>
  <si>
    <t xml:space="preserve"> cheryl</t>
  </si>
  <si>
    <t xml:space="preserve"> rae</t>
  </si>
  <si>
    <t xml:space="preserve"> millington</t>
  </si>
  <si>
    <t xml:space="preserve"> department 7</t>
  </si>
  <si>
    <t xml:space="preserve"> miller sloan</t>
  </si>
  <si>
    <t xml:space="preserve"> miller</t>
  </si>
  <si>
    <t xml:space="preserve"> rita</t>
  </si>
  <si>
    <t xml:space="preserve"> superior court of california county of san francisco</t>
  </si>
  <si>
    <t xml:space="preserve"> franz</t>
  </si>
  <si>
    <t xml:space="preserve"> superior court - orange county</t>
  </si>
  <si>
    <t xml:space="preserve"> millard mark</t>
  </si>
  <si>
    <t xml:space="preserve"> s.rula dalief</t>
  </si>
  <si>
    <t xml:space="preserve"> miles</t>
  </si>
  <si>
    <t xml:space="preserve"> marilyn</t>
  </si>
  <si>
    <t xml:space="preserve"> mihara</t>
  </si>
  <si>
    <t xml:space="preserve"> 6th district</t>
  </si>
  <si>
    <t xml:space="preserve"> meza</t>
  </si>
  <si>
    <t xml:space="preserve"> amalia</t>
  </si>
  <si>
    <t xml:space="preserve"> meyers</t>
  </si>
  <si>
    <t xml:space="preserve"> superior court of the state of california for the county of los angeles</t>
  </si>
  <si>
    <t xml:space="preserve"> southeast district of the los angeles county superior court</t>
  </si>
  <si>
    <t xml:space="preserve"> meyer</t>
  </si>
  <si>
    <t xml:space="preserve"> levey</t>
  </si>
  <si>
    <t xml:space="preserve"> mewhinney</t>
  </si>
  <si>
    <t xml:space="preserve"> vernie</t>
  </si>
  <si>
    <t xml:space="preserve"> calaveras superior court</t>
  </si>
  <si>
    <t xml:space="preserve"> merritt</t>
  </si>
  <si>
    <t xml:space="preserve"> hilleri</t>
  </si>
  <si>
    <t xml:space="preserve"> menninger</t>
  </si>
  <si>
    <t xml:space="preserve"> superior court of orange county</t>
  </si>
  <si>
    <t xml:space="preserve"> meloch</t>
  </si>
  <si>
    <t xml:space="preserve"> sally</t>
  </si>
  <si>
    <t xml:space="preserve"> melikian</t>
  </si>
  <si>
    <t xml:space="preserve"> meisinger</t>
  </si>
  <si>
    <t xml:space="preserve"> meigs</t>
  </si>
  <si>
    <t xml:space="preserve"> department 2</t>
  </si>
  <si>
    <t xml:space="preserve"> meiers</t>
  </si>
  <si>
    <t xml:space="preserve"> mosk department 12</t>
  </si>
  <si>
    <t xml:space="preserve"> meeka</t>
  </si>
  <si>
    <t xml:space="preserve"> meegan</t>
  </si>
  <si>
    <t xml:space="preserve"> chun</t>
  </si>
  <si>
    <t xml:space="preserve"> medvigy gary alan</t>
  </si>
  <si>
    <t xml:space="preserve"> medel</t>
  </si>
  <si>
    <t xml:space="preserve"> mcnerney</t>
  </si>
  <si>
    <t xml:space="preserve"> daniel barrett</t>
  </si>
  <si>
    <t xml:space="preserve"> arrett</t>
  </si>
  <si>
    <t xml:space="preserve"> mcnatt</t>
  </si>
  <si>
    <t xml:space="preserve"> bobby</t>
  </si>
  <si>
    <t xml:space="preserve"> mcmanus</t>
  </si>
  <si>
    <t xml:space="preserve"> nevada county superior court</t>
  </si>
  <si>
    <t xml:space="preserve"> mclean</t>
  </si>
  <si>
    <t xml:space="preserve"> sandra</t>
  </si>
  <si>
    <t xml:space="preserve"> mclaughlin</t>
  </si>
  <si>
    <t xml:space="preserve"> mclaughlin-bennett</t>
  </si>
  <si>
    <t xml:space="preserve"> denise marie</t>
  </si>
  <si>
    <t xml:space="preserve"> los angeles superior court - north district</t>
  </si>
  <si>
    <t xml:space="preserve"> mcknew jr</t>
  </si>
  <si>
    <t xml:space="preserve"> iva</t>
  </si>
  <si>
    <t xml:space="preserve"> california superior court county of los angeles</t>
  </si>
  <si>
    <t xml:space="preserve"> mckinster</t>
  </si>
  <si>
    <t xml:space="preserve"> art</t>
  </si>
  <si>
    <t xml:space="preserve"> wilkie</t>
  </si>
  <si>
    <t xml:space="preserve"> mckenney</t>
  </si>
  <si>
    <t xml:space="preserve"> mckay</t>
  </si>
  <si>
    <t xml:space="preserve"> patti</t>
  </si>
  <si>
    <t xml:space="preserve"> jo</t>
  </si>
  <si>
    <t xml:space="preserve"> mckay mccoy</t>
  </si>
  <si>
    <t xml:space="preserve"> lorraine</t>
  </si>
  <si>
    <t xml:space="preserve"> state of california superior court of santa clara county</t>
  </si>
  <si>
    <t xml:space="preserve"> ca court of appeal</t>
  </si>
  <si>
    <t xml:space="preserve"> mcguire</t>
  </si>
  <si>
    <t xml:space="preserve"> rosemary</t>
  </si>
  <si>
    <t xml:space="preserve"> mcguiness</t>
  </si>
  <si>
    <t xml:space="preserve"> court of appeal presiding justice</t>
  </si>
  <si>
    <t xml:space="preserve"> division three</t>
  </si>
  <si>
    <t xml:space="preserve"> mcguiness robert</t>
  </si>
  <si>
    <t xml:space="preserve"> denis</t>
  </si>
  <si>
    <t xml:space="preserve"> mcgrath</t>
  </si>
  <si>
    <t xml:space="preserve"> mcgowen</t>
  </si>
  <si>
    <t xml:space="preserve"> beth</t>
  </si>
  <si>
    <t xml:space="preserve"> mcgee</t>
  </si>
  <si>
    <t xml:space="preserve"> mcfetridge</t>
  </si>
  <si>
    <t xml:space="preserve"> superior court sacramento county</t>
  </si>
  <si>
    <t xml:space="preserve"> mcfadden</t>
  </si>
  <si>
    <t xml:space="preserve"> mcelhany</t>
  </si>
  <si>
    <t xml:space="preserve"> poul</t>
  </si>
  <si>
    <t xml:space="preserve"> meeachen</t>
  </si>
  <si>
    <t xml:space="preserve"> thoma</t>
  </si>
  <si>
    <t xml:space="preserve"> superior court orange county </t>
  </si>
  <si>
    <t xml:space="preserve"> mcdonald</t>
  </si>
  <si>
    <t xml:space="preserve"> court of appeal associate justice</t>
  </si>
  <si>
    <t xml:space="preserve"> district four division one</t>
  </si>
  <si>
    <t xml:space="preserve"> mccracken</t>
  </si>
  <si>
    <t xml:space="preserve"> mccoy</t>
  </si>
  <si>
    <t xml:space="preserve"> judicial branch</t>
  </si>
  <si>
    <t xml:space="preserve"> mccormick</t>
  </si>
  <si>
    <t xml:space="preserve"> superior court of california country of sacramento</t>
  </si>
  <si>
    <t xml:space="preserve"> mcconnell</t>
  </si>
  <si>
    <t xml:space="preserve"> fourth appellate district division one</t>
  </si>
  <si>
    <t xml:space="preserve"> mccarville</t>
  </si>
  <si>
    <t xml:space="preserve"> superior court of california country of san bernardio</t>
  </si>
  <si>
    <t xml:space="preserve"> mccartin</t>
  </si>
  <si>
    <t xml:space="preserve"> sterliug</t>
  </si>
  <si>
    <t xml:space="preserve"> mccann</t>
  </si>
  <si>
    <t xml:space="preserve"> bridgid</t>
  </si>
  <si>
    <t xml:space="preserve"> superior court of the sate of of california</t>
  </si>
  <si>
    <t xml:space="preserve"> county of san bernardinosan bernardino</t>
  </si>
  <si>
    <t xml:space="preserve"> mccabe</t>
  </si>
  <si>
    <t xml:space="preserve"> mcbrien</t>
  </si>
  <si>
    <t xml:space="preserve"> mcbride</t>
  </si>
  <si>
    <t xml:space="preserve"> mcadam</t>
  </si>
  <si>
    <t xml:space="preserve"> hays</t>
  </si>
  <si>
    <t xml:space="preserve"> samuel</t>
  </si>
  <si>
    <t xml:space="preserve"> thow</t>
  </si>
  <si>
    <t xml:space="preserve"> yulo superior court</t>
  </si>
  <si>
    <t xml:space="preserve"> mazurek</t>
  </si>
  <si>
    <t xml:space="preserve"> mayhew</t>
  </si>
  <si>
    <t xml:space="preserve"> stanislaus superior court</t>
  </si>
  <si>
    <t xml:space="preserve"> mayfield</t>
  </si>
  <si>
    <t xml:space="preserve"> cindee</t>
  </si>
  <si>
    <t xml:space="preserve"> mavis</t>
  </si>
  <si>
    <t xml:space="preserve"> darrell</t>
  </si>
  <si>
    <t xml:space="preserve"> the superior court - los angeles county</t>
  </si>
  <si>
    <t xml:space="preserve"> mautino</t>
  </si>
  <si>
    <t xml:space="preserve"> mauro</t>
  </si>
  <si>
    <t xml:space="preserve"> matz</t>
  </si>
  <si>
    <t xml:space="preserve"> anne</t>
  </si>
  <si>
    <t xml:space="preserve"> mattice</t>
  </si>
  <si>
    <t xml:space="preserve"> superior court of california in and for the county of solano</t>
  </si>
  <si>
    <t xml:space="preserve"> department 10</t>
  </si>
  <si>
    <t xml:space="preserve"> mathias</t>
  </si>
  <si>
    <t xml:space="preserve"> matcham</t>
  </si>
  <si>
    <t xml:space="preserve"> masunaga</t>
  </si>
  <si>
    <t xml:space="preserve"> siskiyou county superior court</t>
  </si>
  <si>
    <t xml:space="preserve"> massullo</t>
  </si>
  <si>
    <t xml:space="preserve"> anne-christine</t>
  </si>
  <si>
    <t xml:space="preserve"> theresa</t>
  </si>
  <si>
    <t xml:space="preserve"> mason</t>
  </si>
  <si>
    <t xml:space="preserve"> tomar</t>
  </si>
  <si>
    <t xml:space="preserve"> modoc county superior court</t>
  </si>
  <si>
    <t xml:space="preserve"> martinez</t>
  </si>
  <si>
    <t xml:space="preserve"> superior court san bernardino county</t>
  </si>
  <si>
    <t xml:space="preserve"> chino</t>
  </si>
  <si>
    <t xml:space="preserve"> lia</t>
  </si>
  <si>
    <t xml:space="preserve"> raeshawn</t>
  </si>
  <si>
    <t xml:space="preserve"> n.</t>
  </si>
  <si>
    <t xml:space="preserve"> calanvas county superior court</t>
  </si>
  <si>
    <t xml:space="preserve"> marshall</t>
  </si>
  <si>
    <t xml:space="preserve"> juvenile division / san bernardino district</t>
  </si>
  <si>
    <t xml:space="preserve"> marrs</t>
  </si>
  <si>
    <t xml:space="preserve"> bruce frederick</t>
  </si>
  <si>
    <t xml:space="preserve"> los angeles superior count</t>
  </si>
  <si>
    <t xml:space="preserve"> marmaro</t>
  </si>
  <si>
    <t xml:space="preserve"> marc</t>
  </si>
  <si>
    <t xml:space="preserve"> marlow</t>
  </si>
  <si>
    <t xml:space="preserve"> marjane</t>
  </si>
  <si>
    <t xml:space="preserve"> shasta county</t>
  </si>
  <si>
    <t xml:space="preserve"> marlette</t>
  </si>
  <si>
    <t xml:space="preserve"> marks</t>
  </si>
  <si>
    <t xml:space="preserve"> s deputy</t>
  </si>
  <si>
    <t xml:space="preserve"> markman</t>
  </si>
  <si>
    <t xml:space="preserve"> bf wiesenfeld</t>
  </si>
  <si>
    <t xml:space="preserve"> marigonda</t>
  </si>
  <si>
    <t xml:space="preserve"> mario</t>
  </si>
  <si>
    <t xml:space="preserve"> superior court of california county of santa cruz</t>
  </si>
  <si>
    <t xml:space="preserve"> margulies</t>
  </si>
  <si>
    <t xml:space="preserve"> first district division 1</t>
  </si>
  <si>
    <t xml:space="preserve"> margnes</t>
  </si>
  <si>
    <t xml:space="preserve"> county of orange central justice center</t>
  </si>
  <si>
    <t xml:space="preserve"> marcus</t>
  </si>
  <si>
    <t xml:space="preserve"> austin</t>
  </si>
  <si>
    <t xml:space="preserve"> marcoida</t>
  </si>
  <si>
    <t xml:space="preserve"> guadalupe</t>
  </si>
  <si>
    <t xml:space="preserve"> marchiano</t>
  </si>
  <si>
    <t xml:space="preserve"> california court of appeal first district</t>
  </si>
  <si>
    <t xml:space="preserve"> division one presiding justice</t>
  </si>
  <si>
    <t xml:space="preserve"> mapes</t>
  </si>
  <si>
    <t xml:space="preserve"> manssourian</t>
  </si>
  <si>
    <t xml:space="preserve"> andre</t>
  </si>
  <si>
    <t xml:space="preserve"> manoukian socrater pe</t>
  </si>
  <si>
    <t xml:space="preserve"> superior court county of santa clara</t>
  </si>
  <si>
    <t xml:space="preserve"> manley</t>
  </si>
  <si>
    <t xml:space="preserve"> manella</t>
  </si>
  <si>
    <t xml:space="preserve"> nora</t>
  </si>
  <si>
    <t xml:space="preserve"> mandio</t>
  </si>
  <si>
    <t xml:space="preserve"> mandel</t>
  </si>
  <si>
    <t xml:space="preserve"> malone</t>
  </si>
  <si>
    <t xml:space="preserve"> victorville division</t>
  </si>
  <si>
    <t xml:space="preserve"> mallett</t>
  </si>
  <si>
    <t xml:space="preserve"> mallano</t>
  </si>
  <si>
    <t xml:space="preserve"> mallach</t>
  </si>
  <si>
    <t xml:space="preserve"> maldonado</t>
  </si>
  <si>
    <t xml:space="preserve"> superior court of monterey county state of california</t>
  </si>
  <si>
    <t xml:space="preserve"> majors-lewis</t>
  </si>
  <si>
    <t xml:space="preserve"> bernadette</t>
  </si>
  <si>
    <t xml:space="preserve"> maino</t>
  </si>
  <si>
    <t xml:space="preserve"> runston</t>
  </si>
  <si>
    <t xml:space="preserve"> maier</t>
  </si>
  <si>
    <t xml:space="preserve"> clare</t>
  </si>
  <si>
    <t xml:space="preserve"> superior court contra costa county</t>
  </si>
  <si>
    <t xml:space="preserve"> mahoney</t>
  </si>
  <si>
    <t xml:space="preserve"> maguire</t>
  </si>
  <si>
    <t xml:space="preserve"> magit</t>
  </si>
  <si>
    <t xml:space="preserve"> supermidcourt of ca county of mono g</t>
  </si>
  <si>
    <t xml:space="preserve"> mono county superior court</t>
  </si>
  <si>
    <t xml:space="preserve"> mader</t>
  </si>
  <si>
    <t xml:space="preserve"> katherine</t>
  </si>
  <si>
    <t xml:space="preserve"> maddock</t>
  </si>
  <si>
    <t xml:space="preserve"> madden</t>
  </si>
  <si>
    <t xml:space="preserve"> maclaren</t>
  </si>
  <si>
    <t xml:space="preserve"> ronni</t>
  </si>
  <si>
    <t xml:space="preserve"> banks</t>
  </si>
  <si>
    <t xml:space="preserve"> mackey</t>
  </si>
  <si>
    <t xml:space="preserve"> malcolm</t>
  </si>
  <si>
    <t xml:space="preserve"> stanley mosk counthouse (central)</t>
  </si>
  <si>
    <t xml:space="preserve"> mackenzie</t>
  </si>
  <si>
    <t xml:space="preserve"> machida</t>
  </si>
  <si>
    <t xml:space="preserve"> kenji</t>
  </si>
  <si>
    <t xml:space="preserve"> maclaughlin</t>
  </si>
  <si>
    <t xml:space="preserve"> maas iii</t>
  </si>
  <si>
    <t xml:space="preserve"> lyons</t>
  </si>
  <si>
    <t xml:space="preserve"> dalila</t>
  </si>
  <si>
    <t xml:space="preserve"> lund</t>
  </si>
  <si>
    <t xml:space="preserve"> luna</t>
  </si>
  <si>
    <t xml:space="preserve"> ana maria</t>
  </si>
  <si>
    <t xml:space="preserve"> mac</t>
  </si>
  <si>
    <t xml:space="preserve"> lueras</t>
  </si>
  <si>
    <t xml:space="preserve"> arne</t>
  </si>
  <si>
    <t xml:space="preserve"> luebs</t>
  </si>
  <si>
    <t xml:space="preserve"> ludvigsen</t>
  </si>
  <si>
    <t xml:space="preserve"> lucky</t>
  </si>
  <si>
    <t xml:space="preserve"> lucero</t>
  </si>
  <si>
    <t xml:space="preserve"> lucena</t>
  </si>
  <si>
    <t xml:space="preserve"> kristen</t>
  </si>
  <si>
    <t xml:space="preserve"> lucas</t>
  </si>
  <si>
    <t xml:space="preserve"> lucaccini</t>
  </si>
  <si>
    <t xml:space="preserve"> lua</t>
  </si>
  <si>
    <t xml:space="preserve"> waipa</t>
  </si>
  <si>
    <t xml:space="preserve"> lu</t>
  </si>
  <si>
    <t xml:space="preserve"> lott</t>
  </si>
  <si>
    <t xml:space="preserve"> lord</t>
  </si>
  <si>
    <t xml:space="preserve"> lopez-giss</t>
  </si>
  <si>
    <t xml:space="preserve"> lopez</t>
  </si>
  <si>
    <t xml:space="preserve"> los angeles superior</t>
  </si>
  <si>
    <t xml:space="preserve"> longstreth</t>
  </si>
  <si>
    <t xml:space="preserve"> christy</t>
  </si>
  <si>
    <t xml:space="preserve"> lonergan</t>
  </si>
  <si>
    <t xml:space="preserve"> london</t>
  </si>
  <si>
    <t xml:space="preserve"> loftus jr</t>
  </si>
  <si>
    <t xml:space="preserve"> superior court santa clara county</t>
  </si>
  <si>
    <t xml:space="preserve"> lofthus</t>
  </si>
  <si>
    <t xml:space="preserve"> lou</t>
  </si>
  <si>
    <t xml:space="preserve"> livermore</t>
  </si>
  <si>
    <t xml:space="preserve"> clifton</t>
  </si>
  <si>
    <t xml:space="preserve"> county of san mateo</t>
  </si>
  <si>
    <t xml:space="preserve"> liu</t>
  </si>
  <si>
    <t xml:space="preserve"> goodwin</t>
  </si>
  <si>
    <t xml:space="preserve"> little</t>
  </si>
  <si>
    <t xml:space="preserve"> alyson</t>
  </si>
  <si>
    <t xml:space="preserve"> lippitt</t>
  </si>
  <si>
    <t xml:space="preserve"> northwest district</t>
  </si>
  <si>
    <t xml:space="preserve"> link</t>
  </si>
  <si>
    <t xml:space="preserve"> linfield</t>
  </si>
  <si>
    <t xml:space="preserve"> lindley</t>
  </si>
  <si>
    <t xml:space="preserve"> suzanne</t>
  </si>
  <si>
    <t xml:space="preserve"> liebmann</t>
  </si>
  <si>
    <t xml:space="preserve"> q</t>
  </si>
  <si>
    <t xml:space="preserve"> licalsi</t>
  </si>
  <si>
    <t xml:space="preserve"> madera superior court</t>
  </si>
  <si>
    <t xml:space="preserve"> libutti</t>
  </si>
  <si>
    <t xml:space="preserve"> lewis thomas</t>
  </si>
  <si>
    <t xml:space="preserve"> trent</t>
  </si>
  <si>
    <t xml:space="preserve"> superior court kern county state of california</t>
  </si>
  <si>
    <t xml:space="preserve"> margo</t>
  </si>
  <si>
    <t xml:space="preserve"> lantz</t>
  </si>
  <si>
    <t xml:space="preserve"> superior court of californiacounty of orange</t>
  </si>
  <si>
    <t xml:space="preserve"> lew</t>
  </si>
  <si>
    <t xml:space="preserve"> levy</t>
  </si>
  <si>
    <t xml:space="preserve"> lrwin</t>
  </si>
  <si>
    <t xml:space="preserve"> fifth district court of appeal associate justice</t>
  </si>
  <si>
    <t xml:space="preserve"> levine</t>
  </si>
  <si>
    <t xml:space="preserve"> leversen</t>
  </si>
  <si>
    <t xml:space="preserve"> levanas</t>
  </si>
  <si>
    <t xml:space="preserve"> innes</t>
  </si>
  <si>
    <t xml:space="preserve"> leonard</t>
  </si>
  <si>
    <t xml:space="preserve"> pfciffer</t>
  </si>
  <si>
    <t xml:space="preserve"> na</t>
  </si>
  <si>
    <t xml:space="preserve"> lench</t>
  </si>
  <si>
    <t xml:space="preserve"> bonnie</t>
  </si>
  <si>
    <t xml:space="preserve"> leininger</t>
  </si>
  <si>
    <t xml:space="preserve"> lehman</t>
  </si>
  <si>
    <t xml:space="preserve"> lefkowitz</t>
  </si>
  <si>
    <t xml:space="preserve"> santa monica courthouse</t>
  </si>
  <si>
    <t xml:space="preserve"> jo-lynne</t>
  </si>
  <si>
    <t xml:space="preserve"> quong</t>
  </si>
  <si>
    <t xml:space="preserve"> superior of california county of san mateo</t>
  </si>
  <si>
    <t xml:space="preserve"> fredrick</t>
  </si>
  <si>
    <t xml:space="preserve"> ming-mei</t>
  </si>
  <si>
    <t xml:space="preserve"> caryl</t>
  </si>
  <si>
    <t xml:space="preserve"> lawson ii</t>
  </si>
  <si>
    <t xml:space="preserve"> clifford</t>
  </si>
  <si>
    <t xml:space="preserve"> lavorato</t>
  </si>
  <si>
    <t xml:space="preserve"> lavin</t>
  </si>
  <si>
    <t xml:space="preserve"> lasater</t>
  </si>
  <si>
    <t xml:space="preserve"> larsh</t>
  </si>
  <si>
    <t xml:space="preserve"> erick</t>
  </si>
  <si>
    <t xml:space="preserve"> change county superior court state of california</t>
  </si>
  <si>
    <t xml:space="preserve"> langford</t>
  </si>
  <si>
    <t xml:space="preserve"> lane</t>
  </si>
  <si>
    <t xml:space="preserve"> landin</t>
  </si>
  <si>
    <t xml:space="preserve"> landau</t>
  </si>
  <si>
    <t xml:space="preserve"> contra costa superior court</t>
  </si>
  <si>
    <t xml:space="preserve"> lampe</t>
  </si>
  <si>
    <t xml:space="preserve"> lambden</t>
  </si>
  <si>
    <t xml:space="preserve"> lamb</t>
  </si>
  <si>
    <t xml:space="preserve"> county of inyo</t>
  </si>
  <si>
    <t xml:space="preserve"> lam</t>
  </si>
  <si>
    <t xml:space="preserve"> newton</t>
  </si>
  <si>
    <t xml:space="preserve"> department 22</t>
  </si>
  <si>
    <t xml:space="preserve"> hall of justice</t>
  </si>
  <si>
    <t xml:space="preserve"> lagotta</t>
  </si>
  <si>
    <t xml:space="preserve"> kimberlee</t>
  </si>
  <si>
    <t xml:space="preserve"> lager</t>
  </si>
  <si>
    <t xml:space="preserve"> marvin</t>
  </si>
  <si>
    <t xml:space="preserve"> laforteza</t>
  </si>
  <si>
    <t xml:space="preserve"> bernie</t>
  </si>
  <si>
    <t xml:space="preserve"> clemente</t>
  </si>
  <si>
    <t xml:space="preserve"> laforge</t>
  </si>
  <si>
    <t xml:space="preserve"> laettner</t>
  </si>
  <si>
    <t xml:space="preserve"> laesecke</t>
  </si>
  <si>
    <t xml:space="preserve"> laporte</t>
  </si>
  <si>
    <t xml:space="preserve"> labarbeta</t>
  </si>
  <si>
    <t xml:space="preserve"> batty</t>
  </si>
  <si>
    <t xml:space="preserve"> sco superior ct</t>
  </si>
  <si>
    <t xml:space="preserve"> judge of siosct</t>
  </si>
  <si>
    <t xml:space="preserve"> kwong</t>
  </si>
  <si>
    <t xml:space="preserve"> oweal</t>
  </si>
  <si>
    <t xml:space="preserve"> kwan</t>
  </si>
  <si>
    <t xml:space="preserve"> ruth</t>
  </si>
  <si>
    <t xml:space="preserve"> los angeles superior court juedge</t>
  </si>
  <si>
    <t xml:space="preserve"> kussman</t>
  </si>
  <si>
    <t xml:space="preserve"> van nuys east</t>
  </si>
  <si>
    <t xml:space="preserve"> kurtz</t>
  </si>
  <si>
    <t xml:space="preserve"> kuns</t>
  </si>
  <si>
    <t xml:space="preserve"> susanne</t>
  </si>
  <si>
    <t xml:space="preserve"> santa maria branch</t>
  </si>
  <si>
    <t xml:space="preserve"> kumli</t>
  </si>
  <si>
    <t xml:space="preserve"> kurt</t>
  </si>
  <si>
    <t xml:space="preserve"> kumar</t>
  </si>
  <si>
    <t xml:space="preserve"> sanjay</t>
  </si>
  <si>
    <t xml:space="preserve"> kuhnle</t>
  </si>
  <si>
    <t xml:space="preserve"> eilif</t>
  </si>
  <si>
    <t xml:space="preserve"> the superior court of the state of california</t>
  </si>
  <si>
    <t xml:space="preserve"> kuhl</t>
  </si>
  <si>
    <t xml:space="preserve"> carolyn</t>
  </si>
  <si>
    <t xml:space="preserve"> krueger</t>
  </si>
  <si>
    <t xml:space="preserve"> superior court of california sacramento county</t>
  </si>
  <si>
    <t xml:space="preserve"> kronlund barbara</t>
  </si>
  <si>
    <t xml:space="preserve"> aysha</t>
  </si>
  <si>
    <t xml:space="preserve"> superior court san joaquin</t>
  </si>
  <si>
    <t xml:space="preserve"> stockton branch</t>
  </si>
  <si>
    <t xml:space="preserve"> kronberger</t>
  </si>
  <si>
    <t xml:space="preserve"> kriegler</t>
  </si>
  <si>
    <t xml:space="preserve"> sandy</t>
  </si>
  <si>
    <t xml:space="preserve"> kreber</t>
  </si>
  <si>
    <t xml:space="preserve"> superiort court county orange</t>
  </si>
  <si>
    <t xml:space="preserve"> krauel roger weller</t>
  </si>
  <si>
    <t xml:space="preserve"> krashna</t>
  </si>
  <si>
    <t xml:space="preserve"> krant</t>
  </si>
  <si>
    <t xml:space="preserve"> porterville division</t>
  </si>
  <si>
    <t xml:space="preserve"> kramer</t>
  </si>
  <si>
    <t xml:space="preserve"> korn</t>
  </si>
  <si>
    <t xml:space="preserve"> renee</t>
  </si>
  <si>
    <t xml:space="preserve"> ferton</t>
  </si>
  <si>
    <t xml:space="preserve"> koosed</t>
  </si>
  <si>
    <t xml:space="preserve"> jacob</t>
  </si>
  <si>
    <t xml:space="preserve"> kolpacoff</t>
  </si>
  <si>
    <t xml:space="preserve"> alpine county</t>
  </si>
  <si>
    <t xml:space="preserve"> kolin</t>
  </si>
  <si>
    <t xml:space="preserve"> kolakowski</t>
  </si>
  <si>
    <t xml:space="preserve"> victoria</t>
  </si>
  <si>
    <t xml:space="preserve"> superior court of california county of alameda</t>
  </si>
  <si>
    <t xml:space="preserve"> kohn</t>
  </si>
  <si>
    <t xml:space="preserve"> wendy</t>
  </si>
  <si>
    <t xml:space="preserve"> kline</t>
  </si>
  <si>
    <t xml:space="preserve"> court of appeal first appellate district</t>
  </si>
  <si>
    <t xml:space="preserve"> kleinberg</t>
  </si>
  <si>
    <t xml:space="preserve"> klein</t>
  </si>
  <si>
    <t xml:space="preserve"> dempsey</t>
  </si>
  <si>
    <t xml:space="preserve"> klien</t>
  </si>
  <si>
    <t xml:space="preserve"> kleifield</t>
  </si>
  <si>
    <t xml:space="preserve"> jay</t>
  </si>
  <si>
    <t xml:space="preserve"> superior court of the state of california in and for the county of los angeles</t>
  </si>
  <si>
    <t xml:space="preserve"> kitching</t>
  </si>
  <si>
    <t xml:space="preserve"> kirwan</t>
  </si>
  <si>
    <t xml:space="preserve"> santa llara superior court</t>
  </si>
  <si>
    <t xml:space="preserve"> kirvin</t>
  </si>
  <si>
    <t xml:space="preserve"> evan</t>
  </si>
  <si>
    <t xml:space="preserve"> county of san diego</t>
  </si>
  <si>
    <t xml:space="preserve"> kirschner richard</t>
  </si>
  <si>
    <t xml:space="preserve"> kirkman</t>
  </si>
  <si>
    <t xml:space="preserve"> kirihara</t>
  </si>
  <si>
    <t xml:space="preserve"> kinnicutt</t>
  </si>
  <si>
    <t xml:space="preserve"> shultz</t>
  </si>
  <si>
    <t xml:space="preserve"> superior court solano county</t>
  </si>
  <si>
    <t xml:space="preserve"> kingsley</t>
  </si>
  <si>
    <t xml:space="preserve"> kingsbury</t>
  </si>
  <si>
    <t xml:space="preserve"> el dorado superior court</t>
  </si>
  <si>
    <t xml:space="preserve"> department 3</t>
  </si>
  <si>
    <t xml:space="preserve"> king</t>
  </si>
  <si>
    <t xml:space="preserve"> kim</t>
  </si>
  <si>
    <t xml:space="preserve"> kiesselbach</t>
  </si>
  <si>
    <t xml:space="preserve"> charlene</t>
  </si>
  <si>
    <t xml:space="preserve"> khan</t>
  </si>
  <si>
    <t xml:space="preserve"> abraham</t>
  </si>
  <si>
    <t xml:space="preserve"> l.a.superior court</t>
  </si>
  <si>
    <t xml:space="preserve"> kersey</t>
  </si>
  <si>
    <t xml:space="preserve"> superior court state of california county of san bernardino</t>
  </si>
  <si>
    <t xml:space="preserve"> kerlin</t>
  </si>
  <si>
    <t xml:space="preserve"> karla</t>
  </si>
  <si>
    <t xml:space="preserve"> keough</t>
  </si>
  <si>
    <t xml:space="preserve"> keosian</t>
  </si>
  <si>
    <t xml:space="preserve"> greg</t>
  </si>
  <si>
    <t xml:space="preserve"> los angeles superior court </t>
  </si>
  <si>
    <t xml:space="preserve"> kenny</t>
  </si>
  <si>
    <t xml:space="preserve"> kennelly</t>
  </si>
  <si>
    <t xml:space="preserve"> county of sierra</t>
  </si>
  <si>
    <t xml:space="preserve"> department 8</t>
  </si>
  <si>
    <t xml:space="preserve"> kennard</t>
  </si>
  <si>
    <t xml:space="preserve"> joyce</t>
  </si>
  <si>
    <t xml:space="preserve"> -blank-</t>
  </si>
  <si>
    <t xml:space="preserve"> california superior court assoc. justice</t>
  </si>
  <si>
    <t xml:space="preserve"> kendig</t>
  </si>
  <si>
    <t xml:space="preserve"> holly</t>
  </si>
  <si>
    <t xml:space="preserve"> kemalyan</t>
  </si>
  <si>
    <t xml:space="preserve"> kelly</t>
  </si>
  <si>
    <t xml:space="preserve"> santa barbara county</t>
  </si>
  <si>
    <t xml:space="preserve"> kellogg</t>
  </si>
  <si>
    <t xml:space="preserve"> karl</t>
  </si>
  <si>
    <t xml:space="preserve"> judege superior court state of california</t>
  </si>
  <si>
    <t xml:space="preserve"> northwest judicial</t>
  </si>
  <si>
    <t xml:space="preserve"> district</t>
  </si>
  <si>
    <t xml:space="preserve"> kelley jr</t>
  </si>
  <si>
    <t xml:space="preserve"> keller</t>
  </si>
  <si>
    <t xml:space="preserve"> kellegrew</t>
  </si>
  <si>
    <t xml:space="preserve"> kent</t>
  </si>
  <si>
    <t xml:space="preserve"> mcmullin</t>
  </si>
  <si>
    <t xml:space="preserve"> mcmillin</t>
  </si>
  <si>
    <t xml:space="preserve"> kelety</t>
  </si>
  <si>
    <t xml:space="preserve"> keithley</t>
  </si>
  <si>
    <t xml:space="preserve"> kearney</t>
  </si>
  <si>
    <t xml:space="preserve"> kazanjian</t>
  </si>
  <si>
    <t xml:space="preserve"> debra</t>
  </si>
  <si>
    <t xml:space="preserve"> kays</t>
  </si>
  <si>
    <t xml:space="preserve"> solano superior court</t>
  </si>
  <si>
    <t xml:space="preserve"> department 16</t>
  </si>
  <si>
    <t xml:space="preserve"> kaufman</t>
  </si>
  <si>
    <t xml:space="preserve"> ira</t>
  </si>
  <si>
    <t xml:space="preserve"> plumes superior court #2</t>
  </si>
  <si>
    <t xml:space="preserve"> karnow</t>
  </si>
  <si>
    <t xml:space="preserve"> e.a.</t>
  </si>
  <si>
    <t xml:space="preserve"> karlan</t>
  </si>
  <si>
    <t xml:space="preserve"> superior court state of california county of los angeles</t>
  </si>
  <si>
    <t xml:space="preserve"> karesh</t>
  </si>
  <si>
    <t xml:space="preserve"> kapetan</t>
  </si>
  <si>
    <t xml:space="preserve"> kristi</t>
  </si>
  <si>
    <t xml:space="preserve"> culver</t>
  </si>
  <si>
    <t xml:space="preserve"> nick</t>
  </si>
  <si>
    <t xml:space="preserve"> kaneshiro</t>
  </si>
  <si>
    <t xml:space="preserve"> gale</t>
  </si>
  <si>
    <t xml:space="preserve"> eiko</t>
  </si>
  <si>
    <t xml:space="preserve"> kane</t>
  </si>
  <si>
    <t xml:space="preserve"> court of appeal fifth appellate district</t>
  </si>
  <si>
    <t xml:space="preserve"> kams</t>
  </si>
  <si>
    <t xml:space="preserve"> kam</t>
  </si>
  <si>
    <t xml:space="preserve"> timmy</t>
  </si>
  <si>
    <t xml:space="preserve"> kalra</t>
  </si>
  <si>
    <t xml:space="preserve"> upinder</t>
  </si>
  <si>
    <t xml:space="preserve"> singh</t>
  </si>
  <si>
    <t xml:space="preserve"> kalemkarian</t>
  </si>
  <si>
    <t xml:space="preserve"> kalashian</t>
  </si>
  <si>
    <t xml:space="preserve"> kahn</t>
  </si>
  <si>
    <t xml:space="preserve"> kaddo</t>
  </si>
  <si>
    <t xml:space="preserve"> l.a.county</t>
  </si>
  <si>
    <t xml:space="preserve"> jurado</t>
  </si>
  <si>
    <t xml:space="preserve"> juhas</t>
  </si>
  <si>
    <t xml:space="preserve"> superior court imperial county</t>
  </si>
  <si>
    <t xml:space="preserve"> wallace</t>
  </si>
  <si>
    <t xml:space="preserve"> jones barbara</t>
  </si>
  <si>
    <t xml:space="preserve"> joy r</t>
  </si>
  <si>
    <t xml:space="preserve"> first district</t>
  </si>
  <si>
    <t xml:space="preserve"> alesia</t>
  </si>
  <si>
    <t xml:space="preserve"> francine</t>
  </si>
  <si>
    <t xml:space="preserve"> johnston</t>
  </si>
  <si>
    <t xml:space="preserve"> gordon</t>
  </si>
  <si>
    <t xml:space="preserve"> johnson</t>
  </si>
  <si>
    <t xml:space="preserve"> second appellate district division one</t>
  </si>
  <si>
    <t xml:space="preserve"> jane</t>
  </si>
  <si>
    <t xml:space="preserve"> hurl</t>
  </si>
  <si>
    <t xml:space="preserve"> tulare division-department 2</t>
  </si>
  <si>
    <t xml:space="preserve"> southwest justice center/criminal division</t>
  </si>
  <si>
    <t xml:space="preserve"> dereil</t>
  </si>
  <si>
    <t xml:space="preserve"> jessop</t>
  </si>
  <si>
    <t xml:space="preserve"> jessner</t>
  </si>
  <si>
    <t xml:space="preserve"> samantha</t>
  </si>
  <si>
    <t xml:space="preserve"> jesic</t>
  </si>
  <si>
    <t xml:space="preserve"> jensen</t>
  </si>
  <si>
    <t xml:space="preserve"> lance</t>
  </si>
  <si>
    <t xml:space="preserve"> priest</t>
  </si>
  <si>
    <t xml:space="preserve"> jenkins</t>
  </si>
  <si>
    <t xml:space="preserve"> california court of appeal associate justice</t>
  </si>
  <si>
    <t xml:space="preserve"> district - division three</t>
  </si>
  <si>
    <t xml:space="preserve"> jacobson</t>
  </si>
  <si>
    <t xml:space="preserve"> jack</t>
  </si>
  <si>
    <t xml:space="preserve"> sup</t>
  </si>
  <si>
    <t xml:space="preserve"> jacobs</t>
  </si>
  <si>
    <t xml:space="preserve"> nan</t>
  </si>
  <si>
    <t xml:space="preserve"> cohan</t>
  </si>
  <si>
    <t xml:space="preserve"> jackson</t>
  </si>
  <si>
    <t xml:space="preserve"> teri</t>
  </si>
  <si>
    <t xml:space="preserve"> leatrice</t>
  </si>
  <si>
    <t xml:space="preserve"> supere</t>
  </si>
  <si>
    <t xml:space="preserve"> y</t>
  </si>
  <si>
    <t xml:space="preserve"> iwasko</t>
  </si>
  <si>
    <t xml:space="preserve"> fisher</t>
  </si>
  <si>
    <t xml:space="preserve"> lompoc division</t>
  </si>
  <si>
    <t xml:space="preserve"> lto</t>
  </si>
  <si>
    <t xml:space="preserve"> tetsuo</t>
  </si>
  <si>
    <t xml:space="preserve"> norwalk-southeast judicial district</t>
  </si>
  <si>
    <t xml:space="preserve"> ito lance a.</t>
  </si>
  <si>
    <t xml:space="preserve"> in and for the county of los angeles</t>
  </si>
  <si>
    <t xml:space="preserve"> judge - term thru 2015</t>
  </si>
  <si>
    <t xml:space="preserve"> israels</t>
  </si>
  <si>
    <t xml:space="preserve"> valli</t>
  </si>
  <si>
    <t xml:space="preserve"> isackson</t>
  </si>
  <si>
    <t xml:space="preserve"> irion</t>
  </si>
  <si>
    <t xml:space="preserve"> court of appeal farth district</t>
  </si>
  <si>
    <t xml:space="preserve"> division one</t>
  </si>
  <si>
    <t xml:space="preserve"> ipema</t>
  </si>
  <si>
    <t xml:space="preserve"> tamila</t>
  </si>
  <si>
    <t xml:space="preserve"> ing</t>
  </si>
  <si>
    <t xml:space="preserve"> ikola</t>
  </si>
  <si>
    <t xml:space="preserve"> fourth appellate district division three</t>
  </si>
  <si>
    <t xml:space="preserve"> ikeda</t>
  </si>
  <si>
    <t xml:space="preserve"> iglesia</t>
  </si>
  <si>
    <t xml:space="preserve"> efren</t>
  </si>
  <si>
    <t xml:space="preserve"> nasol</t>
  </si>
  <si>
    <t xml:space="preserve"> department 18</t>
  </si>
  <si>
    <t xml:space="preserve"> ichikawa</t>
  </si>
  <si>
    <t xml:space="preserve"> garry</t>
  </si>
  <si>
    <t xml:space="preserve"> t. (only initial)</t>
  </si>
  <si>
    <t xml:space="preserve"> hymer</t>
  </si>
  <si>
    <t xml:space="preserve"> hutson</t>
  </si>
  <si>
    <t xml:space="preserve"> cara</t>
  </si>
  <si>
    <t xml:space="preserve"> hurwitz</t>
  </si>
  <si>
    <t xml:space="preserve"> lon</t>
  </si>
  <si>
    <t xml:space="preserve"> hurst</t>
  </si>
  <si>
    <t xml:space="preserve"> davidson</t>
  </si>
  <si>
    <t xml:space="preserve"> hurley</t>
  </si>
  <si>
    <t xml:space="preserve"> dept 12</t>
  </si>
  <si>
    <t xml:space="preserve"> hunter</t>
  </si>
  <si>
    <t xml:space="preserve"> hunt desek</t>
  </si>
  <si>
    <t xml:space="preserve"> humphreys</t>
  </si>
  <si>
    <t xml:space="preserve"> humphrey</t>
  </si>
  <si>
    <t xml:space="preserve"> colette</t>
  </si>
  <si>
    <t xml:space="preserve"> hull jr.</t>
  </si>
  <si>
    <t xml:space="preserve"> edmond</t>
  </si>
  <si>
    <t xml:space="preserve"> huguenor</t>
  </si>
  <si>
    <t xml:space="preserve"> huffman</t>
  </si>
  <si>
    <t xml:space="preserve"> fourth districtdivision one</t>
  </si>
  <si>
    <t xml:space="preserve"> huber</t>
  </si>
  <si>
    <t xml:space="preserve"> superior court judgf</t>
  </si>
  <si>
    <t xml:space="preserve"> hubbard</t>
  </si>
  <si>
    <t xml:space="preserve"> hoytjr.</t>
  </si>
  <si>
    <t xml:space="preserve"> seth</t>
  </si>
  <si>
    <t xml:space="preserve"> howell steven</t>
  </si>
  <si>
    <t xml:space="preserve"> county of butte</t>
  </si>
  <si>
    <t xml:space="preserve"> house</t>
  </si>
  <si>
    <t xml:space="preserve"> e.thornton</t>
  </si>
  <si>
    <t xml:space="preserve"> hosking</t>
  </si>
  <si>
    <t xml:space="preserve"> justin</t>
  </si>
  <si>
    <t xml:space="preserve"> joshua tree</t>
  </si>
  <si>
    <t xml:space="preserve"> horner</t>
  </si>
  <si>
    <t xml:space="preserve"> superior court state of california county of alameda</t>
  </si>
  <si>
    <t xml:space="preserve"> horn</t>
  </si>
  <si>
    <t xml:space="preserve"> chester</t>
  </si>
  <si>
    <t xml:space="preserve"> horan</t>
  </si>
  <si>
    <t xml:space="preserve"> edwand</t>
  </si>
  <si>
    <t xml:space="preserve"> los angeles county superiro court department 4 whittier ca</t>
  </si>
  <si>
    <t xml:space="preserve"> hopp</t>
  </si>
  <si>
    <t xml:space="preserve"> hood</t>
  </si>
  <si>
    <t xml:space="preserve"> honeycutt</t>
  </si>
  <si>
    <t xml:space="preserve"> hom</t>
  </si>
  <si>
    <t xml:space="preserve"> hollman</t>
  </si>
  <si>
    <t xml:space="preserve"> hollenhorst</t>
  </si>
  <si>
    <t xml:space="preserve"> holland</t>
  </si>
  <si>
    <t xml:space="preserve"> lesley</t>
  </si>
  <si>
    <t xml:space="preserve"> hogue</t>
  </si>
  <si>
    <t xml:space="preserve"> hoffstadt</t>
  </si>
  <si>
    <t xml:space="preserve"> hoffer</t>
  </si>
  <si>
    <t xml:space="preserve"> hoff</t>
  </si>
  <si>
    <t xml:space="preserve"> hofer ralph</t>
  </si>
  <si>
    <t xml:space="preserve"> superior court los angeles county</t>
  </si>
  <si>
    <t xml:space="preserve"> hockett</t>
  </si>
  <si>
    <t xml:space="preserve"> hoch</t>
  </si>
  <si>
    <t xml:space="preserve"> andrea</t>
  </si>
  <si>
    <t xml:space="preserve"> hirsch</t>
  </si>
  <si>
    <t xml:space="preserve"> hiroshige</t>
  </si>
  <si>
    <t xml:space="preserve"> mitsuo</t>
  </si>
  <si>
    <t xml:space="preserve"> hiramoto</t>
  </si>
  <si>
    <t xml:space="preserve"> joni</t>
  </si>
  <si>
    <t xml:space="preserve"> hinton barbara</t>
  </si>
  <si>
    <t xml:space="preserve"> banbana cathenine</t>
  </si>
  <si>
    <t xml:space="preserve"> cherine</t>
  </si>
  <si>
    <t xml:space="preserve"> hinrichs</t>
  </si>
  <si>
    <t xml:space="preserve"> county of humboldt</t>
  </si>
  <si>
    <t xml:space="preserve"> hing</t>
  </si>
  <si>
    <t xml:space="preserve"> lindsay</t>
  </si>
  <si>
    <t xml:space="preserve"> hillman</t>
  </si>
  <si>
    <t xml:space="preserve"> bret</t>
  </si>
  <si>
    <t xml:space="preserve"> visalia division department 8</t>
  </si>
  <si>
    <t xml:space="preserve"> hill</t>
  </si>
  <si>
    <t xml:space="preserve"> deirdre</t>
  </si>
  <si>
    <t xml:space="preserve"> christina</t>
  </si>
  <si>
    <t xml:space="preserve"> santa barbara superior court </t>
  </si>
  <si>
    <t xml:space="preserve"> brad</t>
  </si>
  <si>
    <t xml:space="preserve"> hilde</t>
  </si>
  <si>
    <t xml:space="preserve"> adele</t>
  </si>
  <si>
    <t xml:space="preserve"> plumas superior court</t>
  </si>
  <si>
    <t xml:space="preserve"> department one</t>
  </si>
  <si>
    <t xml:space="preserve"> hight</t>
  </si>
  <si>
    <t xml:space="preserve"> highberger</t>
  </si>
  <si>
    <t xml:space="preserve"> higa</t>
  </si>
  <si>
    <t xml:space="preserve"> june</t>
  </si>
  <si>
    <t xml:space="preserve"> hicks</t>
  </si>
  <si>
    <t xml:space="preserve"> hickok</t>
  </si>
  <si>
    <t xml:space="preserve"> hess robert l.</t>
  </si>
  <si>
    <t xml:space="preserve"> campaign finance</t>
  </si>
  <si>
    <t xml:space="preserve"> superior court </t>
  </si>
  <si>
    <t xml:space="preserve"> hersher</t>
  </si>
  <si>
    <t xml:space="preserve"> judy</t>
  </si>
  <si>
    <t xml:space="preserve"> holzer</t>
  </si>
  <si>
    <t xml:space="preserve"> herscovitz</t>
  </si>
  <si>
    <t xml:space="preserve"> larry</t>
  </si>
  <si>
    <t xml:space="preserve"> superior court of califormia low angeles</t>
  </si>
  <si>
    <t xml:space="preserve"> herrington</t>
  </si>
  <si>
    <t xml:space="preserve"> lois</t>
  </si>
  <si>
    <t xml:space="preserve"> haight</t>
  </si>
  <si>
    <t xml:space="preserve"> herriford</t>
  </si>
  <si>
    <t xml:space="preserve"> herrick</t>
  </si>
  <si>
    <t xml:space="preserve"> lake county superior court</t>
  </si>
  <si>
    <t xml:space="preserve"> hernandez</t>
  </si>
  <si>
    <t xml:space="preserve"> daghllan</t>
  </si>
  <si>
    <t xml:space="preserve"> jorge</t>
  </si>
  <si>
    <t xml:space="preserve"> cruz</t>
  </si>
  <si>
    <t xml:space="preserve"> superor court of california county of riverside</t>
  </si>
  <si>
    <t xml:space="preserve"> banning branch</t>
  </si>
  <si>
    <t xml:space="preserve"> hernandez ii</t>
  </si>
  <si>
    <t xml:space="preserve"> helios</t>
  </si>
  <si>
    <t xml:space="preserve"> esteban</t>
  </si>
  <si>
    <t xml:space="preserve"> hermansen</t>
  </si>
  <si>
    <t xml:space="preserve"> herman</t>
  </si>
  <si>
    <t xml:space="preserve"> sabina</t>
  </si>
  <si>
    <t xml:space="preserve"> henninj</t>
  </si>
  <si>
    <t xml:space="preserve"> lynch</t>
  </si>
  <si>
    <t xml:space="preserve"> henderson</t>
  </si>
  <si>
    <t xml:space="preserve"> mendocino county</t>
  </si>
  <si>
    <t xml:space="preserve"> heidelberger</t>
  </si>
  <si>
    <t xml:space="preserve"> candace</t>
  </si>
  <si>
    <t xml:space="preserve"> hegarty</t>
  </si>
  <si>
    <t xml:space="preserve"> heeseman</t>
  </si>
  <si>
    <t xml:space="preserve"> hedstrom</t>
  </si>
  <si>
    <t xml:space="preserve"> owen</t>
  </si>
  <si>
    <t xml:space="preserve"> superior court of california county of lake</t>
  </si>
  <si>
    <t xml:space="preserve"> superior court judge department 4</t>
  </si>
  <si>
    <t xml:space="preserve"> hoace</t>
  </si>
  <si>
    <t xml:space="preserve"> county of solano</t>
  </si>
  <si>
    <t xml:space="preserve"> haynes</t>
  </si>
  <si>
    <t xml:space="preserve"> marcelita</t>
  </si>
  <si>
    <t xml:space="preserve"> hayes</t>
  </si>
  <si>
    <t xml:space="preserve"> hayashi</t>
  </si>
  <si>
    <t xml:space="preserve"> superior court of california alameda county</t>
  </si>
  <si>
    <t xml:space="preserve"> hawkins</t>
  </si>
  <si>
    <t xml:space="preserve"> stafford</t>
  </si>
  <si>
    <t xml:space="preserve"> state of california county of riverside</t>
  </si>
  <si>
    <t xml:space="preserve"> hatchimonji</t>
  </si>
  <si>
    <t xml:space="preserve"> jun</t>
  </si>
  <si>
    <t xml:space="preserve"> superior courtcounty of orange</t>
  </si>
  <si>
    <t xml:space="preserve"> hashimoto</t>
  </si>
  <si>
    <t xml:space="preserve"> harwin</t>
  </si>
  <si>
    <t xml:space="preserve"> harutunian iii</t>
  </si>
  <si>
    <t xml:space="preserve"> harrison</t>
  </si>
  <si>
    <t xml:space="preserve"> superior court of california-- county of san bernardino</t>
  </si>
  <si>
    <t xml:space="preserve"> harris</t>
  </si>
  <si>
    <t xml:space="preserve"> harrell</t>
  </si>
  <si>
    <t xml:space="preserve"> arlan</t>
  </si>
  <si>
    <t xml:space="preserve"> la monte</t>
  </si>
  <si>
    <t xml:space="preserve"> harrell (iii)</t>
  </si>
  <si>
    <t xml:space="preserve"> alvin</t>
  </si>
  <si>
    <t xml:space="preserve"> superior court of california </t>
  </si>
  <si>
    <t xml:space="preserve"> harman</t>
  </si>
  <si>
    <t xml:space="preserve"> dodie</t>
  </si>
  <si>
    <t xml:space="preserve"> superior court of san luis obispo county</t>
  </si>
  <si>
    <t xml:space="preserve"> harlan</t>
  </si>
  <si>
    <t xml:space="preserve"> catherine</t>
  </si>
  <si>
    <t xml:space="preserve"> amador county</t>
  </si>
  <si>
    <t xml:space="preserve"> hardie</t>
  </si>
  <si>
    <t xml:space="preserve"> clyde</t>
  </si>
  <si>
    <t xml:space="preserve"> 725 court street</t>
  </si>
  <si>
    <t xml:space="preserve"> martinez ca 94553 judge</t>
  </si>
  <si>
    <t xml:space="preserve"> hardcastle</t>
  </si>
  <si>
    <t xml:space="preserve"> county of sonoma</t>
  </si>
  <si>
    <t xml:space="preserve"> harbin-forte</t>
  </si>
  <si>
    <t xml:space="preserve"> brenda</t>
  </si>
  <si>
    <t xml:space="preserve"> fay</t>
  </si>
  <si>
    <t xml:space="preserve"> hara</t>
  </si>
  <si>
    <t xml:space="preserve"> court commissioner</t>
  </si>
  <si>
    <t xml:space="preserve"> sheila</t>
  </si>
  <si>
    <t xml:space="preserve"> fairchild</t>
  </si>
  <si>
    <t xml:space="preserve"> hansen</t>
  </si>
  <si>
    <t xml:space="preserve"> harry(h.ted)</t>
  </si>
  <si>
    <t xml:space="preserve"> superior court sutter county</t>
  </si>
  <si>
    <t xml:space="preserve"> hanoian</t>
  </si>
  <si>
    <t xml:space="preserve"> hammock</t>
  </si>
  <si>
    <t xml:space="preserve"> hamlin</t>
  </si>
  <si>
    <t xml:space="preserve"> superior court of california for the county of fresno</t>
  </si>
  <si>
    <t xml:space="preserve"> hamilton</t>
  </si>
  <si>
    <t xml:space="preserve"> y jr</t>
  </si>
  <si>
    <t xml:space="preserve"> halm</t>
  </si>
  <si>
    <t xml:space="preserve"> haller</t>
  </si>
  <si>
    <t xml:space="preserve"> hallahan</t>
  </si>
  <si>
    <t xml:space="preserve"> maureen</t>
  </si>
  <si>
    <t xml:space="preserve"> hall</t>
  </si>
  <si>
    <t xml:space="preserve"> halgren</t>
  </si>
  <si>
    <t xml:space="preserve"> hahn</t>
  </si>
  <si>
    <t xml:space="preserve"> haerle</t>
  </si>
  <si>
    <t xml:space="preserve"> haehnle</t>
  </si>
  <si>
    <t xml:space="preserve"> haakenson</t>
  </si>
  <si>
    <t xml:space="preserve"> gweon</t>
  </si>
  <si>
    <t xml:space="preserve"> helena</t>
  </si>
  <si>
    <t xml:space="preserve"> guzman</t>
  </si>
  <si>
    <t xml:space="preserve"> superior court of ca</t>
  </si>
  <si>
    <t xml:space="preserve"> denine</t>
  </si>
  <si>
    <t xml:space="preserve"> jeness</t>
  </si>
  <si>
    <t xml:space="preserve"> county of santa cruz</t>
  </si>
  <si>
    <t xml:space="preserve"> gunn david</t>
  </si>
  <si>
    <t xml:space="preserve"> co. of riverside superior court</t>
  </si>
  <si>
    <t xml:space="preserve"> gullon</t>
  </si>
  <si>
    <t xml:space="preserve"> guiliani</t>
  </si>
  <si>
    <t xml:space="preserve"> guerrsro-daley</t>
  </si>
  <si>
    <t xml:space="preserve"> guadagni</t>
  </si>
  <si>
    <t xml:space="preserve"> grover</t>
  </si>
  <si>
    <t xml:space="preserve"> superior court of california for the county of monterey</t>
  </si>
  <si>
    <t xml:space="preserve"> grossman</t>
  </si>
  <si>
    <t xml:space="preserve"> superior court of contra costa county</t>
  </si>
  <si>
    <t xml:space="preserve"> groman</t>
  </si>
  <si>
    <t xml:space="preserve"> ovigley</t>
  </si>
  <si>
    <t xml:space="preserve"> kenyon juvenile justice center</t>
  </si>
  <si>
    <t xml:space="preserve"> groch</t>
  </si>
  <si>
    <t xml:space="preserve"> grimmer</t>
  </si>
  <si>
    <t xml:space="preserve"> grimes</t>
  </si>
  <si>
    <t xml:space="preserve"> second appelate</t>
  </si>
  <si>
    <t xml:space="preserve"> grillo</t>
  </si>
  <si>
    <t xml:space="preserve"> evelio</t>
  </si>
  <si>
    <t xml:space="preserve"> grilli</t>
  </si>
  <si>
    <t xml:space="preserve"> griffin</t>
  </si>
  <si>
    <t xml:space="preserve"> office no.21 su</t>
  </si>
  <si>
    <t xml:space="preserve"> greenberg</t>
  </si>
  <si>
    <t xml:space="preserve"> green</t>
  </si>
  <si>
    <t xml:space="preserve"> alfred</t>
  </si>
  <si>
    <t xml:space="preserve"> of california county of los angeles</t>
  </si>
  <si>
    <t xml:space="preserve"> green susan elizabeth</t>
  </si>
  <si>
    <t xml:space="preserve"> county of sutter</t>
  </si>
  <si>
    <t xml:space="preserve"> crawford</t>
  </si>
  <si>
    <t xml:space="preserve"> ellis</t>
  </si>
  <si>
    <t xml:space="preserve"> gray ii</t>
  </si>
  <si>
    <t xml:space="preserve"> dudley</t>
  </si>
  <si>
    <t xml:space="preserve"> county</t>
  </si>
  <si>
    <t xml:space="preserve"> grandsaert</t>
  </si>
  <si>
    <t xml:space="preserve"> department 11</t>
  </si>
  <si>
    <t xml:space="preserve"> gould-saltman</t>
  </si>
  <si>
    <t xml:space="preserve"> dianna</t>
  </si>
  <si>
    <t xml:space="preserve"> goul</t>
  </si>
  <si>
    <t xml:space="preserve"> masson</t>
  </si>
  <si>
    <t xml:space="preserve"> gottlieb</t>
  </si>
  <si>
    <t xml:space="preserve"> gorelick</t>
  </si>
  <si>
    <t xml:space="preserve"> the superior court-county of tulare</t>
  </si>
  <si>
    <t xml:space="preserve"> tulare-pixley division</t>
  </si>
  <si>
    <t xml:space="preserve"> gordon scott m.</t>
  </si>
  <si>
    <t xml:space="preserve"> beatriz</t>
  </si>
  <si>
    <t xml:space="preserve"> maria garcia</t>
  </si>
  <si>
    <t xml:space="preserve"> goodson</t>
  </si>
  <si>
    <t xml:space="preserve"> boas</t>
  </si>
  <si>
    <t xml:space="preserve"> department 75</t>
  </si>
  <si>
    <t xml:space="preserve"> goodman</t>
  </si>
  <si>
    <t xml:space="preserve"> alameda county of superior court</t>
  </si>
  <si>
    <t xml:space="preserve"> geoffrey</t>
  </si>
  <si>
    <t xml:space="preserve"> goode</t>
  </si>
  <si>
    <t xml:space="preserve"> administrative office of the courts</t>
  </si>
  <si>
    <t xml:space="preserve"> judicial council family &amp; juvenile law advisory committee</t>
  </si>
  <si>
    <t xml:space="preserve"> member</t>
  </si>
  <si>
    <t xml:space="preserve"> gonzalez lomeli</t>
  </si>
  <si>
    <t xml:space="preserve"> gomez</t>
  </si>
  <si>
    <t xml:space="preserve"> gus</t>
  </si>
  <si>
    <t xml:space="preserve"> gomes</t>
  </si>
  <si>
    <t xml:space="preserve"> goldstein</t>
  </si>
  <si>
    <t xml:space="preserve"> fields</t>
  </si>
  <si>
    <t xml:space="preserve"> goldsmith erinest</t>
  </si>
  <si>
    <t xml:space="preserve"> goldsmith</t>
  </si>
  <si>
    <t xml:space="preserve"> goldbese</t>
  </si>
  <si>
    <t xml:space="preserve"> honk</t>
  </si>
  <si>
    <t xml:space="preserve"> goetz</t>
  </si>
  <si>
    <t xml:space="preserve"> reva</t>
  </si>
  <si>
    <t xml:space="preserve"> goethols</t>
  </si>
  <si>
    <t xml:space="preserve"> mkhall</t>
  </si>
  <si>
    <t xml:space="preserve"> gnoss</t>
  </si>
  <si>
    <t xml:space="preserve"> glusman</t>
  </si>
  <si>
    <t xml:space="preserve"> glennon</t>
  </si>
  <si>
    <t xml:space="preserve"> bert</t>
  </si>
  <si>
    <t xml:space="preserve"> glass</t>
  </si>
  <si>
    <t xml:space="preserve"> givens</t>
  </si>
  <si>
    <t xml:space="preserve"> giss</t>
  </si>
  <si>
    <t xml:space="preserve"> superior court state of california los angeles co</t>
  </si>
  <si>
    <t xml:space="preserve"> giorqi</t>
  </si>
  <si>
    <t xml:space="preserve"> loretta</t>
  </si>
  <si>
    <t xml:space="preserve"> gini</t>
  </si>
  <si>
    <t xml:space="preserve"> gilliard</t>
  </si>
  <si>
    <t xml:space="preserve"> maryanne</t>
  </si>
  <si>
    <t xml:space="preserve"> gill</t>
  </si>
  <si>
    <t xml:space="preserve"> gibson</t>
  </si>
  <si>
    <t xml:space="preserve"> san bernardino county barstow district</t>
  </si>
  <si>
    <t xml:space="preserve"> getty</t>
  </si>
  <si>
    <t xml:space="preserve"> human resources g.</t>
  </si>
  <si>
    <t xml:space="preserve"> superior court of california county of solano</t>
  </si>
  <si>
    <t xml:space="preserve"> gentry jr</t>
  </si>
  <si>
    <t xml:space="preserve"> genesta</t>
  </si>
  <si>
    <t xml:space="preserve"> gel found</t>
  </si>
  <si>
    <t xml:space="preserve"> davio</t>
  </si>
  <si>
    <t xml:space="preserve"> gee</t>
  </si>
  <si>
    <t xml:space="preserve"> geck</t>
  </si>
  <si>
    <t xml:space="preserve"> gaul</t>
  </si>
  <si>
    <t xml:space="preserve"> superior court of california - county of shasta</t>
  </si>
  <si>
    <t xml:space="preserve"> gastelum</t>
  </si>
  <si>
    <t xml:space="preserve"> central justice center</t>
  </si>
  <si>
    <t xml:space="preserve"> gasdia</t>
  </si>
  <si>
    <t xml:space="preserve"> gnawk</t>
  </si>
  <si>
    <t xml:space="preserve"> garza</t>
  </si>
  <si>
    <t xml:space="preserve"> gunnell</t>
  </si>
  <si>
    <t xml:space="preserve"> supervising superior court judge</t>
  </si>
  <si>
    <t xml:space="preserve"> garymatthew j</t>
  </si>
  <si>
    <t xml:space="preserve"> garret</t>
  </si>
  <si>
    <t xml:space="preserve"> ginger</t>
  </si>
  <si>
    <t xml:space="preserve"> superior court of sanlano obispoco</t>
  </si>
  <si>
    <t xml:space="preserve"> garcia</t>
  </si>
  <si>
    <t xml:space="preserve"> alvarez</t>
  </si>
  <si>
    <t xml:space="preserve"> county of santa barbara</t>
  </si>
  <si>
    <t xml:space="preserve"> garber</t>
  </si>
  <si>
    <t xml:space="preserve"> garaventa</t>
  </si>
  <si>
    <t xml:space="preserve"> tehama county superior court</t>
  </si>
  <si>
    <t xml:space="preserve"> office 2</t>
  </si>
  <si>
    <t xml:space="preserve"> gannonjr</t>
  </si>
  <si>
    <t xml:space="preserve"> gallon</t>
  </si>
  <si>
    <t xml:space="preserve"> gallagher</t>
  </si>
  <si>
    <t xml:space="preserve"> superior court of california county of shasta</t>
  </si>
  <si>
    <t xml:space="preserve"> gaffney</t>
  </si>
  <si>
    <t xml:space="preserve"> fitzgerald</t>
  </si>
  <si>
    <t xml:space="preserve"> superior court-county of orange</t>
  </si>
  <si>
    <t xml:space="preserve"> gaffey</t>
  </si>
  <si>
    <t xml:space="preserve"> gaddis</t>
  </si>
  <si>
    <t xml:space="preserve"> placer co. superior court</t>
  </si>
  <si>
    <t xml:space="preserve"> gaard</t>
  </si>
  <si>
    <t xml:space="preserve"> janet</t>
  </si>
  <si>
    <t xml:space="preserve"> deputy</t>
  </si>
  <si>
    <t xml:space="preserve"> gaab</t>
  </si>
  <si>
    <t xml:space="preserve"> fybel</t>
  </si>
  <si>
    <t xml:space="preserve"> fourth district division three</t>
  </si>
  <si>
    <t xml:space="preserve"> fuller</t>
  </si>
  <si>
    <t xml:space="preserve"> fujioka fred</t>
  </si>
  <si>
    <t xml:space="preserve"> los angeles county superior court </t>
  </si>
  <si>
    <t xml:space="preserve"> fudenna</t>
  </si>
  <si>
    <t xml:space="preserve"> fremont hall of justice</t>
  </si>
  <si>
    <t xml:space="preserve"> fruin richard l.</t>
  </si>
  <si>
    <t xml:space="preserve"> jr.</t>
  </si>
  <si>
    <t xml:space="preserve"> froeberg</t>
  </si>
  <si>
    <t xml:space="preserve"> friedman</t>
  </si>
  <si>
    <t xml:space="preserve"> freixes</t>
  </si>
  <si>
    <t xml:space="preserve"> gracilea</t>
  </si>
  <si>
    <t xml:space="preserve"> carioao</t>
  </si>
  <si>
    <t xml:space="preserve"> freer</t>
  </si>
  <si>
    <t xml:space="preserve"> freeman</t>
  </si>
  <si>
    <t xml:space="preserve"> labson</t>
  </si>
  <si>
    <t xml:space="preserve"> freeland</t>
  </si>
  <si>
    <t xml:space="preserve"> freedman</t>
  </si>
  <si>
    <t xml:space="preserve"> brandies</t>
  </si>
  <si>
    <t xml:space="preserve"> frazier</t>
  </si>
  <si>
    <t xml:space="preserve"> frawley</t>
  </si>
  <si>
    <t xml:space="preserve"> fraser</t>
  </si>
  <si>
    <t xml:space="preserve"> franson</t>
  </si>
  <si>
    <t xml:space="preserve"> frangie</t>
  </si>
  <si>
    <t xml:space="preserve"> rancho cucamonga district civil division</t>
  </si>
  <si>
    <t xml:space="preserve"> franchi</t>
  </si>
  <si>
    <t xml:space="preserve"> fracchia</t>
  </si>
  <si>
    <t xml:space="preserve"> fox</t>
  </si>
  <si>
    <t xml:space="preserve"> elden</t>
  </si>
  <si>
    <t xml:space="preserve"> beverly hills branch</t>
  </si>
  <si>
    <t xml:space="preserve"> fournier</t>
  </si>
  <si>
    <t xml:space="preserve"> lori ann</t>
  </si>
  <si>
    <t xml:space="preserve"> forcum</t>
  </si>
  <si>
    <t xml:space="preserve"> foor</t>
  </si>
  <si>
    <t xml:space="preserve"> betts</t>
  </si>
  <si>
    <t xml:space="preserve"> solano county</t>
  </si>
  <si>
    <t xml:space="preserve"> follett</t>
  </si>
  <si>
    <t xml:space="preserve"> del norte county</t>
  </si>
  <si>
    <t xml:space="preserve"> folan</t>
  </si>
  <si>
    <t xml:space="preserve"> foiles</t>
  </si>
  <si>
    <t xml:space="preserve"> flynn iii</t>
  </si>
  <si>
    <t xml:space="preserve"> laurence br</t>
  </si>
  <si>
    <t xml:space="preserve"> flynn</t>
  </si>
  <si>
    <t xml:space="preserve"> county of sharta administration office edward</t>
  </si>
  <si>
    <t xml:space="preserve"> shasta county superior court</t>
  </si>
  <si>
    <t xml:space="preserve"> flurer</t>
  </si>
  <si>
    <t xml:space="preserve"> flores</t>
  </si>
  <si>
    <t xml:space="preserve"> rogelio</t>
  </si>
  <si>
    <t xml:space="preserve"> roberto</t>
  </si>
  <si>
    <t xml:space="preserve"> poli(jr.)</t>
  </si>
  <si>
    <t xml:space="preserve"> superior court of california county of imperial</t>
  </si>
  <si>
    <t xml:space="preserve"> flint</t>
  </si>
  <si>
    <t xml:space="preserve"> flinn</t>
  </si>
  <si>
    <t xml:space="preserve"> flier</t>
  </si>
  <si>
    <t xml:space="preserve"> madeleine</t>
  </si>
  <si>
    <t xml:space="preserve"> iris</t>
  </si>
  <si>
    <t xml:space="preserve"> fleuret</t>
  </si>
  <si>
    <t xml:space="preserve"> jules</t>
  </si>
  <si>
    <t xml:space="preserve"> flanagan</t>
  </si>
  <si>
    <t xml:space="preserve"> tia</t>
  </si>
  <si>
    <t xml:space="preserve"> graves</t>
  </si>
  <si>
    <t xml:space="preserve"> fish</t>
  </si>
  <si>
    <t xml:space="preserve"> firmat</t>
  </si>
  <si>
    <t xml:space="preserve"> francisco</t>
  </si>
  <si>
    <t xml:space="preserve"> felipe</t>
  </si>
  <si>
    <t xml:space="preserve"> florini</t>
  </si>
  <si>
    <t xml:space="preserve"> filer</t>
  </si>
  <si>
    <t xml:space="preserve"> kelvin</t>
  </si>
  <si>
    <t xml:space="preserve"> fielder</t>
  </si>
  <si>
    <t xml:space="preserve"> fidler</t>
  </si>
  <si>
    <t xml:space="preserve"> feuer</t>
  </si>
  <si>
    <t xml:space="preserve"> ruderman</t>
  </si>
  <si>
    <t xml:space="preserve"> ferrari</t>
  </si>
  <si>
    <t xml:space="preserve"> ferns</t>
  </si>
  <si>
    <t xml:space="preserve"> ferguson</t>
  </si>
  <si>
    <t xml:space="preserve"> superior court of the state of california; county of san bernardino</t>
  </si>
  <si>
    <t xml:space="preserve"> rancho cucamonga (west valley) district</t>
  </si>
  <si>
    <t xml:space="preserve"> ferguson darryl</t>
  </si>
  <si>
    <t xml:space="preserve"> tulare county superior ct.</t>
  </si>
  <si>
    <t xml:space="preserve"> dept 2</t>
  </si>
  <si>
    <t xml:space="preserve"> division judge</t>
  </si>
  <si>
    <t xml:space="preserve"> fenstermacher</t>
  </si>
  <si>
    <t xml:space="preserve"> feng samuel</t>
  </si>
  <si>
    <t xml:space="preserve"> fell</t>
  </si>
  <si>
    <t xml:space="preserve"> ice center</t>
  </si>
  <si>
    <t xml:space="preserve"> felice</t>
  </si>
  <si>
    <t xml:space="preserve"> feldstern</t>
  </si>
  <si>
    <t xml:space="preserve"> feinstein</t>
  </si>
  <si>
    <t xml:space="preserve"> barbara imy</t>
  </si>
  <si>
    <t xml:space="preserve"> feffer</t>
  </si>
  <si>
    <t xml:space="preserve"> feeney</t>
  </si>
  <si>
    <t xml:space="preserve"> fannin</t>
  </si>
  <si>
    <t xml:space="preserve"> jill</t>
  </si>
  <si>
    <t xml:space="preserve"> falls</t>
  </si>
  <si>
    <t xml:space="preserve"> fall</t>
  </si>
  <si>
    <t xml:space="preserve"> greta</t>
  </si>
  <si>
    <t xml:space="preserve"> falcone</t>
  </si>
  <si>
    <t xml:space="preserve"> dewey</t>
  </si>
  <si>
    <t xml:space="preserve"> fain</t>
  </si>
  <si>
    <t xml:space="preserve"> fahey</t>
  </si>
  <si>
    <t xml:space="preserve"> eyherabide</t>
  </si>
  <si>
    <t xml:space="preserve"> eugenia</t>
  </si>
  <si>
    <t xml:space="preserve"> exarhos</t>
  </si>
  <si>
    <t xml:space="preserve"> ewell 12 mar-1</t>
  </si>
  <si>
    <t xml:space="preserve"> cleveland</t>
  </si>
  <si>
    <t xml:space="preserve"> goodloe</t>
  </si>
  <si>
    <t xml:space="preserve"> riverside county - indio branch</t>
  </si>
  <si>
    <t xml:space="preserve"> etezadi</t>
  </si>
  <si>
    <t xml:space="preserve"> lrene</t>
  </si>
  <si>
    <t xml:space="preserve"> etcheverry</t>
  </si>
  <si>
    <t xml:space="preserve"> estes</t>
  </si>
  <si>
    <t xml:space="preserve"> state of california superior court</t>
  </si>
  <si>
    <t xml:space="preserve"> espinoza</t>
  </si>
  <si>
    <t xml:space="preserve"> espana</t>
  </si>
  <si>
    <t xml:space="preserve"> ana</t>
  </si>
  <si>
    <t xml:space="preserve"> lucilla</t>
  </si>
  <si>
    <t xml:space="preserve"> eskin</t>
  </si>
  <si>
    <t xml:space="preserve"> castelle</t>
  </si>
  <si>
    <t xml:space="preserve"> superior courtstate of california county of santa barbara</t>
  </si>
  <si>
    <t xml:space="preserve"> escobedo</t>
  </si>
  <si>
    <t xml:space="preserve"> mildred</t>
  </si>
  <si>
    <t xml:space="preserve"> department 62</t>
  </si>
  <si>
    <t xml:space="preserve"> erwood</t>
  </si>
  <si>
    <t xml:space="preserve"> county of riverside desert division</t>
  </si>
  <si>
    <t xml:space="preserve"> judge of superior court</t>
  </si>
  <si>
    <t xml:space="preserve"> ervin</t>
  </si>
  <si>
    <t xml:space="preserve"> sierra county superior court</t>
  </si>
  <si>
    <t xml:space="preserve"> errea</t>
  </si>
  <si>
    <t xml:space="preserve"> epstein</t>
  </si>
  <si>
    <t xml:space="preserve"> second appellate district division four</t>
  </si>
  <si>
    <t xml:space="preserve"> enright</t>
  </si>
  <si>
    <t xml:space="preserve"> emede</t>
  </si>
  <si>
    <t xml:space="preserve"> county of santa clara seat #10</t>
  </si>
  <si>
    <t xml:space="preserve"> elwell</t>
  </si>
  <si>
    <t xml:space="preserve"> superior court- county of san bernardino</t>
  </si>
  <si>
    <t xml:space="preserve"> office of presiding judge</t>
  </si>
  <si>
    <t xml:space="preserve"> elswick</t>
  </si>
  <si>
    <t xml:space="preserve"> ellsworth</t>
  </si>
  <si>
    <t xml:space="preserve"> sherrill</t>
  </si>
  <si>
    <t xml:space="preserve"> ellison</t>
  </si>
  <si>
    <t xml:space="preserve"> superior court los angele s</t>
  </si>
  <si>
    <t xml:space="preserve"> southwest judicial district</t>
  </si>
  <si>
    <t xml:space="preserve"> district torrance</t>
  </si>
  <si>
    <t xml:space="preserve"> eller</t>
  </si>
  <si>
    <t xml:space="preserve"> stan</t>
  </si>
  <si>
    <t xml:space="preserve"> elias</t>
  </si>
  <si>
    <t xml:space="preserve"> emilie</t>
  </si>
  <si>
    <t xml:space="preserve"> elfving</t>
  </si>
  <si>
    <t xml:space="preserve"> einhorn</t>
  </si>
  <si>
    <t xml:space="preserve"> egerton</t>
  </si>
  <si>
    <t xml:space="preserve"> harwood</t>
  </si>
  <si>
    <t xml:space="preserve"> edwards drew</t>
  </si>
  <si>
    <t xml:space="preserve"> edwards</t>
  </si>
  <si>
    <t xml:space="preserve"> edmon</t>
  </si>
  <si>
    <t xml:space="preserve"> smalley</t>
  </si>
  <si>
    <t xml:space="preserve"> dymant</t>
  </si>
  <si>
    <t xml:space="preserve"> helen</t>
  </si>
  <si>
    <t xml:space="preserve"> dylina</t>
  </si>
  <si>
    <t xml:space="preserve"> duryee</t>
  </si>
  <si>
    <t xml:space="preserve"> county of marin</t>
  </si>
  <si>
    <t xml:space="preserve"> durenberger</t>
  </si>
  <si>
    <t xml:space="preserve"> koller</t>
  </si>
  <si>
    <t xml:space="preserve"> duong</t>
  </si>
  <si>
    <t xml:space="preserve"> le</t>
  </si>
  <si>
    <t xml:space="preserve"> dunning</t>
  </si>
  <si>
    <t xml:space="preserve"> garlin</t>
  </si>
  <si>
    <t xml:space="preserve"> superior court (california) county of orange</t>
  </si>
  <si>
    <t xml:space="preserve"> dunn</t>
  </si>
  <si>
    <t xml:space="preserve"> dulcich</t>
  </si>
  <si>
    <t xml:space="preserve"> dukes</t>
  </si>
  <si>
    <t xml:space="preserve"> dugan 2012 feb 28 am 10:09</t>
  </si>
  <si>
    <t xml:space="preserve"> rebecca (becky)</t>
  </si>
  <si>
    <t xml:space="preserve"> duffy</t>
  </si>
  <si>
    <t xml:space="preserve"> duffy-lewis</t>
  </si>
  <si>
    <t xml:space="preserve"> 974-565</t>
  </si>
  <si>
    <t xml:space="preserve"> dept 38</t>
  </si>
  <si>
    <t xml:space="preserve"> jacquelyn</t>
  </si>
  <si>
    <t xml:space="preserve"> duarte</t>
  </si>
  <si>
    <t xml:space="preserve"> jeannette</t>
  </si>
  <si>
    <t xml:space="preserve"> dutemple</t>
  </si>
  <si>
    <t xml:space="preserve"> louren</t>
  </si>
  <si>
    <t xml:space="preserve"> doyle</t>
  </si>
  <si>
    <t xml:space="preserve"> jonn</t>
  </si>
  <si>
    <t xml:space="preserve"> porter</t>
  </si>
  <si>
    <t xml:space="preserve"> glendale bsanch court</t>
  </si>
  <si>
    <t xml:space="preserve"> superior court jud</t>
  </si>
  <si>
    <t xml:space="preserve"> downing</t>
  </si>
  <si>
    <t xml:space="preserve"> marguerite</t>
  </si>
  <si>
    <t xml:space="preserve"> dowling</t>
  </si>
  <si>
    <t xml:space="preserve"> sean</t>
  </si>
  <si>
    <t xml:space="preserve"> dourbetas</t>
  </si>
  <si>
    <t xml:space="preserve"> dorado leo</t>
  </si>
  <si>
    <t xml:space="preserve"> leopoldo edward</t>
  </si>
  <si>
    <t xml:space="preserve"> d'opal</t>
  </si>
  <si>
    <t xml:space="preserve"> marin county superior court state of california</t>
  </si>
  <si>
    <t xml:space="preserve"> judge civil department</t>
  </si>
  <si>
    <t xml:space="preserve"> donnelly</t>
  </si>
  <si>
    <t xml:space="preserve"> donal</t>
  </si>
  <si>
    <t xml:space="preserve"> dondero</t>
  </si>
  <si>
    <t xml:space="preserve"> court of appeal first appellate dist div. one</t>
  </si>
  <si>
    <t xml:space="preserve"> donahue</t>
  </si>
  <si>
    <t xml:space="preserve"> patriek</t>
  </si>
  <si>
    <t xml:space="preserve"> dominguez</t>
  </si>
  <si>
    <t xml:space="preserve"> juan carlos</t>
  </si>
  <si>
    <t xml:space="preserve"> east district-pomona- north</t>
  </si>
  <si>
    <t xml:space="preserve"> dohi</t>
  </si>
  <si>
    <t xml:space="preserve"> northwest</t>
  </si>
  <si>
    <t xml:space="preserve"> dixon</t>
  </si>
  <si>
    <t xml:space="preserve"> distaso</t>
  </si>
  <si>
    <t xml:space="preserve"> office no. 3</t>
  </si>
  <si>
    <t xml:space="preserve"> diesman</t>
  </si>
  <si>
    <t xml:space="preserve"> dickerson iii</t>
  </si>
  <si>
    <t xml:space="preserve"> diaz jr</t>
  </si>
  <si>
    <t xml:space="preserve"> diaz</t>
  </si>
  <si>
    <t xml:space="preserve"> rudolph</t>
  </si>
  <si>
    <t xml:space="preserve"> marta</t>
  </si>
  <si>
    <t xml:space="preserve"> di loreto</t>
  </si>
  <si>
    <t xml:space="preserve"> di cesare</t>
  </si>
  <si>
    <t xml:space="preserve"> devore</t>
  </si>
  <si>
    <t xml:space="preserve"> devanon</t>
  </si>
  <si>
    <t xml:space="preserve"> devaney</t>
  </si>
  <si>
    <t xml:space="preserve"> detjen</t>
  </si>
  <si>
    <t xml:space="preserve"> r.s.</t>
  </si>
  <si>
    <t xml:space="preserve"> fifth district</t>
  </si>
  <si>
    <t xml:space="preserve"> detienne</t>
  </si>
  <si>
    <t xml:space="preserve"> seat 6</t>
  </si>
  <si>
    <t xml:space="preserve"> deshazer</t>
  </si>
  <si>
    <t xml:space="preserve"> desautels</t>
  </si>
  <si>
    <t xml:space="preserve"> superior court county of alameda</t>
  </si>
  <si>
    <t xml:space="preserve"> desantos</t>
  </si>
  <si>
    <t xml:space="preserve"> denton</t>
  </si>
  <si>
    <t xml:space="preserve"> denoce</t>
  </si>
  <si>
    <t xml:space="preserve"> demeo</t>
  </si>
  <si>
    <t xml:space="preserve"> bradford</t>
  </si>
  <si>
    <t xml:space="preserve"> delucchi</t>
  </si>
  <si>
    <t xml:space="preserve"> attilio</t>
  </si>
  <si>
    <t xml:space="preserve"> state of california - superior court</t>
  </si>
  <si>
    <t xml:space="preserve"> dellostritto</t>
  </si>
  <si>
    <t xml:space="preserve"> delgado</t>
  </si>
  <si>
    <t xml:space="preserve"> gorizalez</t>
  </si>
  <si>
    <t xml:space="preserve"> del pozzo</t>
  </si>
  <si>
    <t xml:space="preserve"> ron</t>
  </si>
  <si>
    <t xml:space="preserve"> u</t>
  </si>
  <si>
    <t xml:space="preserve"> superior court judge seat 16</t>
  </si>
  <si>
    <t xml:space="preserve"> dekreon</t>
  </si>
  <si>
    <t xml:space="preserve"> san francisco superior court for the state of california</t>
  </si>
  <si>
    <t xml:space="preserve"> deddeh</t>
  </si>
  <si>
    <t xml:space="preserve"> de bellefeuille</t>
  </si>
  <si>
    <t xml:space="preserve"> de alba</t>
  </si>
  <si>
    <t xml:space="preserve"> dawson</t>
  </si>
  <si>
    <t xml:space="preserve"> 5th district</t>
  </si>
  <si>
    <t xml:space="preserve"> davis</t>
  </si>
  <si>
    <t xml:space="preserve"> davis iii</t>
  </si>
  <si>
    <t xml:space="preserve"> micheal</t>
  </si>
  <si>
    <t xml:space="preserve"> davilla jr.</t>
  </si>
  <si>
    <t xml:space="preserve"> rnyonod</t>
  </si>
  <si>
    <t xml:space="preserve"> court judge</t>
  </si>
  <si>
    <t xml:space="preserve"> davidian</t>
  </si>
  <si>
    <t xml:space="preserve"> dauphine</t>
  </si>
  <si>
    <t xml:space="preserve"> county of monteley</t>
  </si>
  <si>
    <t xml:space="preserve"> daum</t>
  </si>
  <si>
    <t xml:space="preserve"> elliot</t>
  </si>
  <si>
    <t xml:space="preserve"> superior court - judge</t>
  </si>
  <si>
    <t xml:space="preserve"> dau</t>
  </si>
  <si>
    <t xml:space="preserve"> dato</t>
  </si>
  <si>
    <t xml:space="preserve"> willaim</t>
  </si>
  <si>
    <t xml:space="preserve"> danielsen</t>
  </si>
  <si>
    <t xml:space="preserve"> daniels</t>
  </si>
  <si>
    <t xml:space="preserve"> dandona</t>
  </si>
  <si>
    <t xml:space="preserve"> daigh</t>
  </si>
  <si>
    <t xml:space="preserve"> dahlquist</t>
  </si>
  <si>
    <t xml:space="preserve"> dabney</t>
  </si>
  <si>
    <t xml:space="preserve"> czuleger john</t>
  </si>
  <si>
    <t xml:space="preserve"> curry</t>
  </si>
  <si>
    <t xml:space="preserve"> currier</t>
  </si>
  <si>
    <t xml:space="preserve"> carol miller justice center</t>
  </si>
  <si>
    <t xml:space="preserve"> curiel</t>
  </si>
  <si>
    <t xml:space="preserve"> gonzalo</t>
  </si>
  <si>
    <t xml:space="preserve"> cunningham</t>
  </si>
  <si>
    <t xml:space="preserve"> s.iii</t>
  </si>
  <si>
    <t xml:space="preserve"> cummins</t>
  </si>
  <si>
    <t xml:space="preserve"> ashley</t>
  </si>
  <si>
    <t xml:space="preserve"> slanislaus county</t>
  </si>
  <si>
    <t xml:space="preserve"> superior court of the state of california county of monterey</t>
  </si>
  <si>
    <t xml:space="preserve"> culhane</t>
  </si>
  <si>
    <t xml:space="preserve"> cuellar</t>
  </si>
  <si>
    <t xml:space="preserve"> armando</t>
  </si>
  <si>
    <t xml:space="preserve"> gnecco</t>
  </si>
  <si>
    <t xml:space="preserve"> croskey</t>
  </si>
  <si>
    <t xml:space="preserve"> croft</t>
  </si>
  <si>
    <t xml:space="preserve"> janice</t>
  </si>
  <si>
    <t xml:space="preserve"> cretan</t>
  </si>
  <si>
    <t xml:space="preserve"> vahan</t>
  </si>
  <si>
    <t xml:space="preserve"> jac</t>
  </si>
  <si>
    <t xml:space="preserve"> san luis unispo</t>
  </si>
  <si>
    <t xml:space="preserve"> crandall</t>
  </si>
  <si>
    <t xml:space="preserve"> stevens</t>
  </si>
  <si>
    <t xml:space="preserve"> cramin</t>
  </si>
  <si>
    <t xml:space="preserve"> corey</t>
  </si>
  <si>
    <t xml:space="preserve"> cram</t>
  </si>
  <si>
    <t xml:space="preserve"> craddick</t>
  </si>
  <si>
    <t xml:space="preserve"> sheryl</t>
  </si>
  <si>
    <t xml:space="preserve"> county judge</t>
  </si>
  <si>
    <t xml:space="preserve"> cox</t>
  </si>
  <si>
    <t xml:space="preserve"> arlington</t>
  </si>
  <si>
    <t xml:space="preserve"> cowell</t>
  </si>
  <si>
    <t xml:space="preserve"> covarrubias</t>
  </si>
  <si>
    <t xml:space="preserve"> superior court of california county of ventura</t>
  </si>
  <si>
    <t xml:space="preserve"> counelis</t>
  </si>
  <si>
    <t xml:space="preserve"> superior court county of riverside</t>
  </si>
  <si>
    <t xml:space="preserve"> coughlan</t>
  </si>
  <si>
    <t xml:space="preserve"> cotton</t>
  </si>
  <si>
    <t xml:space="preserve"> huey</t>
  </si>
  <si>
    <t xml:space="preserve"> penton</t>
  </si>
  <si>
    <t xml:space="preserve"> cota</t>
  </si>
  <si>
    <t xml:space="preserve"> ayala</t>
  </si>
  <si>
    <t xml:space="preserve"> cortez</t>
  </si>
  <si>
    <t xml:space="preserve"> corrigan</t>
  </si>
  <si>
    <t xml:space="preserve"> california supreme court associate justice</t>
  </si>
  <si>
    <t xml:space="preserve"> corona</t>
  </si>
  <si>
    <t xml:space="preserve"> adolfo</t>
  </si>
  <si>
    <t xml:space="preserve"> cornell</t>
  </si>
  <si>
    <t xml:space="preserve"> cordova</t>
  </si>
  <si>
    <t xml:space="preserve"> stanklaus county superior court</t>
  </si>
  <si>
    <t xml:space="preserve"> cope</t>
  </si>
  <si>
    <t xml:space="preserve"> ashton</t>
  </si>
  <si>
    <t xml:space="preserve"> cookson</t>
  </si>
  <si>
    <t xml:space="preserve"> convey</t>
  </si>
  <si>
    <t xml:space="preserve"> conroy</t>
  </si>
  <si>
    <t xml:space="preserve"> gay</t>
  </si>
  <si>
    <t xml:space="preserve"> connolly</t>
  </si>
  <si>
    <t xml:space="preserve"> santa cruz county superior court</t>
  </si>
  <si>
    <t xml:space="preserve"> emmet</t>
  </si>
  <si>
    <t xml:space="preserve"> connelly</t>
  </si>
  <si>
    <t xml:space="preserve"> conleyjohn dorsey</t>
  </si>
  <si>
    <t xml:space="preserve"> conklin</t>
  </si>
  <si>
    <t xml:space="preserve"> butler</t>
  </si>
  <si>
    <t xml:space="preserve"> condron</t>
  </si>
  <si>
    <t xml:space="preserve"> comparet-cassani</t>
  </si>
  <si>
    <t xml:space="preserve"> south distrrict</t>
  </si>
  <si>
    <t xml:space="preserve"> collins</t>
  </si>
  <si>
    <t xml:space="preserve"> barbara liem</t>
  </si>
  <si>
    <t xml:space="preserve"> colfax linda h</t>
  </si>
  <si>
    <t xml:space="preserve"> coleman</t>
  </si>
  <si>
    <t xml:space="preserve"> cole</t>
  </si>
  <si>
    <t xml:space="preserve"> hart</t>
  </si>
  <si>
    <t xml:space="preserve"> west district santa monica</t>
  </si>
  <si>
    <t xml:space="preserve"> cole-hall</t>
  </si>
  <si>
    <t xml:space="preserve"> colaw</t>
  </si>
  <si>
    <t xml:space="preserve"> thierry</t>
  </si>
  <si>
    <t xml:space="preserve"> cohn</t>
  </si>
  <si>
    <t xml:space="preserve"> coffee</t>
  </si>
  <si>
    <t xml:space="preserve"> coen</t>
  </si>
  <si>
    <t xml:space="preserve"> cody</t>
  </si>
  <si>
    <t xml:space="preserve"> tari</t>
  </si>
  <si>
    <t xml:space="preserve"> codrington</t>
  </si>
  <si>
    <t xml:space="preserve"> clover</t>
  </si>
  <si>
    <t xml:space="preserve"> suzette</t>
  </si>
  <si>
    <t xml:space="preserve"> cloninger</t>
  </si>
  <si>
    <t xml:space="preserve"> cline</t>
  </si>
  <si>
    <t xml:space="preserve"> claster</t>
  </si>
  <si>
    <t xml:space="preserve"> clarke</t>
  </si>
  <si>
    <t xml:space="preserve"> woodman</t>
  </si>
  <si>
    <t xml:space="preserve"> clarke jr</t>
  </si>
  <si>
    <t xml:space="preserve"> edmund</t>
  </si>
  <si>
    <t xml:space="preserve"> willcox</t>
  </si>
  <si>
    <t xml:space="preserve"> los angles county superior court</t>
  </si>
  <si>
    <t xml:space="preserve"> clark</t>
  </si>
  <si>
    <t xml:space="preserve"> l.michael</t>
  </si>
  <si>
    <t xml:space="preserve"> superior court of califonia country of riverside</t>
  </si>
  <si>
    <t xml:space="preserve"> hemet branch</t>
  </si>
  <si>
    <t xml:space="preserve"> cissna</t>
  </si>
  <si>
    <t xml:space="preserve"> humboldt superior court</t>
  </si>
  <si>
    <t xml:space="preserve"> munger</t>
  </si>
  <si>
    <t xml:space="preserve"> charles (carlos)</t>
  </si>
  <si>
    <t xml:space="preserve"> chuang</t>
  </si>
  <si>
    <t xml:space="preserve"> superior court of california county of orange</t>
  </si>
  <si>
    <t xml:space="preserve"> christianson</t>
  </si>
  <si>
    <t xml:space="preserve"> superior court of california - county of san bernardino</t>
  </si>
  <si>
    <t xml:space="preserve"> sarah</t>
  </si>
  <si>
    <t xml:space="preserve"> adams</t>
  </si>
  <si>
    <t xml:space="preserve"> riverside county</t>
  </si>
  <si>
    <t xml:space="preserve"> christian deborah</t>
  </si>
  <si>
    <t xml:space="preserve"> chouteau</t>
  </si>
  <si>
    <t xml:space="preserve"> auguste</t>
  </si>
  <si>
    <t xml:space="preserve"> chou</t>
  </si>
  <si>
    <t xml:space="preserve"> tsaiming</t>
  </si>
  <si>
    <t xml:space="preserve"> marin superior court</t>
  </si>
  <si>
    <t xml:space="preserve"> cho</t>
  </si>
  <si>
    <t xml:space="preserve"> west district department s</t>
  </si>
  <si>
    <t xml:space="preserve"> chittick</t>
  </si>
  <si>
    <t xml:space="preserve"> hilary</t>
  </si>
  <si>
    <t xml:space="preserve"> chin</t>
  </si>
  <si>
    <t xml:space="preserve"> ming</t>
  </si>
  <si>
    <t xml:space="preserve"> chiarello</t>
  </si>
  <si>
    <t xml:space="preserve"> cheroske</t>
  </si>
  <si>
    <t xml:space="preserve"> south central</t>
  </si>
  <si>
    <t xml:space="preserve"> chernus</t>
  </si>
  <si>
    <t xml:space="preserve"> cheng</t>
  </si>
  <si>
    <t xml:space="preserve"> y.s.</t>
  </si>
  <si>
    <t xml:space="preserve"> chavez</t>
  </si>
  <si>
    <t xml:space="preserve"> chevez</t>
  </si>
  <si>
    <t xml:space="preserve"> chatman</t>
  </si>
  <si>
    <t xml:space="preserve"> seat 7</t>
  </si>
  <si>
    <t xml:space="preserve"> chapin</t>
  </si>
  <si>
    <t xml:space="preserve"> sidney</t>
  </si>
  <si>
    <t xml:space="preserve"> shelleyanne</t>
  </si>
  <si>
    <t xml:space="preserve"> wai ling</t>
  </si>
  <si>
    <t xml:space="preserve"> chaney</t>
  </si>
  <si>
    <t xml:space="preserve"> gerrard</t>
  </si>
  <si>
    <t xml:space="preserve"> chandler</t>
  </si>
  <si>
    <t xml:space="preserve"> chan</t>
  </si>
  <si>
    <t xml:space="preserve"> chalfant james c.</t>
  </si>
  <si>
    <t xml:space="preserve"> james c.</t>
  </si>
  <si>
    <t xml:space="preserve"> the superior court</t>
  </si>
  <si>
    <t xml:space="preserve"> chaitin</t>
  </si>
  <si>
    <t xml:space="preserve"> barbara limp</t>
  </si>
  <si>
    <t xml:space="preserve"> chaffee</t>
  </si>
  <si>
    <t xml:space="preserve"> cena</t>
  </si>
  <si>
    <t xml:space="preserve"> castellanos</t>
  </si>
  <si>
    <t xml:space="preserve"> cecilia</t>
  </si>
  <si>
    <t xml:space="preserve"> atricia</t>
  </si>
  <si>
    <t xml:space="preserve"> cassidy</t>
  </si>
  <si>
    <t xml:space="preserve"> casserly</t>
  </si>
  <si>
    <t xml:space="preserve"> carvill</t>
  </si>
  <si>
    <t xml:space="preserve"> wynne</t>
  </si>
  <si>
    <t xml:space="preserve"> castwright</t>
  </si>
  <si>
    <t xml:space="preserve"> carter</t>
  </si>
  <si>
    <t xml:space="preserve"> north central district</t>
  </si>
  <si>
    <t xml:space="preserve"> laird</t>
  </si>
  <si>
    <t xml:space="preserve"> carrillo</t>
  </si>
  <si>
    <t xml:space="preserve"> cardoza</t>
  </si>
  <si>
    <t xml:space="preserve"> cantil-sakauye</t>
  </si>
  <si>
    <t xml:space="preserve"> tani</t>
  </si>
  <si>
    <t xml:space="preserve"> gorre</t>
  </si>
  <si>
    <t xml:space="preserve"> cannon</t>
  </si>
  <si>
    <t xml:space="preserve"> canepa</t>
  </si>
  <si>
    <t xml:space="preserve"> candela</t>
  </si>
  <si>
    <t xml:space="preserve"> michaela</t>
  </si>
  <si>
    <t xml:space="preserve"> superior court of california county of butte</t>
  </si>
  <si>
    <t xml:space="preserve"> butte county</t>
  </si>
  <si>
    <t xml:space="preserve"> candee</t>
  </si>
  <si>
    <t xml:space="preserve"> roland</t>
  </si>
  <si>
    <t xml:space="preserve"> linton</t>
  </si>
  <si>
    <t xml:space="preserve"> yvonne</t>
  </si>
  <si>
    <t xml:space="preserve"> esperanza</t>
  </si>
  <si>
    <t xml:space="preserve"> cameron</t>
  </si>
  <si>
    <t xml:space="preserve"> camacha</t>
  </si>
  <si>
    <t xml:space="preserve"> mike</t>
  </si>
  <si>
    <t xml:space="preserve"> cain</t>
  </si>
  <si>
    <t xml:space="preserve"> willian</t>
  </si>
  <si>
    <t xml:space="preserve"> caietti</t>
  </si>
  <si>
    <t xml:space="preserve"> cahraman</t>
  </si>
  <si>
    <t xml:space="preserve"> superior court of california riverside county</t>
  </si>
  <si>
    <t xml:space="preserve"> office 3</t>
  </si>
  <si>
    <t xml:space="preserve"> cadei</t>
  </si>
  <si>
    <t xml:space="preserve"> sacramento california</t>
  </si>
  <si>
    <t xml:space="preserve"> cabrinha</t>
  </si>
  <si>
    <t xml:space="preserve"> neal</t>
  </si>
  <si>
    <t xml:space="preserve"> cabrera</t>
  </si>
  <si>
    <t xml:space="preserve"> bysshe</t>
  </si>
  <si>
    <t xml:space="preserve"> byrd</t>
  </si>
  <si>
    <t xml:space="preserve"> butz</t>
  </si>
  <si>
    <t xml:space="preserve"> superior court of california judicial officer</t>
  </si>
  <si>
    <t xml:space="preserve"> county of montaray</t>
  </si>
  <si>
    <t xml:space="preserve"> bush</t>
  </si>
  <si>
    <t xml:space="preserve"> busch</t>
  </si>
  <si>
    <t xml:space="preserve"> burr</t>
  </si>
  <si>
    <t xml:space="preserve"> burns robert</t>
  </si>
  <si>
    <t xml:space="preserve"> shane</t>
  </si>
  <si>
    <t xml:space="preserve"> kings county superior court</t>
  </si>
  <si>
    <t xml:space="preserve"> burnham marquez</t>
  </si>
  <si>
    <t xml:space="preserve"> raymonda</t>
  </si>
  <si>
    <t xml:space="preserve"> burlison</t>
  </si>
  <si>
    <t xml:space="preserve"> burke</t>
  </si>
  <si>
    <t xml:space="preserve"> earle</t>
  </si>
  <si>
    <t xml:space="preserve"> san luis obispo county</t>
  </si>
  <si>
    <t xml:space="preserve"> burgess</t>
  </si>
  <si>
    <t xml:space="preserve"> rhonda</t>
  </si>
  <si>
    <t xml:space="preserve"> noveese</t>
  </si>
  <si>
    <t xml:space="preserve"> burger-plavan</t>
  </si>
  <si>
    <t xml:space="preserve"> trena</t>
  </si>
  <si>
    <t xml:space="preserve"> burdick</t>
  </si>
  <si>
    <t xml:space="preserve"> superior court of california county of janth cruz</t>
  </si>
  <si>
    <t xml:space="preserve"> burch</t>
  </si>
  <si>
    <t xml:space="preserve"> superior court - contra costa county</t>
  </si>
  <si>
    <t xml:space="preserve"> bullard</t>
  </si>
  <si>
    <t xml:space="preserve"> agency namesuperior court</t>
  </si>
  <si>
    <t xml:space="preserve"> buckley</t>
  </si>
  <si>
    <t xml:space="preserve"> buchwald</t>
  </si>
  <si>
    <t xml:space="preserve"> buchholz</t>
  </si>
  <si>
    <t xml:space="preserve"> bubis</t>
  </si>
  <si>
    <t xml:space="preserve"> bryant-deason</t>
  </si>
  <si>
    <t xml:space="preserve"> brumfield</t>
  </si>
  <si>
    <t xml:space="preserve"> lorna</t>
  </si>
  <si>
    <t xml:space="preserve"> bruiniers</t>
  </si>
  <si>
    <t xml:space="preserve"> terence l. bruiniers</t>
  </si>
  <si>
    <t xml:space="preserve"> first district division five</t>
  </si>
  <si>
    <t xml:space="preserve"> bruguera</t>
  </si>
  <si>
    <t xml:space="preserve"> soussan</t>
  </si>
  <si>
    <t xml:space="preserve"> bruce-lyle</t>
  </si>
  <si>
    <t xml:space="preserve"> desiree</t>
  </si>
  <si>
    <t xml:space="preserve"> alexandra</t>
  </si>
  <si>
    <t xml:space="preserve"> brownlee</t>
  </si>
  <si>
    <t xml:space="preserve"> brown</t>
  </si>
  <si>
    <t xml:space="preserve"> lamont</t>
  </si>
  <si>
    <t xml:space="preserve"> jacki</t>
  </si>
  <si>
    <t xml:space="preserve"> irma</t>
  </si>
  <si>
    <t xml:space="preserve"> los angeles county superior court .</t>
  </si>
  <si>
    <t xml:space="preserve"> santa clara county superior court </t>
  </si>
  <si>
    <t xml:space="preserve"> gerard</t>
  </si>
  <si>
    <t xml:space="preserve"> chino county of san bernardino</t>
  </si>
  <si>
    <t xml:space="preserve"> brown frank a.</t>
  </si>
  <si>
    <t xml:space="preserve"> brougham</t>
  </si>
  <si>
    <t xml:space="preserve"> cathryn</t>
  </si>
  <si>
    <t xml:space="preserve"> franco</t>
  </si>
  <si>
    <t xml:space="preserve"> brosnhan</t>
  </si>
  <si>
    <t xml:space="preserve"> superior court of californiacounty of alameda</t>
  </si>
  <si>
    <t xml:space="preserve"> brooks</t>
  </si>
  <si>
    <t xml:space="preserve"> bromberg</t>
  </si>
  <si>
    <t xml:space="preserve"> brodie</t>
  </si>
  <si>
    <t xml:space="preserve"> kyle</t>
  </si>
  <si>
    <t xml:space="preserve"> broderick</t>
  </si>
  <si>
    <t xml:space="preserve"> brock</t>
  </si>
  <si>
    <t xml:space="preserve"> edison</t>
  </si>
  <si>
    <t xml:space="preserve"> santa clara superior court</t>
  </si>
  <si>
    <t xml:space="preserve"> briseno</t>
  </si>
  <si>
    <t xml:space="preserve"> pedro</t>
  </si>
  <si>
    <t xml:space="preserve"> brisco</t>
  </si>
  <si>
    <t xml:space="preserve"> giuntini</t>
  </si>
  <si>
    <t xml:space="preserve"> briggs</t>
  </si>
  <si>
    <t xml:space="preserve"> brick</t>
  </si>
  <si>
    <t xml:space="preserve"> brennan</t>
  </si>
  <si>
    <t xml:space="preserve"> clayton</t>
  </si>
  <si>
    <t xml:space="preserve"> superior court of california mendocino county</t>
  </si>
  <si>
    <t xml:space="preserve"> department #6</t>
  </si>
  <si>
    <t xml:space="preserve"> brehmer</t>
  </si>
  <si>
    <t xml:space="preserve"> breall</t>
  </si>
  <si>
    <t xml:space="preserve"> barbara camp</t>
  </si>
  <si>
    <t xml:space="preserve"> san francisco county</t>
  </si>
  <si>
    <t xml:space="preserve"> brazile</t>
  </si>
  <si>
    <t xml:space="preserve"> los angeles county superior court---california---los angeles county</t>
  </si>
  <si>
    <t xml:space="preserve"> superior court of los angeles county---ca</t>
  </si>
  <si>
    <t xml:space="preserve"> superior court judge l.a county</t>
  </si>
  <si>
    <t xml:space="preserve"> brannigan</t>
  </si>
  <si>
    <t xml:space="preserve"> brandolino joseph</t>
  </si>
  <si>
    <t xml:space="preserve"> brandlin</t>
  </si>
  <si>
    <t xml:space="preserve"> brady</t>
  </si>
  <si>
    <t xml:space="preserve"> laurel</t>
  </si>
  <si>
    <t xml:space="preserve"> contra costa co. superior court</t>
  </si>
  <si>
    <t xml:space="preserve"> brads treet</t>
  </si>
  <si>
    <t xml:space="preserve"> angela</t>
  </si>
  <si>
    <t xml:space="preserve"> san fran cisco superior court</t>
  </si>
  <si>
    <t xml:space="preserve"> bradshaw</t>
  </si>
  <si>
    <t xml:space="preserve"> bowman</t>
  </si>
  <si>
    <t xml:space="preserve"> blaine</t>
  </si>
  <si>
    <t xml:space="preserve"> kenyon</t>
  </si>
  <si>
    <t xml:space="preserve"> bowick</t>
  </si>
  <si>
    <t xml:space="preserve"> a11:07</t>
  </si>
  <si>
    <t xml:space="preserve"> bowers</t>
  </si>
  <si>
    <t xml:space="preserve"> department 15</t>
  </si>
  <si>
    <t xml:space="preserve"> bowers jr.</t>
  </si>
  <si>
    <t xml:space="preserve"> bob</t>
  </si>
  <si>
    <t xml:space="preserve"> bowen</t>
  </si>
  <si>
    <t xml:space="preserve"> boulware eurie</t>
  </si>
  <si>
    <t xml:space="preserve"> bottke</t>
  </si>
  <si>
    <t xml:space="preserve"> todd</t>
  </si>
  <si>
    <t xml:space="preserve"> bostwick</t>
  </si>
  <si>
    <t xml:space="preserve"> boscoe</t>
  </si>
  <si>
    <t xml:space="preserve"> agency nametuolumne county superior court</t>
  </si>
  <si>
    <t xml:space="preserve"> borris</t>
  </si>
  <si>
    <t xml:space="preserve"> superior court county of orange</t>
  </si>
  <si>
    <t xml:space="preserve"> borrell</t>
  </si>
  <si>
    <t xml:space="preserve"> bork</t>
  </si>
  <si>
    <t xml:space="preserve"> borenstein</t>
  </si>
  <si>
    <t xml:space="preserve"> boren</t>
  </si>
  <si>
    <t xml:space="preserve"> boren roger w.</t>
  </si>
  <si>
    <t xml:space="preserve"> cerk</t>
  </si>
  <si>
    <t xml:space="preserve"> borack</t>
  </si>
  <si>
    <t xml:space="preserve"> jerilyn</t>
  </si>
  <si>
    <t xml:space="preserve"> bonini</t>
  </si>
  <si>
    <t xml:space="preserve"> michael jude</t>
  </si>
  <si>
    <t xml:space="preserve"> bondonno</t>
  </si>
  <si>
    <t xml:space="preserve"> bolanos</t>
  </si>
  <si>
    <t xml:space="preserve"> ramos</t>
  </si>
  <si>
    <t xml:space="preserve"> county of san francisco</t>
  </si>
  <si>
    <t xml:space="preserve"> bogert</t>
  </si>
  <si>
    <t xml:space="preserve"> tami</t>
  </si>
  <si>
    <t xml:space="preserve"> boessenecker</t>
  </si>
  <si>
    <t xml:space="preserve"> boeckman</t>
  </si>
  <si>
    <t xml:space="preserve"> judicial branch-shasta county</t>
  </si>
  <si>
    <t xml:space="preserve"> boccone-gallo</t>
  </si>
  <si>
    <t xml:space="preserve"> juliet</t>
  </si>
  <si>
    <t xml:space="preserve"> bocanegra</t>
  </si>
  <si>
    <t xml:space="preserve"> blumenfeld</t>
  </si>
  <si>
    <t xml:space="preserve"> northeast district</t>
  </si>
  <si>
    <t xml:space="preserve"> blum</t>
  </si>
  <si>
    <t xml:space="preserve"> spotts</t>
  </si>
  <si>
    <t xml:space="preserve"> bloom</t>
  </si>
  <si>
    <t xml:space="preserve"> blizzard</t>
  </si>
  <si>
    <t xml:space="preserve"> thadd</t>
  </si>
  <si>
    <t xml:space="preserve"> blease</t>
  </si>
  <si>
    <t xml:space="preserve"> blea iii</t>
  </si>
  <si>
    <t xml:space="preserve"> blea</t>
  </si>
  <si>
    <t xml:space="preserve"> blanchard</t>
  </si>
  <si>
    <t xml:space="preserve"> blades</t>
  </si>
  <si>
    <t xml:space="preserve"> black</t>
  </si>
  <si>
    <t xml:space="preserve"> scot</t>
  </si>
  <si>
    <t xml:space="preserve"> fresno county</t>
  </si>
  <si>
    <t xml:space="preserve"> birnstein</t>
  </si>
  <si>
    <t xml:space="preserve"> weis</t>
  </si>
  <si>
    <t xml:space="preserve"> birkmeyer</t>
  </si>
  <si>
    <t xml:space="preserve"> bilash</t>
  </si>
  <si>
    <t xml:space="preserve"> colin</t>
  </si>
  <si>
    <t xml:space="preserve"> biggs</t>
  </si>
  <si>
    <t xml:space="preserve"> bigelow</t>
  </si>
  <si>
    <t xml:space="preserve"> molly</t>
  </si>
  <si>
    <t xml:space="preserve"> biderman</t>
  </si>
  <si>
    <t xml:space="preserve"> west district</t>
  </si>
  <si>
    <t xml:space="preserve"> shiro</t>
  </si>
  <si>
    <t xml:space="preserve"> bianco</t>
  </si>
  <si>
    <t xml:space="preserve"> bessey</t>
  </si>
  <si>
    <t xml:space="preserve"> delayne</t>
  </si>
  <si>
    <t xml:space="preserve"> bertoli</t>
  </si>
  <si>
    <t xml:space="preserve"> berrier</t>
  </si>
  <si>
    <t xml:space="preserve"> wolfgang</t>
  </si>
  <si>
    <t xml:space="preserve"> agency nameyuba county superior court</t>
  </si>
  <si>
    <t xml:space="preserve"> bernardini</t>
  </si>
  <si>
    <t xml:space="preserve"> bernal</t>
  </si>
  <si>
    <t xml:space="preserve"> bermudez</t>
  </si>
  <si>
    <t xml:space="preserve"> angel</t>
  </si>
  <si>
    <t xml:space="preserve"> berle</t>
  </si>
  <si>
    <t xml:space="preserve"> elihu</t>
  </si>
  <si>
    <t xml:space="preserve"> bergeron</t>
  </si>
  <si>
    <t xml:space="preserve"> bereola</t>
  </si>
  <si>
    <t xml:space="preserve"> brewster</t>
  </si>
  <si>
    <t xml:space="preserve"> benson</t>
  </si>
  <si>
    <t xml:space="preserve"> butte county-dept.6</t>
  </si>
  <si>
    <t xml:space="preserve"> bennett</t>
  </si>
  <si>
    <t xml:space="preserve"> benke</t>
  </si>
  <si>
    <t xml:space="preserve"> darlene</t>
  </si>
  <si>
    <t xml:space="preserve"> bendix</t>
  </si>
  <si>
    <t xml:space="preserve"> irene</t>
  </si>
  <si>
    <t xml:space="preserve"> bender</t>
  </si>
  <si>
    <t xml:space="preserve"> county of mamera</t>
  </si>
  <si>
    <t xml:space="preserve"> benavides</t>
  </si>
  <si>
    <t xml:space="preserve"> belz</t>
  </si>
  <si>
    <t xml:space="preserve"> lawrence deputy</t>
  </si>
  <si>
    <t xml:space="preserve"> lamoreaux justice center</t>
  </si>
  <si>
    <t xml:space="preserve"> behnke</t>
  </si>
  <si>
    <t xml:space="preserve"> mendoano county superior court</t>
  </si>
  <si>
    <t xml:space="preserve"> begert</t>
  </si>
  <si>
    <t xml:space="preserve"> isaku</t>
  </si>
  <si>
    <t xml:space="preserve"> begen</t>
  </si>
  <si>
    <t xml:space="preserve"> beeman</t>
  </si>
  <si>
    <t xml:space="preserve"> beebe</t>
  </si>
  <si>
    <t xml:space="preserve"> jed</t>
  </si>
  <si>
    <t xml:space="preserve"> superior court of the state of california for the county of santa barbara</t>
  </si>
  <si>
    <t xml:space="preserve"> bedsworth</t>
  </si>
  <si>
    <t xml:space="preserve"> fourth district court of appeal division 3</t>
  </si>
  <si>
    <t xml:space="preserve"> becton</t>
  </si>
  <si>
    <t xml:space="preserve"> diana</t>
  </si>
  <si>
    <t xml:space="preserve"> beckloffmitchell lee</t>
  </si>
  <si>
    <t xml:space="preserve"> beaudet</t>
  </si>
  <si>
    <t xml:space="preserve"> alma</t>
  </si>
  <si>
    <t xml:space="preserve"> dept 2b</t>
  </si>
  <si>
    <t xml:space="preserve"> beauchesne</t>
  </si>
  <si>
    <t xml:space="preserve"> maurice</t>
  </si>
  <si>
    <t xml:space="preserve"> beatty</t>
  </si>
  <si>
    <t xml:space="preserve"> dept 4</t>
  </si>
  <si>
    <t xml:space="preserve"> beason</t>
  </si>
  <si>
    <t xml:space="preserve"> bean</t>
  </si>
  <si>
    <t xml:space="preserve"> baxter</t>
  </si>
  <si>
    <t xml:space="preserve"> bauer</t>
  </si>
  <si>
    <t xml:space="preserve"> baskin</t>
  </si>
  <si>
    <t xml:space="preserve"> barry</t>
  </si>
  <si>
    <t xml:space="preserve"> department 7 - superior court judge</t>
  </si>
  <si>
    <t xml:space="preserve"> bashant</t>
  </si>
  <si>
    <t xml:space="preserve"> basha</t>
  </si>
  <si>
    <t xml:space="preserve"> barton</t>
  </si>
  <si>
    <t xml:space="preserve"> agency namelos angeles superior court</t>
  </si>
  <si>
    <t xml:space="preserve"> barrett</t>
  </si>
  <si>
    <t xml:space="preserve"> thang</t>
  </si>
  <si>
    <t xml:space="preserve"> barreto jr.</t>
  </si>
  <si>
    <t xml:space="preserve"> antonio</t>
  </si>
  <si>
    <t xml:space="preserve"> office no. 148</t>
  </si>
  <si>
    <t xml:space="preserve"> barr</t>
  </si>
  <si>
    <t xml:space="preserve"> barnum</t>
  </si>
  <si>
    <t xml:space="preserve"> barnes</t>
  </si>
  <si>
    <t xml:space="preserve"> kings county</t>
  </si>
  <si>
    <t xml:space="preserve"> barela</t>
  </si>
  <si>
    <t xml:space="preserve"> henry thomas</t>
  </si>
  <si>
    <t xml:space="preserve"> east la court</t>
  </si>
  <si>
    <t xml:space="preserve"> barclay</t>
  </si>
  <si>
    <t xml:space="preserve"> modoc county</t>
  </si>
  <si>
    <t xml:space="preserve"> baranco</t>
  </si>
  <si>
    <t xml:space="preserve"> banke</t>
  </si>
  <si>
    <t xml:space="preserve"> calif court of appeal</t>
  </si>
  <si>
    <t xml:space="preserve"> division one associate</t>
  </si>
  <si>
    <t xml:space="preserve"> bamattre manoukian</t>
  </si>
  <si>
    <t xml:space="preserve"> sixth district court of appeal associate justice</t>
  </si>
  <si>
    <t xml:space="preserve"> balonon</t>
  </si>
  <si>
    <t xml:space="preserve"> ballinger</t>
  </si>
  <si>
    <t xml:space="preserve"> raima</t>
  </si>
  <si>
    <t xml:space="preserve"> balderrama</t>
  </si>
  <si>
    <t xml:space="preserve"> lorenzo</t>
  </si>
  <si>
    <t xml:space="preserve"> agency name</t>
  </si>
  <si>
    <t xml:space="preserve"> bailey</t>
  </si>
  <si>
    <t xml:space="preserve"> superior court of the state of california in and for the county of el dorado</t>
  </si>
  <si>
    <t xml:space="preserve"> four</t>
  </si>
  <si>
    <t xml:space="preserve"> back</t>
  </si>
  <si>
    <t xml:space="preserve"> bachner</t>
  </si>
  <si>
    <t xml:space="preserve"> bacciarini</t>
  </si>
  <si>
    <t xml:space="preserve"> merced county superior court</t>
  </si>
  <si>
    <t xml:space="preserve"> courtroom 7</t>
  </si>
  <si>
    <t xml:space="preserve"> bacal</t>
  </si>
  <si>
    <t xml:space="preserve"> ayoob</t>
  </si>
  <si>
    <t xml:space="preserve"> ayers</t>
  </si>
  <si>
    <t xml:space="preserve"> averill</t>
  </si>
  <si>
    <t xml:space="preserve"> ashmann-gerst</t>
  </si>
  <si>
    <t xml:space="preserve"> ash</t>
  </si>
  <si>
    <t xml:space="preserve"> asberry</t>
  </si>
  <si>
    <t xml:space="preserve"> poole</t>
  </si>
  <si>
    <t xml:space="preserve"> arroyo</t>
  </si>
  <si>
    <t xml:space="preserve"> aronson</t>
  </si>
  <si>
    <t xml:space="preserve"> brain</t>
  </si>
  <si>
    <t xml:space="preserve"> armstrong orvillea.</t>
  </si>
  <si>
    <t xml:space="preserve"> armour</t>
  </si>
  <si>
    <t xml:space="preserve"> o.</t>
  </si>
  <si>
    <t xml:space="preserve"> arguelles</t>
  </si>
  <si>
    <t xml:space="preserve"> arax</t>
  </si>
  <si>
    <t xml:space="preserve"> arand</t>
  </si>
  <si>
    <t xml:space="preserve"> arakaki</t>
  </si>
  <si>
    <t xml:space="preserve"> akemi</t>
  </si>
  <si>
    <t xml:space="preserve"> applegate</t>
  </si>
  <si>
    <t xml:space="preserve"> appel</t>
  </si>
  <si>
    <t xml:space="preserve"> superior court of california county of san joaquin</t>
  </si>
  <si>
    <t xml:space="preserve"> andrews</t>
  </si>
  <si>
    <t xml:space="preserve"> andler</t>
  </si>
  <si>
    <t xml:space="preserve"> udreama</t>
  </si>
  <si>
    <t xml:space="preserve"> anderson</t>
  </si>
  <si>
    <t xml:space="preserve"> andergon</t>
  </si>
  <si>
    <t xml:space="preserve"> sheridan</t>
  </si>
  <si>
    <t xml:space="preserve"> marla</t>
  </si>
  <si>
    <t xml:space="preserve"> anderson iii</t>
  </si>
  <si>
    <t xml:space="preserve"> santa barbara</t>
  </si>
  <si>
    <t xml:space="preserve"> anderle</t>
  </si>
  <si>
    <t xml:space="preserve"> pearce</t>
  </si>
  <si>
    <t xml:space="preserve"> ameral</t>
  </si>
  <si>
    <t xml:space="preserve"> quintina</t>
  </si>
  <si>
    <t xml:space="preserve"> civil division san bernardino district</t>
  </si>
  <si>
    <t xml:space="preserve"> alva</t>
  </si>
  <si>
    <t xml:space="preserve"> superior court of county of san joaquin</t>
  </si>
  <si>
    <t xml:space="preserve"> altamirano</t>
  </si>
  <si>
    <t xml:space="preserve"> almquist</t>
  </si>
  <si>
    <t xml:space="preserve"> california judicial department</t>
  </si>
  <si>
    <t xml:space="preserve"> santa cruz superior court</t>
  </si>
  <si>
    <t xml:space="preserve"> alloggiamento</t>
  </si>
  <si>
    <t xml:space="preserve"> allen-hill</t>
  </si>
  <si>
    <t xml:space="preserve"> allegro</t>
  </si>
  <si>
    <t xml:space="preserve"> alldredge</t>
  </si>
  <si>
    <t xml:space="preserve"> allard</t>
  </si>
  <si>
    <t xml:space="preserve"> alksne</t>
  </si>
  <si>
    <t xml:space="preserve"> louna</t>
  </si>
  <si>
    <t xml:space="preserve"> aldrich</t>
  </si>
  <si>
    <t xml:space="preserve"> alcala</t>
  </si>
  <si>
    <t xml:space="preserve"> javier</t>
  </si>
  <si>
    <t xml:space="preserve"> santa clara california superior court</t>
  </si>
  <si>
    <t xml:space="preserve"> seat 1</t>
  </si>
  <si>
    <t xml:space="preserve"> albers</t>
  </si>
  <si>
    <t xml:space="preserve"> elwood</t>
  </si>
  <si>
    <t xml:space="preserve"> superior court - state of california</t>
  </si>
  <si>
    <t xml:space="preserve"> alaroon</t>
  </si>
  <si>
    <t xml:space="preserve"> aguirre</t>
  </si>
  <si>
    <t xml:space="preserve"> agbayani</t>
  </si>
  <si>
    <t xml:space="preserve"> tony</t>
  </si>
  <si>
    <t xml:space="preserve"> adler</t>
  </si>
  <si>
    <t xml:space="preserve"> verna</t>
  </si>
  <si>
    <t xml:space="preserve"> reagan jr.</t>
  </si>
  <si>
    <t xml:space="preserve"> anacapa street santa barbara</t>
  </si>
  <si>
    <t xml:space="preserve"> ackerson-brazille</t>
  </si>
  <si>
    <t xml:space="preserve"> monique</t>
  </si>
  <si>
    <t xml:space="preserve"> abzug</t>
  </si>
  <si>
    <t xml:space="preserve"> abdallah</t>
  </si>
  <si>
    <t xml:space="preserve"> abbott</t>
  </si>
  <si>
    <t xml:space="preserve"> wylie</t>
  </si>
  <si>
    <t>date</t>
  </si>
  <si>
    <t xml:space="preserve"> guest of the mcnally's</t>
  </si>
  <si>
    <t xml:space="preserve"> at their vacation</t>
  </si>
  <si>
    <t xml:space="preserve"> time share.</t>
  </si>
  <si>
    <t>03 11</t>
  </si>
  <si>
    <t>06 09 11</t>
  </si>
  <si>
    <t>09/98/11</t>
  </si>
  <si>
    <t xml:space="preserve"> education</t>
  </si>
  <si>
    <t>20/11</t>
  </si>
  <si>
    <t>11/-/11</t>
  </si>
  <si>
    <t xml:space="preserve"> same as above</t>
  </si>
  <si>
    <t>05/13/11-05/14/11</t>
  </si>
  <si>
    <t>12/ /11</t>
  </si>
  <si>
    <t>9/16-18/11</t>
  </si>
  <si>
    <t>9 30 11</t>
  </si>
  <si>
    <t>11 8 11</t>
  </si>
  <si>
    <t>08 10</t>
  </si>
  <si>
    <t xml:space="preserve"> dinners</t>
  </si>
  <si>
    <t>07 30 11</t>
  </si>
  <si>
    <t>12 17 11</t>
  </si>
  <si>
    <t xml:space="preserve"> courthouse</t>
  </si>
  <si>
    <t>12 25 11</t>
  </si>
  <si>
    <t xml:space="preserve"> unknown</t>
  </si>
  <si>
    <t>3 14 11</t>
  </si>
  <si>
    <t>8 23 11</t>
  </si>
  <si>
    <t>03 31 11</t>
  </si>
  <si>
    <t>12 27 11</t>
  </si>
  <si>
    <t>8 22 11</t>
  </si>
  <si>
    <t>03 25 11</t>
  </si>
  <si>
    <t>01 11</t>
  </si>
  <si>
    <t>01/ /11</t>
  </si>
  <si>
    <t>meetings</t>
  </si>
  <si>
    <t>01 07 11</t>
  </si>
  <si>
    <t>5/ /11</t>
  </si>
  <si>
    <t>4//11</t>
  </si>
  <si>
    <t>4/ 8&amp;9 /11</t>
  </si>
  <si>
    <t>1/28-29/11</t>
  </si>
  <si>
    <t>10/14-16/11</t>
  </si>
  <si>
    <t>6/26&amp;27/11</t>
  </si>
  <si>
    <t>09/ /11</t>
  </si>
  <si>
    <t>3 11</t>
  </si>
  <si>
    <t>09 25 11</t>
  </si>
  <si>
    <t>11 03 11</t>
  </si>
  <si>
    <t>10 20 11</t>
  </si>
  <si>
    <t>donor_id</t>
  </si>
  <si>
    <t xml:space="preserve"> donor_name</t>
  </si>
  <si>
    <t xml:space="preserve"> donor_business</t>
  </si>
  <si>
    <t xml:space="preserve"> tate snyder kimsey</t>
  </si>
  <si>
    <t xml:space="preserve"> architect</t>
  </si>
  <si>
    <t xml:space="preserve"> christopher &amp; lexi lahera   dirk &amp; lynn moyer</t>
  </si>
  <si>
    <t xml:space="preserve"> --blank--</t>
  </si>
  <si>
    <t xml:space="preserve"> tony &amp; anne spitzberg</t>
  </si>
  <si>
    <t xml:space="preserve"> performed wedding ceremony</t>
  </si>
  <si>
    <t xml:space="preserve"> wylie aitken</t>
  </si>
  <si>
    <t xml:space="preserve"> law firm</t>
  </si>
  <si>
    <t xml:space="preserve"> dr. &amp; mrs. james kallins</t>
  </si>
  <si>
    <t xml:space="preserve"> retired</t>
  </si>
  <si>
    <t xml:space="preserve"> chris schumb esq.</t>
  </si>
  <si>
    <t xml:space="preserve"> santa clara law cantennial</t>
  </si>
  <si>
    <t xml:space="preserve"> hastings college of the law</t>
  </si>
  <si>
    <t xml:space="preserve"> law school</t>
  </si>
  <si>
    <t xml:space="preserve"> richard and lorrie greene</t>
  </si>
  <si>
    <t xml:space="preserve"> miles miracle/ rotary</t>
  </si>
  <si>
    <t xml:space="preserve"> non-profit service club</t>
  </si>
  <si>
    <t xml:space="preserve"> jon alexander</t>
  </si>
  <si>
    <t xml:space="preserve"> district attorney del norte county</t>
  </si>
  <si>
    <t xml:space="preserve"> michel &amp; jennifer berline</t>
  </si>
  <si>
    <t xml:space="preserve"> none</t>
  </si>
  <si>
    <t xml:space="preserve"> jones day</t>
  </si>
  <si>
    <t xml:space="preserve"> allison s. reichert</t>
  </si>
  <si>
    <t xml:space="preserve"> dinnere for performing wedding</t>
  </si>
  <si>
    <t xml:space="preserve"> thomson-reuters/west</t>
  </si>
  <si>
    <t xml:space="preserve"> legal publisher</t>
  </si>
  <si>
    <t xml:space="preserve"> almeda county law library</t>
  </si>
  <si>
    <t xml:space="preserve"> trustee</t>
  </si>
  <si>
    <t xml:space="preserve"> orange county bar assoc. - family law section</t>
  </si>
  <si>
    <t xml:space="preserve"> legal professional association</t>
  </si>
  <si>
    <t xml:space="preserve"> kaven wallace</t>
  </si>
  <si>
    <t xml:space="preserve"> orange county trial lawyers assoc.</t>
  </si>
  <si>
    <t xml:space="preserve"> frank quinlan/francisco briseno</t>
  </si>
  <si>
    <t xml:space="preserve"> attorney / judge</t>
  </si>
  <si>
    <t xml:space="preserve"> eukel foundation</t>
  </si>
  <si>
    <t xml:space="preserve"> education foundation</t>
  </si>
  <si>
    <t xml:space="preserve"> san bernardino police officer's association</t>
  </si>
  <si>
    <t xml:space="preserve"> union</t>
  </si>
  <si>
    <t xml:space="preserve"> tom jamison and paula robinson</t>
  </si>
  <si>
    <t xml:space="preserve"> attorneys</t>
  </si>
  <si>
    <t xml:space="preserve"> judge thomas m. smith (ret)</t>
  </si>
  <si>
    <t xml:space="preserve"> members of bingham mccutchen llp</t>
  </si>
  <si>
    <t xml:space="preserve"> law firm partnership</t>
  </si>
  <si>
    <t xml:space="preserve"> wilcoxen callahamllp</t>
  </si>
  <si>
    <t xml:space="preserve"> assn of business trial lawyers- nor cal</t>
  </si>
  <si>
    <t xml:space="preserve"> prof assn - con't education</t>
  </si>
  <si>
    <t xml:space="preserve"> matrimonial lawyers-aaml</t>
  </si>
  <si>
    <t xml:space="preserve"> educational/social</t>
  </si>
  <si>
    <t xml:space="preserve"> monterey bay aquarium</t>
  </si>
  <si>
    <t xml:space="preserve"> ocean protection</t>
  </si>
  <si>
    <t xml:space="preserve"> san mateo county bar assn.</t>
  </si>
  <si>
    <t xml:space="preserve"> redwood city ca. - law</t>
  </si>
  <si>
    <t xml:space="preserve"> jennifer poland</t>
  </si>
  <si>
    <t xml:space="preserve"> valerie tanney &amp; michael cardenas</t>
  </si>
  <si>
    <t xml:space="preserve"> friends</t>
  </si>
  <si>
    <t xml:space="preserve"> john tyre</t>
  </si>
  <si>
    <t xml:space="preserve"> criminal defense attorney</t>
  </si>
  <si>
    <t xml:space="preserve"> lisa lench</t>
  </si>
  <si>
    <t xml:space="preserve"> dave wood</t>
  </si>
  <si>
    <t xml:space="preserve"> cattleman</t>
  </si>
  <si>
    <t xml:space="preserve"> steve will</t>
  </si>
  <si>
    <t xml:space="preserve"> jim &amp; diane gilmartin</t>
  </si>
  <si>
    <t xml:space="preserve"> 8/12/11 $100.00 della robia</t>
  </si>
  <si>
    <t xml:space="preserve"> assoc. of business trial lawyers</t>
  </si>
  <si>
    <t xml:space="preserve"> specialty bar assoc; legal ed</t>
  </si>
  <si>
    <t xml:space="preserve"> soroptomist club/among friends</t>
  </si>
  <si>
    <t xml:space="preserve"> charitable organization/scrapbook business</t>
  </si>
  <si>
    <t xml:space="preserve"> mr. &amp; mrs. nicholas palatucci</t>
  </si>
  <si>
    <t xml:space="preserve"> friend - gift for performing wedding</t>
  </si>
  <si>
    <t xml:space="preserve"> don and clara urie</t>
  </si>
  <si>
    <t xml:space="preserve"> real estate management</t>
  </si>
  <si>
    <t xml:space="preserve"> attorney's briefcase seminars</t>
  </si>
  <si>
    <t xml:space="preserve"> legal education provider</t>
  </si>
  <si>
    <t xml:space="preserve"> jay holland</t>
  </si>
  <si>
    <t xml:space="preserve"> consumer attys assn of los angeles</t>
  </si>
  <si>
    <t xml:space="preserve"> voluntary bar assh.</t>
  </si>
  <si>
    <t xml:space="preserve"> november 10th assn. informal org. of u.s. marines</t>
  </si>
  <si>
    <t xml:space="preserve"> charitable organization</t>
  </si>
  <si>
    <t xml:space="preserve"> american board of trial advocates 5567 reseda</t>
  </si>
  <si>
    <t xml:space="preserve"> voluntary bar association</t>
  </si>
  <si>
    <t xml:space="preserve"> sf defense attorneys</t>
  </si>
  <si>
    <t xml:space="preserve"> bar association</t>
  </si>
  <si>
    <t xml:space="preserve"> peter smits</t>
  </si>
  <si>
    <t xml:space="preserve"> mr. &amp; mrs. james tziouvalas</t>
  </si>
  <si>
    <t xml:space="preserve"> retired/analyst</t>
  </si>
  <si>
    <t xml:space="preserve"> orange county bar association/family law section</t>
  </si>
  <si>
    <t xml:space="preserve"> professional association</t>
  </si>
  <si>
    <t xml:space="preserve"> state of california/los angeles superior court</t>
  </si>
  <si>
    <t xml:space="preserve"> seminars conferences</t>
  </si>
  <si>
    <t xml:space="preserve"> san mateo county trial lawyers assn</t>
  </si>
  <si>
    <t xml:space="preserve"> judge night dinner</t>
  </si>
  <si>
    <t xml:space="preserve"> duke law school</t>
  </si>
  <si>
    <t xml:space="preserve"> traci kerkorian</t>
  </si>
  <si>
    <t xml:space="preserve"> attorney</t>
  </si>
  <si>
    <t xml:space="preserve"> don and connie ozburn</t>
  </si>
  <si>
    <t xml:space="preserve"> tom herman</t>
  </si>
  <si>
    <t xml:space="preserve"> glenda and al faythal (friends)</t>
  </si>
  <si>
    <t xml:space="preserve"> rev. &amp; mrs. john alexandres</t>
  </si>
  <si>
    <t xml:space="preserve"> clergy</t>
  </si>
  <si>
    <t xml:space="preserve"> robert and jennifer burton</t>
  </si>
  <si>
    <t xml:space="preserve"> theo epstein</t>
  </si>
  <si>
    <t xml:space="preserve"> general manager/president</t>
  </si>
  <si>
    <t xml:space="preserve"> american academy of matrimonial lawyers</t>
  </si>
  <si>
    <t xml:space="preserve"> california employment lawyers ass'n.</t>
  </si>
  <si>
    <t xml:space="preserve"> voluntary bar assn</t>
  </si>
  <si>
    <t xml:space="preserve"> parker development c/o ron briggs</t>
  </si>
  <si>
    <t xml:space="preserve"> developer</t>
  </si>
  <si>
    <t xml:space="preserve"> ashley &amp; jeffrey landsberg</t>
  </si>
  <si>
    <t xml:space="preserve"> assn of business trial lawyers</t>
  </si>
  <si>
    <t xml:space="preserve"> bus.trial atty org  </t>
  </si>
  <si>
    <t xml:space="preserve"> daniel cooperman</t>
  </si>
  <si>
    <t xml:space="preserve"> attorney friend</t>
  </si>
  <si>
    <t xml:space="preserve"> sharif jewelers</t>
  </si>
  <si>
    <t xml:space="preserve"> debra farb</t>
  </si>
  <si>
    <t xml:space="preserve"> mr. &amp; mrs. john georgiou</t>
  </si>
  <si>
    <t xml:space="preserve"> los angeles county bar association 1055 w. 7th st.</t>
  </si>
  <si>
    <t xml:space="preserve"> loyola law school 919 albany street</t>
  </si>
  <si>
    <t xml:space="preserve"> korean community lawyer's assn.</t>
  </si>
  <si>
    <t xml:space="preserve"> anthony agnello</t>
  </si>
  <si>
    <t xml:space="preserve"> deanne gescheider</t>
  </si>
  <si>
    <t xml:space="preserve"> executive employee at alpine meadows</t>
  </si>
  <si>
    <t xml:space="preserve"> dr. rodney collins</t>
  </si>
  <si>
    <t xml:space="preserve"> beverly hills ca 90211</t>
  </si>
  <si>
    <t xml:space="preserve"> hon. john and renee vanderfeer</t>
  </si>
  <si>
    <t xml:space="preserve"> irell &amp; manella llp</t>
  </si>
  <si>
    <t xml:space="preserve"> queens' berch</t>
  </si>
  <si>
    <t xml:space="preserve"> lawyers' group</t>
  </si>
  <si>
    <t xml:space="preserve"> michael i.neil</t>
  </si>
  <si>
    <t xml:space="preserve"> lawyer</t>
  </si>
  <si>
    <t xml:space="preserve"> lee &amp; carol cribb</t>
  </si>
  <si>
    <t xml:space="preserve"> 11.30.11  $50.00  el polo loco gift</t>
  </si>
  <si>
    <t xml:space="preserve"> alameda coutra costa trial lawyers</t>
  </si>
  <si>
    <t xml:space="preserve"> california judges assn</t>
  </si>
  <si>
    <t xml:space="preserve"> prof. assoc. of judges</t>
  </si>
  <si>
    <t xml:space="preserve"> alan isaacman</t>
  </si>
  <si>
    <t xml:space="preserve"> knott's berry farm</t>
  </si>
  <si>
    <t xml:space="preserve"> law enforcement days</t>
  </si>
  <si>
    <t xml:space="preserve"> desert town hall series</t>
  </si>
  <si>
    <t xml:space="preserve"> nonprofit</t>
  </si>
  <si>
    <t xml:space="preserve"> dr. &amp; mrs. james sellas</t>
  </si>
  <si>
    <t xml:space="preserve"> oral surgeon</t>
  </si>
  <si>
    <t xml:space="preserve"> legal aid society of san mateo county</t>
  </si>
  <si>
    <t xml:space="preserve"> provider of legal services</t>
  </si>
  <si>
    <t xml:space="preserve"> court staff</t>
  </si>
  <si>
    <t xml:space="preserve"> mr. &amp; mrs. angelo georggin</t>
  </si>
  <si>
    <t xml:space="preserve"> orange county bar association/ family law section</t>
  </si>
  <si>
    <t xml:space="preserve"> howard rice nemerovski canady falk &amp;rabkin</t>
  </si>
  <si>
    <t xml:space="preserve"> james donato</t>
  </si>
  <si>
    <t xml:space="preserve"> mr. &amp; mrs george marcus</t>
  </si>
  <si>
    <t xml:space="preserve"> dickinson college</t>
  </si>
  <si>
    <t xml:space="preserve"> college</t>
  </si>
  <si>
    <t xml:space="preserve"> gibson dunn + cruteher llp</t>
  </si>
  <si>
    <t xml:space="preserve"> ken +judy oda</t>
  </si>
  <si>
    <t xml:space="preserve"> friend</t>
  </si>
  <si>
    <t xml:space="preserve"> san francisco trial lawyers assn</t>
  </si>
  <si>
    <t xml:space="preserve"> abota</t>
  </si>
  <si>
    <t xml:space="preserve"> fraternal assoc</t>
  </si>
  <si>
    <t xml:space="preserve"> so ca chapterg aaml</t>
  </si>
  <si>
    <t xml:space="preserve"> non profit bar association</t>
  </si>
  <si>
    <t xml:space="preserve"> voryssaterseymour &amp; pease llp</t>
  </si>
  <si>
    <t xml:space="preserve"> attorney's briefcaseinc</t>
  </si>
  <si>
    <t xml:space="preserve"> legal education</t>
  </si>
  <si>
    <t xml:space="preserve"> mr. &amp; mrs. james hronas</t>
  </si>
  <si>
    <t xml:space="preserve"> small business owners</t>
  </si>
  <si>
    <t xml:space="preserve"> san diego apartment brokers</t>
  </si>
  <si>
    <t xml:space="preserve"> apartment managers</t>
  </si>
  <si>
    <t xml:space="preserve"> jim johnson</t>
  </si>
  <si>
    <t xml:space="preserve"> n/a (close personal friend)</t>
  </si>
  <si>
    <t xml:space="preserve"> los angeles county bar association</t>
  </si>
  <si>
    <t xml:space="preserve"> lawyers' club of san francisco</t>
  </si>
  <si>
    <t xml:space="preserve"> www.lawyersclubsf.com</t>
  </si>
  <si>
    <t xml:space="preserve"> var fox judicate west</t>
  </si>
  <si>
    <t xml:space="preserve"> mediation provider</t>
  </si>
  <si>
    <t xml:space="preserve"> mark robinson</t>
  </si>
  <si>
    <t xml:space="preserve"> eric chodorow c/o prudential</t>
  </si>
  <si>
    <t xml:space="preserve"> stutz artiano shinoff &amp; holtz</t>
  </si>
  <si>
    <t xml:space="preserve"> glen stormer</t>
  </si>
  <si>
    <t xml:space="preserve"> construction</t>
  </si>
  <si>
    <t xml:space="preserve"> girardi keese 1126 wilshire blvd. la ca 90017</t>
  </si>
  <si>
    <t xml:space="preserve"> association annual installation dinner</t>
  </si>
  <si>
    <t xml:space="preserve"> tulare/kings hispanic chamber of commerce</t>
  </si>
  <si>
    <t xml:space="preserve"> business/ swearing in of officers</t>
  </si>
  <si>
    <t xml:space="preserve"> san mateo county bar association/diversity comm</t>
  </si>
  <si>
    <t xml:space="preserve"> legal association of lawyers</t>
  </si>
  <si>
    <t xml:space="preserve"> bryan college</t>
  </si>
  <si>
    <t xml:space="preserve"> court reporting school</t>
  </si>
  <si>
    <t xml:space="preserve"> san francisco 49'ers</t>
  </si>
  <si>
    <t xml:space="preserve"> pro football</t>
  </si>
  <si>
    <t xml:space="preserve"> dr. pablo prietto</t>
  </si>
  <si>
    <t xml:space="preserve"> cliff roberts</t>
  </si>
  <si>
    <t xml:space="preserve"> retiree</t>
  </si>
  <si>
    <t xml:space="preserve"> john welty</t>
  </si>
  <si>
    <t xml:space="preserve"> president california state university fresno</t>
  </si>
  <si>
    <t xml:space="preserve"> michelle west atty</t>
  </si>
  <si>
    <t xml:space="preserve"> private practice</t>
  </si>
  <si>
    <t xml:space="preserve"> mr. &amp; mrs. gus christopoulos</t>
  </si>
  <si>
    <t xml:space="preserve"> restaurant owner</t>
  </si>
  <si>
    <t xml:space="preserve"> avery fuller welch foundation</t>
  </si>
  <si>
    <t xml:space="preserve"> children's foundation</t>
  </si>
  <si>
    <t xml:space="preserve"> afcc</t>
  </si>
  <si>
    <t xml:space="preserve"> voluntary professional assoc.</t>
  </si>
  <si>
    <t xml:space="preserve"> brian hennigan</t>
  </si>
  <si>
    <t xml:space="preserve"> judicate west - adr</t>
  </si>
  <si>
    <t xml:space="preserve"> santa ana ca 92705</t>
  </si>
  <si>
    <t xml:space="preserve"> kathesine gallo</t>
  </si>
  <si>
    <t xml:space="preserve"> discovery refeice/attorney</t>
  </si>
  <si>
    <t xml:space="preserve"> jack d. furst</t>
  </si>
  <si>
    <t xml:space="preserve"> business investments and acquisitions</t>
  </si>
  <si>
    <t xml:space="preserve"> lawyers' committee for civil rights</t>
  </si>
  <si>
    <t xml:space="preserve"> public interest law</t>
  </si>
  <si>
    <t xml:space="preserve"> james kang</t>
  </si>
  <si>
    <t xml:space="preserve"> cascade oaks holding co.</t>
  </si>
  <si>
    <t xml:space="preserve"> hy 99 &amp; harney lang lodi ca</t>
  </si>
  <si>
    <t xml:space="preserve"> (d)(5)</t>
  </si>
  <si>
    <t xml:space="preserve"> wilke fleury hoffelt gould &amp; birney llp</t>
  </si>
  <si>
    <t xml:space="preserve"> celtic bar assoc</t>
  </si>
  <si>
    <t xml:space="preserve"> bar organization</t>
  </si>
  <si>
    <t xml:space="preserve"> association of business trial lawyers</t>
  </si>
  <si>
    <t xml:space="preserve"> uci chancellor's office</t>
  </si>
  <si>
    <t xml:space="preserve"> dr. jeff and patti lawton</t>
  </si>
  <si>
    <t xml:space="preserve"> mr. daniel saso</t>
  </si>
  <si>
    <t xml:space="preserve"> orange county bar assoc</t>
  </si>
  <si>
    <t xml:space="preserve"> voluntary legal assoc.</t>
  </si>
  <si>
    <t xml:space="preserve"> **abtl (c/o weakley &amp; arendt llp)</t>
  </si>
  <si>
    <t xml:space="preserve"> judicate west</t>
  </si>
  <si>
    <t xml:space="preserve"> adr services</t>
  </si>
  <si>
    <t xml:space="preserve"> queens bench</t>
  </si>
  <si>
    <t xml:space="preserve"> legal association of lawyers and judges</t>
  </si>
  <si>
    <t xml:space="preserve"> italian american bar assoc of n ca</t>
  </si>
  <si>
    <t xml:space="preserve"> specialty bar association</t>
  </si>
  <si>
    <t xml:space="preserve"> san mateo county bar assn. (cont.)</t>
  </si>
  <si>
    <t xml:space="preserve"> gary pohlson</t>
  </si>
  <si>
    <t xml:space="preserve"> association of corporate counsel so. cal. 777 so.</t>
  </si>
  <si>
    <t xml:space="preserve"> robert brown</t>
  </si>
  <si>
    <t xml:space="preserve"> assn. of business trial lawyers</t>
  </si>
  <si>
    <t xml:space="preserve"> legal organization</t>
  </si>
  <si>
    <t xml:space="preserve"> rich fuidge morris &amp; lane</t>
  </si>
  <si>
    <t xml:space="preserve"> robinson calgagne robinson</t>
  </si>
  <si>
    <t xml:space="preserve"> attyj   newport beach ca 92660</t>
  </si>
  <si>
    <t xml:space="preserve"> jonathan club c/o allen matkins et. al.</t>
  </si>
  <si>
    <t xml:space="preserve"> private club</t>
  </si>
  <si>
    <t xml:space="preserve"> association of so. california defense counsel</t>
  </si>
  <si>
    <t xml:space="preserve"> trade association for insurance defense counsel</t>
  </si>
  <si>
    <t xml:space="preserve"> san fernando valley bar association</t>
  </si>
  <si>
    <t xml:space="preserve"> bar association dinner</t>
  </si>
  <si>
    <t xml:space="preserve"> maxter &amp; co</t>
  </si>
  <si>
    <t xml:space="preserve"> real estate property management</t>
  </si>
  <si>
    <t xml:space="preserve"> orange county bar ass'n</t>
  </si>
  <si>
    <t xml:space="preserve"> koyoto hotel</t>
  </si>
  <si>
    <t xml:space="preserve"> hotel</t>
  </si>
  <si>
    <t xml:space="preserve"> shar franklin</t>
  </si>
  <si>
    <t xml:space="preserve"> alfred chiantelli (ret. judge)</t>
  </si>
  <si>
    <t xml:space="preserve"> art and polly jones</t>
  </si>
  <si>
    <t xml:space="preserve"> contra costa bar family law sec.</t>
  </si>
  <si>
    <t xml:space="preserve"> association of attorneys</t>
  </si>
  <si>
    <t xml:space="preserve"> consumer attorneys association of los angeles 800</t>
  </si>
  <si>
    <t xml:space="preserve"> mr.&amp; mrs. george alexandres</t>
  </si>
  <si>
    <t xml:space="preserve"> santa clara county trial lawyers' association</t>
  </si>
  <si>
    <t xml:space="preserve"> non-profit professional association</t>
  </si>
  <si>
    <t xml:space="preserve"> shea &amp; shea- law offices of</t>
  </si>
  <si>
    <t xml:space="preserve"> allisin lee</t>
  </si>
  <si>
    <t xml:space="preserve"> frieno maliro ct. 90263</t>
  </si>
  <si>
    <t xml:space="preserve"> robinson calcagnie &amp; robinson</t>
  </si>
  <si>
    <t xml:space="preserve"> vintners' collective</t>
  </si>
  <si>
    <t xml:space="preserve"> wine sales</t>
  </si>
  <si>
    <t xml:space="preserve"> la marathon uc (la roadrunners</t>
  </si>
  <si>
    <t xml:space="preserve"> sponsor la marathon</t>
  </si>
  <si>
    <t xml:space="preserve"> garden court hotel</t>
  </si>
  <si>
    <t xml:space="preserve"> palo alto tall trees awards dinner</t>
  </si>
  <si>
    <t xml:space="preserve"> wilmer hale law firm</t>
  </si>
  <si>
    <t xml:space="preserve"> legal firm</t>
  </si>
  <si>
    <t xml:space="preserve"> mrs. alice kopan</t>
  </si>
  <si>
    <t xml:space="preserve"> richard white</t>
  </si>
  <si>
    <t xml:space="preserve"> law</t>
  </si>
  <si>
    <t xml:space="preserve"> mr. chris hondros</t>
  </si>
  <si>
    <t xml:space="preserve"> student</t>
  </si>
  <si>
    <t xml:space="preserve"> academy of matrimonial lawyers</t>
  </si>
  <si>
    <t xml:space="preserve"> san mateo county bar assn</t>
  </si>
  <si>
    <t xml:space="preserve"> leo wyler</t>
  </si>
  <si>
    <t xml:space="preserve"> james spievak</t>
  </si>
  <si>
    <t xml:space="preserve"> kings county bar association</t>
  </si>
  <si>
    <t xml:space="preserve"> county bar association</t>
  </si>
  <si>
    <t xml:space="preserve"> association dinner and entertainment</t>
  </si>
  <si>
    <t xml:space="preserve"> aptos high school mock trial team</t>
  </si>
  <si>
    <t xml:space="preserve"> griardi keese 1126 wilshire blvd. la ca 90017</t>
  </si>
  <si>
    <t xml:space="preserve"> ing of iaba and iala (see below)</t>
  </si>
  <si>
    <t xml:space="preserve"> california judges ass'n</t>
  </si>
  <si>
    <t xml:space="preserve"> san francisco ca nonprofit judges assoc</t>
  </si>
  <si>
    <t xml:space="preserve"> dr. richard glimp</t>
  </si>
  <si>
    <t xml:space="preserve"> health services</t>
  </si>
  <si>
    <t xml:space="preserve"> acctla</t>
  </si>
  <si>
    <t xml:space="preserve"> trial lawyers ass'n</t>
  </si>
  <si>
    <t xml:space="preserve"> linda earnest</t>
  </si>
  <si>
    <t xml:space="preserve"> san mateo co. bar assoc.</t>
  </si>
  <si>
    <t xml:space="preserve"> san mateo county trial lawyers</t>
  </si>
  <si>
    <t xml:space="preserve"> association of trial lawyers</t>
  </si>
  <si>
    <t xml:space="preserve"> bill silva</t>
  </si>
  <si>
    <t xml:space="preserve"> talent manager</t>
  </si>
  <si>
    <t xml:space="preserve"> south bay bar association</t>
  </si>
  <si>
    <t xml:space="preserve"> consumer attorneys of california</t>
  </si>
  <si>
    <t xml:space="preserve"> robinsoncalcagnie&amp;robinson</t>
  </si>
  <si>
    <t xml:space="preserve"> firm christmas party</t>
  </si>
  <si>
    <t xml:space="preserve"> dean steve smith &amp; california western school of law</t>
  </si>
  <si>
    <t xml:space="preserve"> dean/ law school</t>
  </si>
  <si>
    <t xml:space="preserve"> mr. &amp; mrs. paul anest</t>
  </si>
  <si>
    <t xml:space="preserve"> dda karen khim</t>
  </si>
  <si>
    <t xml:space="preserve"> elizabeth + david pechota</t>
  </si>
  <si>
    <t xml:space="preserve"> robinson calcagnie robinson shapiro davisinc.</t>
  </si>
  <si>
    <t xml:space="preserve"> edwin prather</t>
  </si>
  <si>
    <t xml:space="preserve"> frances and loren rothschild</t>
  </si>
  <si>
    <t xml:space="preserve"> judge/investment banker</t>
  </si>
  <si>
    <t xml:space="preserve"> josh bentley</t>
  </si>
  <si>
    <t xml:space="preserve"> kern county bar association</t>
  </si>
  <si>
    <t xml:space="preserve"> orange county bar assoc.</t>
  </si>
  <si>
    <t xml:space="preserve"> sean o'connor</t>
  </si>
  <si>
    <t xml:space="preserve"> ruth archie</t>
  </si>
  <si>
    <t xml:space="preserve"> joel matta</t>
  </si>
  <si>
    <t xml:space="preserve"> surgeon</t>
  </si>
  <si>
    <t xml:space="preserve"> state bar of california - section of litigation</t>
  </si>
  <si>
    <t xml:space="preserve"> professional organization</t>
  </si>
  <si>
    <t xml:space="preserve"> beverly hills bar association</t>
  </si>
  <si>
    <t xml:space="preserve"> lincoln law school sacramento</t>
  </si>
  <si>
    <t xml:space="preserve"> american academy of matrimonial lawyers no. cal.</t>
  </si>
  <si>
    <t xml:space="preserve"> bar assn.</t>
  </si>
  <si>
    <t xml:space="preserve"> curtis roe</t>
  </si>
  <si>
    <t xml:space="preserve"> personal friend</t>
  </si>
  <si>
    <t xml:space="preserve"> american accdemy d</t>
  </si>
  <si>
    <t xml:space="preserve"> orange cunty diosicnd</t>
  </si>
  <si>
    <t xml:space="preserve"> c. robert jameson</t>
  </si>
  <si>
    <t xml:space="preserve"> mediator - retired judge</t>
  </si>
  <si>
    <t xml:space="preserve"> american board of trial advocates los angeles chapter 5567 reseda blvd.</t>
  </si>
  <si>
    <t xml:space="preserve"> orange county trial lawyers assoc</t>
  </si>
  <si>
    <t xml:space="preserve"> joe sugarman</t>
  </si>
  <si>
    <t xml:space="preserve"> doctor</t>
  </si>
  <si>
    <t xml:space="preserve"> michael maguire</t>
  </si>
  <si>
    <t xml:space="preserve"> don tahara</t>
  </si>
  <si>
    <t xml:space="preserve"> food services</t>
  </si>
  <si>
    <t xml:space="preserve"> anders torgerson</t>
  </si>
  <si>
    <t xml:space="preserve"> vice-president efficient frontier</t>
  </si>
  <si>
    <t xml:space="preserve"> steve shaiman</t>
  </si>
  <si>
    <t xml:space="preserve"> friend attorney</t>
  </si>
  <si>
    <t xml:space="preserve"> san francisco laraza association</t>
  </si>
  <si>
    <t xml:space="preserve"> voices 4 children</t>
  </si>
  <si>
    <t xml:space="preserve"> ocba - fl section</t>
  </si>
  <si>
    <t xml:space="preserve"> educational</t>
  </si>
  <si>
    <t xml:space="preserve"> our lady of peace academy</t>
  </si>
  <si>
    <t xml:space="preserve"> oc bar assn.</t>
  </si>
  <si>
    <t xml:space="preserve"> counsumer attes of las angeles</t>
  </si>
  <si>
    <t xml:space="preserve"> abota sacramento chapter</t>
  </si>
  <si>
    <t xml:space="preserve"> trial atty. org.</t>
  </si>
  <si>
    <t xml:space="preserve"> san francisco trial lawyer's association</t>
  </si>
  <si>
    <t xml:space="preserve"> bar association/professional organization</t>
  </si>
  <si>
    <t xml:space="preserve"> alex saldamando (ret.judge)</t>
  </si>
  <si>
    <t xml:space="preserve"> danjaq llc</t>
  </si>
  <si>
    <t xml:space="preserve"> motion picture production company</t>
  </si>
  <si>
    <t xml:space="preserve"> mrs. mary datillo</t>
  </si>
  <si>
    <t xml:space="preserve"> san mateo county barristers</t>
  </si>
  <si>
    <t xml:space="preserve"> lawyer association ca 94063</t>
  </si>
  <si>
    <t xml:space="preserve"> hon. janet siegel</t>
  </si>
  <si>
    <t xml:space="preserve"> historical foundation</t>
  </si>
  <si>
    <t xml:space="preserve"> dreyer babich buccola wood llp</t>
  </si>
  <si>
    <t xml:space="preserve"> guy halgren</t>
  </si>
  <si>
    <t xml:space="preserve"> san bernardino county law library board</t>
  </si>
  <si>
    <t xml:space="preserve"> san mateo county fair</t>
  </si>
  <si>
    <t xml:space="preserve"> recreation/entertainment</t>
  </si>
  <si>
    <t xml:space="preserve"> los angeles lakers</t>
  </si>
  <si>
    <t xml:space="preserve"> professional basketball team</t>
  </si>
  <si>
    <t xml:space="preserve"> american board of trial advocates (abota)</t>
  </si>
  <si>
    <t xml:space="preserve"> association of trail lawyers</t>
  </si>
  <si>
    <t xml:space="preserve"> mel lewis</t>
  </si>
  <si>
    <t xml:space="preserve"> cmp board member</t>
  </si>
  <si>
    <t xml:space="preserve"> jim &amp; barbara thompson</t>
  </si>
  <si>
    <t xml:space="preserve"> alameda contra costra trial lawyers association</t>
  </si>
  <si>
    <t xml:space="preserve"> *howard rice nemerovski canady falk &amp; rabkin pc</t>
  </si>
  <si>
    <t xml:space="preserve"> michael griffin</t>
  </si>
  <si>
    <t xml:space="preserve"> logistics activity scheduler</t>
  </si>
  <si>
    <t xml:space="preserve"> david scheper</t>
  </si>
  <si>
    <t xml:space="preserve"> joseph werner aptos ca</t>
  </si>
  <si>
    <t xml:space="preserve"> social</t>
  </si>
  <si>
    <t xml:space="preserve"> california judges foundation</t>
  </si>
  <si>
    <t xml:space="preserve"> meeting</t>
  </si>
  <si>
    <t xml:space="preserve"> ray and jan mcnally</t>
  </si>
  <si>
    <t xml:space="preserve"> media consulting</t>
  </si>
  <si>
    <t xml:space="preserve"> hemet/san jacinto bar association</t>
  </si>
  <si>
    <t xml:space="preserve"> mary lynn coffee</t>
  </si>
  <si>
    <t xml:space="preserve"> bond services of ca</t>
  </si>
  <si>
    <t xml:space="preserve"> surety company</t>
  </si>
  <si>
    <t xml:space="preserve"> consumer attorneys of los angeles</t>
  </si>
  <si>
    <t xml:space="preserve"> plaintiff personal injury attorneys association</t>
  </si>
  <si>
    <t xml:space="preserve"> thomas h. gillespie jr. gillespie robinson &amp; grimm inc</t>
  </si>
  <si>
    <t xml:space="preserve"> investment counsel</t>
  </si>
  <si>
    <t xml:space="preserve"> sarah garcia</t>
  </si>
  <si>
    <t xml:space="preserve"> bar assn of san francisco</t>
  </si>
  <si>
    <t xml:space="preserve"> prof assn</t>
  </si>
  <si>
    <t xml:space="preserve"> thomas s. clark</t>
  </si>
  <si>
    <t xml:space="preserve"> morrison &amp; foerster</t>
  </si>
  <si>
    <t xml:space="preserve"> american judges association</t>
  </si>
  <si>
    <t xml:space="preserve"> judicial conference- cle</t>
  </si>
  <si>
    <t xml:space="preserve"> dick s. tom sr.</t>
  </si>
  <si>
    <t xml:space="preserve"> deputy public defender</t>
  </si>
  <si>
    <t xml:space="preserve"> assoc. of bus. trial lawyers</t>
  </si>
  <si>
    <t xml:space="preserve"> aitken aitken &amp; cohn</t>
  </si>
  <si>
    <t xml:space="preserve"> majeed samara</t>
  </si>
  <si>
    <t xml:space="preserve"> hildee brahm</t>
  </si>
  <si>
    <t xml:space="preserve"> rev. &amp; mrs. peter stavisky</t>
  </si>
  <si>
    <t xml:space="preserve"> casa el dorado</t>
  </si>
  <si>
    <t xml:space="preserve"> child advocates</t>
  </si>
  <si>
    <t xml:space="preserve"> jim and leisha hendrix</t>
  </si>
  <si>
    <t xml:space="preserve"> *abota</t>
  </si>
  <si>
    <t xml:space="preserve"> jack d. furst (con't)</t>
  </si>
  <si>
    <t xml:space="preserve"> above</t>
  </si>
  <si>
    <t xml:space="preserve"> aptos chamber of commerce</t>
  </si>
  <si>
    <t xml:space="preserve"> mr. &amp; mrs. gerry ranglas</t>
  </si>
  <si>
    <t xml:space="preserve"> real estate development</t>
  </si>
  <si>
    <t xml:space="preserve"> queen's bench bar association</t>
  </si>
  <si>
    <t xml:space="preserve"> john mcintyre evy.</t>
  </si>
  <si>
    <t xml:space="preserve"> cmp attorney san jose ea</t>
  </si>
  <si>
    <t xml:space="preserve"> brian dunn</t>
  </si>
  <si>
    <t xml:space="preserve"> sean k. mcnally</t>
  </si>
  <si>
    <t xml:space="preserve"> italian american bar assn</t>
  </si>
  <si>
    <t xml:space="preserve"> bar assn</t>
  </si>
  <si>
    <t xml:space="preserve"> **abtl (c/o weakley &amp; arandt)</t>
  </si>
  <si>
    <t xml:space="preserve"> rochelle keogh</t>
  </si>
  <si>
    <t xml:space="preserve"> court reporting</t>
  </si>
  <si>
    <t xml:space="preserve"> keller rackauckas llp</t>
  </si>
  <si>
    <t xml:space="preserve"> kristin cain and lisa stephens</t>
  </si>
  <si>
    <t xml:space="preserve"> hon. and mrs. michael smith</t>
  </si>
  <si>
    <t xml:space="preserve"> claremont mckenna college</t>
  </si>
  <si>
    <t xml:space="preserve"> service on board of directors of college</t>
  </si>
  <si>
    <t xml:space="preserve"> ned &amp; laurel harlan</t>
  </si>
  <si>
    <t xml:space="preserve"> wedding officiant</t>
  </si>
  <si>
    <t xml:space="preserve"> mcgeorge school of law</t>
  </si>
  <si>
    <t xml:space="preserve"> rcrsd inland empire office</t>
  </si>
  <si>
    <t xml:space="preserve"> steve and mariloli stolarz</t>
  </si>
  <si>
    <t xml:space="preserve"> mr. &amp; mrs. constantine tzavaras</t>
  </si>
  <si>
    <t xml:space="preserve"> pilot/human resources</t>
  </si>
  <si>
    <t xml:space="preserve"> advanced discovery</t>
  </si>
  <si>
    <t xml:space="preserve"> document service</t>
  </si>
  <si>
    <t xml:space="preserve"> california judges association</t>
  </si>
  <si>
    <t xml:space="preserve"> professional association (board member</t>
  </si>
  <si>
    <t xml:space="preserve"> charlie huang</t>
  </si>
  <si>
    <t xml:space="preserve"> american business trial lawyers ass.</t>
  </si>
  <si>
    <t xml:space="preserve"> bar asi</t>
  </si>
  <si>
    <t xml:space="preserve"> robinson robinson &amp; callafnie</t>
  </si>
  <si>
    <t xml:space="preserve"> abtl</t>
  </si>
  <si>
    <t xml:space="preserve"> bench-bar association/cle provider</t>
  </si>
  <si>
    <t xml:space="preserve"> visiting chinese judge's delegation</t>
  </si>
  <si>
    <t xml:space="preserve"> judiciary</t>
  </si>
  <si>
    <t xml:space="preserve"> the rutter group</t>
  </si>
  <si>
    <t xml:space="preserve"> educational seminar</t>
  </si>
  <si>
    <t xml:space="preserve"> south bay bar association of los angeles county</t>
  </si>
  <si>
    <t xml:space="preserve"> tech museum of silicon valley</t>
  </si>
  <si>
    <t xml:space="preserve"> nonprofit museum</t>
  </si>
  <si>
    <t xml:space="preserve"> john thomas</t>
  </si>
  <si>
    <t xml:space="preserve"> m.d.</t>
  </si>
  <si>
    <t xml:space="preserve"> sean. k. mcnally</t>
  </si>
  <si>
    <t xml:space="preserve"> mr. &amp; mrs. theodore sakkis</t>
  </si>
  <si>
    <t xml:space="preserve"> hon. annemarie pace and stacy poston</t>
  </si>
  <si>
    <t xml:space="preserve"> kathy sellers</t>
  </si>
  <si>
    <t xml:space="preserve"> robinson cazgagnie + robinson</t>
  </si>
  <si>
    <t xml:space="preserve"> otto feld</t>
  </si>
  <si>
    <t xml:space="preserve"> professional musician</t>
  </si>
  <si>
    <t xml:space="preserve"> kiwanis club of san mateo</t>
  </si>
  <si>
    <t xml:space="preserve"> public service 501(3)</t>
  </si>
  <si>
    <t xml:space="preserve"> san mateo county trial lawyer</t>
  </si>
  <si>
    <t xml:space="preserve"> robert budman</t>
  </si>
  <si>
    <t xml:space="preserve"> deputy district attorney</t>
  </si>
  <si>
    <t xml:space="preserve"> cynthia garcia</t>
  </si>
  <si>
    <t xml:space="preserve"> american general life insurance company</t>
  </si>
  <si>
    <t xml:space="preserve"> insurance company</t>
  </si>
  <si>
    <t xml:space="preserve"> assn of bus trial lawyers - con't</t>
  </si>
  <si>
    <t xml:space="preserve"> angel island immigration station foundation</t>
  </si>
  <si>
    <t xml:space="preserve"> restoration of angel island immigration station</t>
  </si>
  <si>
    <t xml:space="preserve"> delvin williams</t>
  </si>
  <si>
    <t xml:space="preserve"> footballs tickets</t>
  </si>
  <si>
    <t xml:space="preserve"> ass'n. of southern california defense counsel</t>
  </si>
  <si>
    <t xml:space="preserve"> golden gate university law school</t>
  </si>
  <si>
    <t xml:space="preserve"> herm and james howerton</t>
  </si>
  <si>
    <t xml:space="preserve"> baker street advisors</t>
  </si>
  <si>
    <t xml:space="preserve"> financial advising</t>
  </si>
  <si>
    <t xml:space="preserve"> am. board of trial advocates</t>
  </si>
  <si>
    <t xml:space="preserve"> edison int'l</t>
  </si>
  <si>
    <t xml:space="preserve"> see attached</t>
  </si>
  <si>
    <t xml:space="preserve"> public law center</t>
  </si>
  <si>
    <t xml:space="preserve"> pro bone service organizaiton</t>
  </si>
  <si>
    <t xml:space="preserve"> patrick dare</t>
  </si>
  <si>
    <t xml:space="preserve"> adrienne vargas san diego foundation</t>
  </si>
  <si>
    <t xml:space="preserve"> fund-raising/charitable-giving</t>
  </si>
  <si>
    <t xml:space="preserve"> judge rex heeseman</t>
  </si>
  <si>
    <t xml:space="preserve"> san mateo county trial lawyers assn. </t>
  </si>
  <si>
    <t xml:space="preserve"> san mateo county women lawyers</t>
  </si>
  <si>
    <t xml:space="preserve"> bar function</t>
  </si>
  <si>
    <t xml:space="preserve"> santa clara university</t>
  </si>
  <si>
    <t xml:space="preserve"> michael o'rourke</t>
  </si>
  <si>
    <t xml:space="preserve"> retired law enforcement</t>
  </si>
  <si>
    <t xml:space="preserve"> george breed</t>
  </si>
  <si>
    <t xml:space="preserve"> san mateo county trial lawyers' association</t>
  </si>
  <si>
    <t xml:space="preserve"> jennifer boros</t>
  </si>
  <si>
    <t xml:space="preserve"> blake shannon</t>
  </si>
  <si>
    <t xml:space="preserve"> san mateo county bar assoc</t>
  </si>
  <si>
    <t xml:space="preserve"> non profit</t>
  </si>
  <si>
    <t xml:space="preserve"> *abtl (c/o mccormick barstow) </t>
  </si>
  <si>
    <t xml:space="preserve"> cal state university fresno</t>
  </si>
  <si>
    <t xml:space="preserve"> chris day</t>
  </si>
  <si>
    <t xml:space="preserve"> none-friend</t>
  </si>
  <si>
    <t xml:space="preserve"> uci school of law</t>
  </si>
  <si>
    <t xml:space="preserve"> contacts of orange county 12572 hinton way santa ana ca</t>
  </si>
  <si>
    <t xml:space="preserve"> group</t>
  </si>
  <si>
    <t xml:space="preserve"> mcfadden vineyards</t>
  </si>
  <si>
    <t xml:space="preserve"> winery</t>
  </si>
  <si>
    <t xml:space="preserve"> association of business trial lawyers-n. cal chapter</t>
  </si>
  <si>
    <t xml:space="preserve"> continuing education for attorneys and judges</t>
  </si>
  <si>
    <t xml:space="preserve"> ass'n of business trial lawyers</t>
  </si>
  <si>
    <t xml:space="preserve"> voluntary bar assn.</t>
  </si>
  <si>
    <t xml:space="preserve"> deborah thompson</t>
  </si>
  <si>
    <t xml:space="preserve"> layne and beth bartholomew</t>
  </si>
  <si>
    <t xml:space="preserve"> organization of chinese americans/san mateo</t>
  </si>
  <si>
    <t xml:space="preserve"> non-profit organization</t>
  </si>
  <si>
    <t xml:space="preserve"> richard blake</t>
  </si>
  <si>
    <t xml:space="preserve"> mr. &amp; mrs. david chilimidos</t>
  </si>
  <si>
    <t xml:space="preserve"> retired/deputy da</t>
  </si>
  <si>
    <t xml:space="preserve"> desert bar assn</t>
  </si>
  <si>
    <t xml:space="preserve"> table mountain rancheria</t>
  </si>
  <si>
    <t xml:space="preserve"> casino</t>
  </si>
  <si>
    <t xml:space="preserve"> dianne yamashiro</t>
  </si>
  <si>
    <t xml:space="preserve"> san francisco 49ers football club</t>
  </si>
  <si>
    <t xml:space="preserve"> santa clara ca. 95054</t>
  </si>
  <si>
    <t xml:space="preserve"> north orange county bar association</t>
  </si>
  <si>
    <t xml:space="preserve"> alameda - ...</t>
  </si>
  <si>
    <t xml:space="preserve"> legal aid soc/employment law center</t>
  </si>
  <si>
    <t xml:space="preserve"> legal aid provided</t>
  </si>
  <si>
    <t xml:space="preserve"> queen's bench</t>
  </si>
  <si>
    <t xml:space="preserve"> mrs. betty vlahos</t>
  </si>
  <si>
    <t xml:space="preserve"> loyola law school</t>
  </si>
  <si>
    <t xml:space="preserve"> bruce and jane brown</t>
  </si>
  <si>
    <t xml:space="preserve"> dan jimenez</t>
  </si>
  <si>
    <t xml:space="preserve"> national orange show</t>
  </si>
  <si>
    <t xml:space="preserve"> katherine hall</t>
  </si>
  <si>
    <t xml:space="preserve"> rick and brenda elia</t>
  </si>
  <si>
    <t xml:space="preserve"> carl cappozzola</t>
  </si>
  <si>
    <t xml:space="preserve"> law offices</t>
  </si>
  <si>
    <t xml:space="preserve"> delson investment company</t>
  </si>
  <si>
    <t xml:space="preserve"> real property investment and management</t>
  </si>
  <si>
    <t xml:space="preserve"> alameda/contra costa trial lawyers association</t>
  </si>
  <si>
    <t xml:space="preserve"> dr. &amp; mrs. david matty</t>
  </si>
  <si>
    <t xml:space="preserve"> business owner</t>
  </si>
  <si>
    <t xml:space="preserve"> orange county bar assn</t>
  </si>
  <si>
    <t xml:space="preserve"> kyle frazier</t>
  </si>
  <si>
    <t xml:space="preserve"> culitarnia women lawyers</t>
  </si>
  <si>
    <t xml:space="preserve"> family law section of o/c box</t>
  </si>
  <si>
    <t xml:space="preserve"> nonprofit local bar</t>
  </si>
  <si>
    <t xml:space="preserve"> talley &amp; mike henry</t>
  </si>
  <si>
    <t xml:space="preserve"> san mateo trial lawyers association</t>
  </si>
  <si>
    <t xml:space="preserve"> kevin s. burke</t>
  </si>
  <si>
    <t xml:space="preserve"> minneapolis mn</t>
  </si>
  <si>
    <t xml:space="preserve"> california county boards of education</t>
  </si>
  <si>
    <t xml:space="preserve"> guest speaker - seminar</t>
  </si>
  <si>
    <t xml:space="preserve"> ms. frosene phillps maniatis</t>
  </si>
  <si>
    <t xml:space="preserve"> journalist</t>
  </si>
  <si>
    <t xml:space="preserve"> chancery club c/o harry hathaway fulbright &amp; jaw-</t>
  </si>
  <si>
    <t xml:space="preserve"> american board of trial advocates</t>
  </si>
  <si>
    <t xml:space="preserve"> black chamber of o.c.</t>
  </si>
  <si>
    <t xml:space="preserve"> diverse staffing/none</t>
  </si>
  <si>
    <t xml:space="preserve"> mr. &amp; mrs. craig lewandowski</t>
  </si>
  <si>
    <t xml:space="preserve"> aaml</t>
  </si>
  <si>
    <t xml:space="preserve"> voluntary legal association</t>
  </si>
  <si>
    <t xml:space="preserve"> michael goldstein</t>
  </si>
  <si>
    <t xml:space="preserve"> martin dare</t>
  </si>
  <si>
    <t xml:space="preserve"> association of business trial lawyer</t>
  </si>
  <si>
    <t xml:space="preserve"> bar associater</t>
  </si>
  <si>
    <t xml:space="preserve"> metropolitan gerasimos of san francisco</t>
  </si>
  <si>
    <t xml:space="preserve"> california judges assoc/california judges foundation</t>
  </si>
  <si>
    <t xml:space="preserve"> teaching &amp;meeting</t>
  </si>
  <si>
    <t xml:space="preserve"> daniel a. nardoni</t>
  </si>
  <si>
    <t xml:space="preserve"> ryan park &amp; family</t>
  </si>
  <si>
    <t xml:space="preserve"> josh bentley eric hove j. mcdougall</t>
  </si>
  <si>
    <t xml:space="preserve"> mark p. robinson jr.</t>
  </si>
  <si>
    <t xml:space="preserve"> atty</t>
  </si>
  <si>
    <t xml:space="preserve"> ceci evangelista-stanford university</t>
  </si>
  <si>
    <t xml:space="preserve"> sacramento asian pacific chamber of commerce</t>
  </si>
  <si>
    <t xml:space="preserve"> non-profit association</t>
  </si>
  <si>
    <t xml:space="preserve"> san francisco trial lawyers association</t>
  </si>
  <si>
    <t xml:space="preserve"> dr. melvin west</t>
  </si>
  <si>
    <t xml:space="preserve"> darrel payne</t>
  </si>
  <si>
    <t xml:space="preserve"> tile manufacturers/contractors</t>
  </si>
  <si>
    <t xml:space="preserve"> allenmatkinsleckgamblemallory&amp;natsis</t>
  </si>
  <si>
    <t xml:space="preserve"> san mateo county bar associaton</t>
  </si>
  <si>
    <t xml:space="preserve"> attorney orgabization</t>
  </si>
  <si>
    <t xml:space="preserve"> bartell hotels</t>
  </si>
  <si>
    <t xml:space="preserve"> la county bar ass'n</t>
  </si>
  <si>
    <t xml:space="preserve"> iranian american bar association north. chapter</t>
  </si>
  <si>
    <t xml:space="preserve"> legal association of iranian-american lawyers</t>
  </si>
  <si>
    <t xml:space="preserve"> hon. sam cianchetti</t>
  </si>
  <si>
    <t xml:space="preserve"> mediator/retired judge</t>
  </si>
  <si>
    <t xml:space="preserve"> san francisco 49ers</t>
  </si>
  <si>
    <t xml:space="preserve"> owns nfl football team</t>
  </si>
  <si>
    <t xml:space="preserve"> assn. g so. cal. defense counsel</t>
  </si>
  <si>
    <t xml:space="preserve"> voluntary bar ass'n</t>
  </si>
  <si>
    <t xml:space="preserve"> bill greene</t>
  </si>
  <si>
    <t xml:space="preserve"> mr. &amp; dr. peter &amp; katherine kouvelis</t>
  </si>
  <si>
    <t xml:space="preserve"> ret. police officer/phyician</t>
  </si>
  <si>
    <t xml:space="preserve"> ms. sharon matty</t>
  </si>
  <si>
    <t xml:space="preserve"> white collar/sales</t>
  </si>
  <si>
    <t xml:space="preserve"> anthony m.kennedy ami of court</t>
  </si>
  <si>
    <t xml:space="preserve"> wash dc meeting</t>
  </si>
  <si>
    <t xml:space="preserve"> matt donovan</t>
  </si>
  <si>
    <t xml:space="preserve"> golf course management</t>
  </si>
  <si>
    <t xml:space="preserve"> b. scott winkler</t>
  </si>
  <si>
    <t xml:space="preserve"> courtney van tress</t>
  </si>
  <si>
    <t xml:space="preserve"> employee of marriott</t>
  </si>
  <si>
    <t xml:space="preserve"> assoc. of so. calif. defense counsel</t>
  </si>
  <si>
    <t xml:space="preserve"> 3/9/11 $100.00 complimentary dinner for self and wife at</t>
  </si>
  <si>
    <t xml:space="preserve"> robinson calcaignie robinson</t>
  </si>
  <si>
    <t xml:space="preserve"> stevens &amp; o'connell llp</t>
  </si>
  <si>
    <t xml:space="preserve"> italian american lawyers/presdident tom girardi</t>
  </si>
  <si>
    <t xml:space="preserve"> voluntary bn assns`</t>
  </si>
  <si>
    <t xml:space="preserve"> san mateo county bar association/barristers section</t>
  </si>
  <si>
    <t xml:space="preserve"> rev. &amp; mrs. nicholas triantafilou</t>
  </si>
  <si>
    <t xml:space="preserve"> richard zacky c/o allen matkins et. al</t>
  </si>
  <si>
    <t xml:space="preserve"> farming</t>
  </si>
  <si>
    <t xml:space="preserve"> greg &amp; ann mason</t>
  </si>
  <si>
    <t xml:space="preserve"> michael dallo</t>
  </si>
  <si>
    <t xml:space="preserve"> orange county bar ass</t>
  </si>
  <si>
    <t xml:space="preserve"> bar ass</t>
  </si>
  <si>
    <t xml:space="preserve"> patrick fitzgerald</t>
  </si>
  <si>
    <t xml:space="preserve"> name of source</t>
  </si>
  <si>
    <t xml:space="preserve"> business activity of source</t>
  </si>
  <si>
    <t xml:space="preserve"> yuba sutter bar association</t>
  </si>
  <si>
    <t xml:space="preserve"> bar association for lawyers</t>
  </si>
  <si>
    <t xml:space="preserve"> michael and jeanette bidart c/o shernoff bidart &amp; ech</t>
  </si>
  <si>
    <t xml:space="preserve"> civil attorney/law firm</t>
  </si>
  <si>
    <t xml:space="preserve"> george masoole law &amp; economic's ctr</t>
  </si>
  <si>
    <t xml:space="preserve"> arlington va 22201</t>
  </si>
  <si>
    <t xml:space="preserve"> rev. dr. alan jones &amp; rev.</t>
  </si>
  <si>
    <t xml:space="preserve"> octla</t>
  </si>
  <si>
    <t xml:space="preserve"> elizabeth hill</t>
  </si>
  <si>
    <t xml:space="preserve"> roni &amp; randy kent</t>
  </si>
  <si>
    <t xml:space="preserve"> jon s. tiger</t>
  </si>
  <si>
    <t xml:space="preserve"> claremont mckenna college (cont.</t>
  </si>
  <si>
    <t xml:space="preserve"> barristers club of s.f.</t>
  </si>
  <si>
    <t xml:space="preserve"> claremont mckenna college (cont.)</t>
  </si>
  <si>
    <t xml:space="preserve"> h b litigation conference llc</t>
  </si>
  <si>
    <t xml:space="preserve"> legal education - mass torte seminar</t>
  </si>
  <si>
    <t xml:space="preserve"> brad clark</t>
  </si>
  <si>
    <t xml:space="preserve"> san mateo co. bar assoc. (cont.)</t>
  </si>
  <si>
    <t xml:space="preserve"> steve and karen neyses</t>
  </si>
  <si>
    <t xml:space="preserve"> san mateo county trial lawyers association</t>
  </si>
  <si>
    <t xml:space="preserve"> judges' night</t>
  </si>
  <si>
    <t xml:space="preserve"> bruce jeffer</t>
  </si>
  <si>
    <t xml:space="preserve"> attorney and former law partner</t>
  </si>
  <si>
    <t xml:space="preserve"> charokee memorial park</t>
  </si>
  <si>
    <t xml:space="preserve"> memorial park</t>
  </si>
  <si>
    <t xml:space="preserve"> david scott salon &amp; spa</t>
  </si>
  <si>
    <t xml:space="preserve"> hair salon &amp;spa</t>
  </si>
  <si>
    <t xml:space="preserve"> edward*marguerite middendorf 2 south ridge east</t>
  </si>
  <si>
    <t xml:space="preserve"> wave 94.7 radio station</t>
  </si>
  <si>
    <t xml:space="preserve"> los angeles ca 90036</t>
  </si>
  <si>
    <t xml:space="preserve"> hop sing society</t>
  </si>
  <si>
    <t xml:space="preserve"> orange county bar assoc. family law section</t>
  </si>
  <si>
    <t xml:space="preserve"> o.c. bar assoc - fam. law sectio</t>
  </si>
  <si>
    <t xml:space="preserve"> bm organization</t>
  </si>
  <si>
    <t xml:space="preserve"> consumer attorneys ass'n of los angeles</t>
  </si>
  <si>
    <t xml:space="preserve"> university of california</t>
  </si>
  <si>
    <t xml:space="preserve"> orange county jewish bar assoc.</t>
  </si>
  <si>
    <t xml:space="preserve"> matthew davis</t>
  </si>
  <si>
    <t xml:space="preserve"> mr. &amp; mrs. george marcus</t>
  </si>
  <si>
    <t xml:space="preserve"> orange county bar association</t>
  </si>
  <si>
    <t xml:space="preserve"> sunset magazine;</t>
  </si>
  <si>
    <t xml:space="preserve"> prize drawing</t>
  </si>
  <si>
    <t xml:space="preserve"> wayne &amp; canty law center</t>
  </si>
  <si>
    <t xml:space="preserve"> friends/economist</t>
  </si>
  <si>
    <t xml:space="preserve"> *abtl (c/o mccormick barstow)</t>
  </si>
  <si>
    <t xml:space="preserve"> sccba</t>
  </si>
  <si>
    <t xml:space="preserve"> bar associaton</t>
  </si>
  <si>
    <t xml:space="preserve"> san mateo county bar assocaition/women's section</t>
  </si>
  <si>
    <t xml:space="preserve"> steve &amp; elana smith</t>
  </si>
  <si>
    <t xml:space="preserve"> admin. law judge &amp; attorney</t>
  </si>
  <si>
    <t xml:space="preserve"> independent oil producers agency</t>
  </si>
  <si>
    <t xml:space="preserve"> oil production and representation</t>
  </si>
  <si>
    <t xml:space="preserve"> el dorado legal professionals</t>
  </si>
  <si>
    <t xml:space="preserve"> legal secretary/paralegal organization</t>
  </si>
  <si>
    <t xml:space="preserve"> association business trial lawyers-abtl</t>
  </si>
  <si>
    <t xml:space="preserve"> business bar association</t>
  </si>
  <si>
    <t xml:space="preserve"> abtl (con't)</t>
  </si>
  <si>
    <t xml:space="preserve"> tate syder kimsey</t>
  </si>
  <si>
    <t xml:space="preserve"> henderson nv 89014 architect</t>
  </si>
  <si>
    <t xml:space="preserve"> bill dietz</t>
  </si>
  <si>
    <t xml:space="preserve"> or.co.trial lawyers assn</t>
  </si>
  <si>
    <t xml:space="preserve"> trial lawyers assn</t>
  </si>
  <si>
    <t xml:space="preserve"> john rogers</t>
  </si>
  <si>
    <t xml:space="preserve"> professor</t>
  </si>
  <si>
    <t xml:space="preserve"> orange county bar assoc._family law section</t>
  </si>
  <si>
    <t xml:space="preserve"> john gill cpa</t>
  </si>
  <si>
    <t xml:space="preserve"> joseph m. tresidder</t>
  </si>
  <si>
    <t xml:space="preserve"> girardi keese</t>
  </si>
  <si>
    <t xml:space="preserve"> robinson calcagine robinson</t>
  </si>
  <si>
    <t xml:space="preserve"> southwest airlines</t>
  </si>
  <si>
    <t xml:space="preserve"> mr. &amp; mrs. ted theodorou</t>
  </si>
  <si>
    <t xml:space="preserve"> project manager/retired</t>
  </si>
  <si>
    <t xml:space="preserve"> michael sanders</t>
  </si>
  <si>
    <t xml:space="preserve"> leslie swain</t>
  </si>
  <si>
    <t xml:space="preserve"> paul &amp; toni lerandeau</t>
  </si>
  <si>
    <t xml:space="preserve"> or. co. women lawyers assn</t>
  </si>
  <si>
    <t xml:space="preserve"> orange county trial lawyers ass.</t>
  </si>
  <si>
    <t xml:space="preserve"> bav all.        ca 92653</t>
  </si>
  <si>
    <t xml:space="preserve"> rand institute for civil justice</t>
  </si>
  <si>
    <t xml:space="preserve"> legal research &amp; reform</t>
  </si>
  <si>
    <t xml:space="preserve"> stephen j wagner</t>
  </si>
  <si>
    <t xml:space="preserve"> legal practice</t>
  </si>
  <si>
    <t xml:space="preserve"> pearl band</t>
  </si>
  <si>
    <t xml:space="preserve"> dance band</t>
  </si>
  <si>
    <t xml:space="preserve"> keesal young &amp; logan</t>
  </si>
  <si>
    <t xml:space="preserve"> cap. city trial lawyers</t>
  </si>
  <si>
    <t xml:space="preserve"> legal org.</t>
  </si>
  <si>
    <t xml:space="preserve"> san mateo county bar association</t>
  </si>
  <si>
    <t xml:space="preserve"> attorney professional association</t>
  </si>
  <si>
    <t>judge name</t>
  </si>
  <si>
    <t>donor name</t>
  </si>
  <si>
    <t>donor business</t>
  </si>
  <si>
    <t>Row Labels</t>
  </si>
  <si>
    <t xml:space="preserve">  gordon scott m.</t>
  </si>
  <si>
    <t xml:space="preserve">  ito lance a.</t>
  </si>
  <si>
    <t xml:space="preserve"> g perkins</t>
  </si>
  <si>
    <t xml:space="preserve"> s.rula dalief millard mark</t>
  </si>
  <si>
    <t>andrea lynn hoch</t>
  </si>
  <si>
    <t>andrew patrick banks</t>
  </si>
  <si>
    <t>ann carole moorman 12 feb 29</t>
  </si>
  <si>
    <t>annemarie georgina pace</t>
  </si>
  <si>
    <t>anthony j mohr</t>
  </si>
  <si>
    <t>ariadne  symons</t>
  </si>
  <si>
    <t>armand james robertson ii</t>
  </si>
  <si>
    <t>barbara j. mallach</t>
  </si>
  <si>
    <t>barbara louise roberts (aka schill)</t>
  </si>
  <si>
    <t>beatriz maria garcia gordon</t>
  </si>
  <si>
    <t>beth labson freeman</t>
  </si>
  <si>
    <t>brian connor walsh</t>
  </si>
  <si>
    <t>brian d saunders</t>
  </si>
  <si>
    <t>campaign finance  hess robert l.</t>
  </si>
  <si>
    <t>carlos a. cabrera</t>
  </si>
  <si>
    <t>carolyn barbara kuhl</t>
  </si>
  <si>
    <t>carolyn m caietti</t>
  </si>
  <si>
    <t>charlene  kiesselbach</t>
  </si>
  <si>
    <t>charles bf margnes</t>
  </si>
  <si>
    <t>charles william ervin</t>
  </si>
  <si>
    <t>charlotte walter woolard</t>
  </si>
  <si>
    <t>cheri thi pham</t>
  </si>
  <si>
    <t>christine  byrd</t>
  </si>
  <si>
    <t>cindee f mayfield</t>
  </si>
  <si>
    <t>clandia  silbar</t>
  </si>
  <si>
    <t>clare  keithley</t>
  </si>
  <si>
    <t>clare marie maier</t>
  </si>
  <si>
    <t>clay m. smith</t>
  </si>
  <si>
    <t>curtis e.a. karnow</t>
  </si>
  <si>
    <t>cynthia ann ludvigsen</t>
  </si>
  <si>
    <t>david bernard flinn</t>
  </si>
  <si>
    <t>david edwin power</t>
  </si>
  <si>
    <t>david ira brown</t>
  </si>
  <si>
    <t>david vincent herriford</t>
  </si>
  <si>
    <t>deborah jane chuang</t>
  </si>
  <si>
    <t>delbert c. gee</t>
  </si>
  <si>
    <t>delbert william oros</t>
  </si>
  <si>
    <t>denine jeness guy</t>
  </si>
  <si>
    <t>dennis james keough</t>
  </si>
  <si>
    <t>dianna joy gould-saltman</t>
  </si>
  <si>
    <t>don r franchi</t>
  </si>
  <si>
    <t>donald j. ayoob</t>
  </si>
  <si>
    <t>donald james sullivan</t>
  </si>
  <si>
    <t>donna gunnell garza</t>
  </si>
  <si>
    <t>donna l. tarter</t>
  </si>
  <si>
    <t>douglas paul miller</t>
  </si>
  <si>
    <t>efren nasol iglesia</t>
  </si>
  <si>
    <t>elisabeth b. krant</t>
  </si>
  <si>
    <t>elizabeth k lee</t>
  </si>
  <si>
    <t>elizabeth michelle hill</t>
  </si>
  <si>
    <t>evelio martin grillo</t>
  </si>
  <si>
    <t>francis michael devaney</t>
  </si>
  <si>
    <t>franklin e bondonno</t>
  </si>
  <si>
    <t>franz e. miller</t>
  </si>
  <si>
    <t>frederick p aguirre</t>
  </si>
  <si>
    <t>gail udreama andler</t>
  </si>
  <si>
    <t>garrett lee wong</t>
  </si>
  <si>
    <t>gary michael johnson</t>
  </si>
  <si>
    <t>george antony miram</t>
  </si>
  <si>
    <t>george l orndoff</t>
  </si>
  <si>
    <t>gerald  sevier</t>
  </si>
  <si>
    <t>gerald j. buchwald</t>
  </si>
  <si>
    <t>glenda (none)deputy sanders</t>
  </si>
  <si>
    <t>goodwin h. liu</t>
  </si>
  <si>
    <t>gregory (nmn) munoz</t>
  </si>
  <si>
    <t>harold wayne hopp</t>
  </si>
  <si>
    <t>helena r. gweon</t>
  </si>
  <si>
    <t>henry j hall</t>
  </si>
  <si>
    <t>ignazio john ruvolo</t>
  </si>
  <si>
    <t>ingrid adamson uhler</t>
  </si>
  <si>
    <t>ioana  petrou</t>
  </si>
  <si>
    <t>jac a crawford</t>
  </si>
  <si>
    <t>james a mcintyre</t>
  </si>
  <si>
    <t>james fisher iwasko</t>
  </si>
  <si>
    <t>james francis reilley</t>
  </si>
  <si>
    <t>james j. di cesare</t>
  </si>
  <si>
    <t>james kenneth hahn</t>
  </si>
  <si>
    <t>james l. waltz</t>
  </si>
  <si>
    <t>james m petrucelli</t>
  </si>
  <si>
    <t>james m. mize</t>
  </si>
  <si>
    <t>james n. bianco</t>
  </si>
  <si>
    <t>james patrick arguelles</t>
  </si>
  <si>
    <t>james paul kleinberg</t>
  </si>
  <si>
    <t>james t. laporte</t>
  </si>
  <si>
    <t>jeffrey stanley bostwick</t>
  </si>
  <si>
    <t>jeffrey steven ross</t>
  </si>
  <si>
    <t>jeffrey y jr hamilton</t>
  </si>
  <si>
    <t>jo-lynne quong lee</t>
  </si>
  <si>
    <t>joanne b. o'donnell</t>
  </si>
  <si>
    <t>john  howell steven</t>
  </si>
  <si>
    <t>john daniel freeland</t>
  </si>
  <si>
    <t>john david mazurek</t>
  </si>
  <si>
    <t>john edgar munter</t>
  </si>
  <si>
    <t>john h. ing</t>
  </si>
  <si>
    <t>john leo grandsaert</t>
  </si>
  <si>
    <t>john michael monterosso</t>
  </si>
  <si>
    <t>john nho trong nguyen</t>
  </si>
  <si>
    <t>john steven salazar</t>
  </si>
  <si>
    <t>jon steven tigar</t>
  </si>
  <si>
    <t>jonathan e. karesh</t>
  </si>
  <si>
    <t>joseph c. scott</t>
  </si>
  <si>
    <t>joseph eugene bergeron</t>
  </si>
  <si>
    <t>joy r  jones barbara</t>
  </si>
  <si>
    <t>judith ann vander lans</t>
  </si>
  <si>
    <t>judith l haller</t>
  </si>
  <si>
    <t>karen monique ackerson-brazille</t>
  </si>
  <si>
    <t>kim  hubbard</t>
  </si>
  <si>
    <t>kim garlin dunning</t>
  </si>
  <si>
    <t>kimberly kay menninger</t>
  </si>
  <si>
    <t>kirk haruo nakamura</t>
  </si>
  <si>
    <t>kristen a. lucena</t>
  </si>
  <si>
    <t>kristi culver kapetan</t>
  </si>
  <si>
    <t>larry e hayes</t>
  </si>
  <si>
    <t>lawrence joseph mira lawrence</t>
  </si>
  <si>
    <t>lee smalley edmon</t>
  </si>
  <si>
    <t>leland  davis iii</t>
  </si>
  <si>
    <t>leland herbert tipton</t>
  </si>
  <si>
    <t>linda l. miller</t>
  </si>
  <si>
    <t>linda s deputy marks</t>
  </si>
  <si>
    <t>lisa a novak</t>
  </si>
  <si>
    <t>lloyd l. hicks</t>
  </si>
  <si>
    <t>lon f hurwitz</t>
  </si>
  <si>
    <t>louis r hanoian</t>
  </si>
  <si>
    <t>lynn m poncin</t>
  </si>
  <si>
    <t>marc  marmaro</t>
  </si>
  <si>
    <t>maren e. nelson</t>
  </si>
  <si>
    <t>margaret a powers</t>
  </si>
  <si>
    <t>margo lynn lewis</t>
  </si>
  <si>
    <t>maria j. miller</t>
  </si>
  <si>
    <t>marie s weiner</t>
  </si>
  <si>
    <t>mark richard forcum</t>
  </si>
  <si>
    <t>mark vernon bacciarini</t>
  </si>
  <si>
    <t>martin larry herscovitz</t>
  </si>
  <si>
    <t>mary ann  murphy</t>
  </si>
  <si>
    <t>mary e. wiss</t>
  </si>
  <si>
    <t>michael bruce lewis</t>
  </si>
  <si>
    <t>michael isaku begert</t>
  </si>
  <si>
    <t>michael joseph rushton</t>
  </si>
  <si>
    <t>michael stuart groch</t>
  </si>
  <si>
    <t>michaela p. candela</t>
  </si>
  <si>
    <t>monica  bachner</t>
  </si>
  <si>
    <t>mury fingal schulte</t>
  </si>
  <si>
    <t>nancy a pollard</t>
  </si>
  <si>
    <t>nancy wieben stock</t>
  </si>
  <si>
    <t>nora m. manella</t>
  </si>
  <si>
    <t>norm j. shapiro</t>
  </si>
  <si>
    <t>norman l. epstein</t>
  </si>
  <si>
    <t>norvell frederick (fred) woods jr.</t>
  </si>
  <si>
    <t>patrick eugene tondreau</t>
  </si>
  <si>
    <t>patrick john mahoney</t>
  </si>
  <si>
    <t>patrick john zika</t>
  </si>
  <si>
    <t>paul mario marigonda</t>
  </si>
  <si>
    <t>peter  busch</t>
  </si>
  <si>
    <t>peter  manoukian socrater pe</t>
  </si>
  <si>
    <t>peter c. deddeh</t>
  </si>
  <si>
    <t>peter h kirwan</t>
  </si>
  <si>
    <t>peter john wilson</t>
  </si>
  <si>
    <t>r carlton seaver</t>
  </si>
  <si>
    <t>ralph c. hofer ralph</t>
  </si>
  <si>
    <t>raymond john ikola</t>
  </si>
  <si>
    <t>rebecca  connolly</t>
  </si>
  <si>
    <t>rebecca ann wiseman</t>
  </si>
  <si>
    <t>rene auguste chouteau</t>
  </si>
  <si>
    <t>richard david fybel</t>
  </si>
  <si>
    <t>richard k sueyoshi</t>
  </si>
  <si>
    <t>richard milton king</t>
  </si>
  <si>
    <t>richard mitchell mosk 12 feb 23</t>
  </si>
  <si>
    <t>rita j. miller</t>
  </si>
  <si>
    <t>robert alan glusman</t>
  </si>
  <si>
    <t>robert brandies freedman</t>
  </si>
  <si>
    <t>robert d foiles</t>
  </si>
  <si>
    <t>robert harocn oliver</t>
  </si>
  <si>
    <t>ronald boyd robie</t>
  </si>
  <si>
    <t>ronald f frazier</t>
  </si>
  <si>
    <t>ronald l styn</t>
  </si>
  <si>
    <t>rosendo  pena</t>
  </si>
  <si>
    <t>sandra ann thompson</t>
  </si>
  <si>
    <t>sandra lynn margulies</t>
  </si>
  <si>
    <t>sandra lynn mclean</t>
  </si>
  <si>
    <t>shane  burns robert</t>
  </si>
  <si>
    <t>sheila fairchild hanson</t>
  </si>
  <si>
    <t>stephen d. schuett</t>
  </si>
  <si>
    <t>stephen e. benson</t>
  </si>
  <si>
    <t>stephen m. moloney</t>
  </si>
  <si>
    <t>stephen w. white</t>
  </si>
  <si>
    <t>stephen wolfgang berrier</t>
  </si>
  <si>
    <t>steven a. brick</t>
  </si>
  <si>
    <t>steven clifford bailey</t>
  </si>
  <si>
    <t>steven curtis malone</t>
  </si>
  <si>
    <t>steven d barnes</t>
  </si>
  <si>
    <t>steven g counelis</t>
  </si>
  <si>
    <t>steven lawrence dylina</t>
  </si>
  <si>
    <t>steven michael katz</t>
  </si>
  <si>
    <t>steven zalkind perren</t>
  </si>
  <si>
    <t>susan lrene etezadi</t>
  </si>
  <si>
    <t>tam bk schumann</t>
  </si>
  <si>
    <t>tamara lynn mosbarger</t>
  </si>
  <si>
    <t>tara michele desautels</t>
  </si>
  <si>
    <t>teresa s. bennett</t>
  </si>
  <si>
    <t>terry a. bork</t>
  </si>
  <si>
    <t>thierry patrick colaw</t>
  </si>
  <si>
    <t>thomas  desantos</t>
  </si>
  <si>
    <t>thomas michael maddock</t>
  </si>
  <si>
    <t>thomas r sokolov</t>
  </si>
  <si>
    <t>thomas steven garza</t>
  </si>
  <si>
    <t>trina lynn thompson stanley</t>
  </si>
  <si>
    <t>upinder singh kalra</t>
  </si>
  <si>
    <t>vernon k. nakshara</t>
  </si>
  <si>
    <t>victor david martinez</t>
  </si>
  <si>
    <t>vincent j. chiarello</t>
  </si>
  <si>
    <t>virgil raymond swope iii</t>
  </si>
  <si>
    <t>w  hunt desek</t>
  </si>
  <si>
    <t>william  barry</t>
  </si>
  <si>
    <t>william d. claster</t>
  </si>
  <si>
    <t>william david stewart</t>
  </si>
  <si>
    <t>william foster highberger</t>
  </si>
  <si>
    <t>william g. willett</t>
  </si>
  <si>
    <t>william renwickjr nevitt</t>
  </si>
  <si>
    <t>william w bedsworth</t>
  </si>
  <si>
    <t>yolanda  orozco</t>
  </si>
  <si>
    <t>yvette marie palazuelos</t>
  </si>
  <si>
    <t>yvonne esperanza campos</t>
  </si>
  <si>
    <t>(blank)</t>
  </si>
  <si>
    <t>Grand Total</t>
  </si>
  <si>
    <t>Values</t>
  </si>
  <si>
    <t>Sum of gift value</t>
  </si>
  <si>
    <t>(All)</t>
  </si>
  <si>
    <t>Count of donor name</t>
  </si>
  <si>
    <t>full name</t>
  </si>
  <si>
    <t>Count of gift description</t>
  </si>
  <si>
    <t>If gift value says 0, it means the data doesn't exist (blank field - double check)</t>
  </si>
  <si>
    <t>last_name</t>
  </si>
  <si>
    <t>first_name</t>
  </si>
  <si>
    <t>middle_name</t>
  </si>
  <si>
    <t>agency</t>
  </si>
  <si>
    <t>division</t>
  </si>
  <si>
    <t>position</t>
  </si>
  <si>
    <t xml:space="preserve"> contra costa superior court  </t>
  </si>
  <si>
    <t xml:space="preserve"> los angeles superior court  </t>
  </si>
  <si>
    <t xml:space="preserve"> contra costa superior court ()</t>
  </si>
  <si>
    <t xml:space="preserve"> los angeles judicial  </t>
  </si>
  <si>
    <t xml:space="preserve"> los angeles judicial </t>
  </si>
  <si>
    <t xml:space="preserve"> los angeles superior court superior court </t>
  </si>
  <si>
    <t xml:space="preserve"> humboldt county superior court </t>
  </si>
  <si>
    <t xml:space="preserve"> san joaquin county superior court </t>
  </si>
  <si>
    <t xml:space="preserve"> california superior court </t>
  </si>
  <si>
    <t xml:space="preserve"> los angeles superior court   los angeles superior court </t>
  </si>
  <si>
    <t xml:space="preserve"> superior court of california superior court </t>
  </si>
  <si>
    <t xml:space="preserve"> county of los angeles superior court    superior court</t>
  </si>
  <si>
    <t xml:space="preserve"> los angeles superior court nontheast district </t>
  </si>
  <si>
    <t xml:space="preserve"> los angeles superior ct. </t>
  </si>
  <si>
    <t xml:space="preserve"> los angeles county superior court - superior court </t>
  </si>
  <si>
    <t xml:space="preserve"> l. a. superior court </t>
  </si>
  <si>
    <t xml:space="preserve"> los angeles county superior </t>
  </si>
  <si>
    <t xml:space="preserve"> superior court superior court </t>
  </si>
  <si>
    <t xml:space="preserve"> francisca</t>
  </si>
  <si>
    <t xml:space="preserve"> alameda county superior court   superior court </t>
  </si>
  <si>
    <t xml:space="preserve"> thompsonsandra ann</t>
  </si>
  <si>
    <t xml:space="preserve"> los angeles superior court   superior court </t>
  </si>
  <si>
    <t xml:space="preserve"> orange county superior court   superior court </t>
  </si>
  <si>
    <t xml:space="preserve"> sonoma county superior ct.   </t>
  </si>
  <si>
    <t xml:space="preserve"> sf sup.ct </t>
  </si>
  <si>
    <t xml:space="preserve"> szumowski</t>
  </si>
  <si>
    <t xml:space="preserve"> marin county superior court </t>
  </si>
  <si>
    <t xml:space="preserve"> superior court - san francisco - </t>
  </si>
  <si>
    <t xml:space="preserve"> superior court orange county   </t>
  </si>
  <si>
    <t xml:space="preserve"> superior court of california count of inyo   </t>
  </si>
  <si>
    <t xml:space="preserve"> san francisco superior court </t>
  </si>
  <si>
    <t xml:space="preserve"> los angeles superior court .</t>
  </si>
  <si>
    <t xml:space="preserve"> alameda county superior court - </t>
  </si>
  <si>
    <t xml:space="preserve"> alameda superior court superior court </t>
  </si>
  <si>
    <t xml:space="preserve"> superior court county of orange </t>
  </si>
  <si>
    <t xml:space="preserve"> tehama countystate of california</t>
  </si>
  <si>
    <t xml:space="preserve"> s.f. superior court </t>
  </si>
  <si>
    <t xml:space="preserve"> first appellate district division three</t>
  </si>
  <si>
    <t xml:space="preserve"> superior court of stanislaus county </t>
  </si>
  <si>
    <t xml:space="preserve"> superior court los angeles </t>
  </si>
  <si>
    <t xml:space="preserve"> los angeles superior court   </t>
  </si>
  <si>
    <t xml:space="preserve"> superior court orange county superior court </t>
  </si>
  <si>
    <t xml:space="preserve"> superior court county of orange superior court </t>
  </si>
  <si>
    <t xml:space="preserve"> orange county superior court supervising  probate</t>
  </si>
  <si>
    <t xml:space="preserve"> los angeles superior court     superior court </t>
  </si>
  <si>
    <t xml:space="preserve"> tehama county superior court </t>
  </si>
  <si>
    <t xml:space="preserve"> los angeles superior court - </t>
  </si>
  <si>
    <t xml:space="preserve"> los angeles county superior ct. - </t>
  </si>
  <si>
    <t xml:space="preserve"> superior court state of california </t>
  </si>
  <si>
    <t xml:space="preserve">  of the superior court </t>
  </si>
  <si>
    <t xml:space="preserve"> l.a. county superior ct </t>
  </si>
  <si>
    <t xml:space="preserve"> superior court of stanislaus county</t>
  </si>
  <si>
    <t xml:space="preserve"> superior court  </t>
  </si>
  <si>
    <t xml:space="preserve"> roesch frank</t>
  </si>
  <si>
    <t xml:space="preserve"> rodriquez luis</t>
  </si>
  <si>
    <t xml:space="preserve"> rodriguez luis</t>
  </si>
  <si>
    <t xml:space="preserve">  nocje dn3</t>
  </si>
  <si>
    <t xml:space="preserve"> santa barbara county superior court superior court </t>
  </si>
  <si>
    <t xml:space="preserve"> alameda county superior court </t>
  </si>
  <si>
    <t xml:space="preserve"> superior court  of the superior court</t>
  </si>
  <si>
    <t xml:space="preserve"> eldokedo county sup.dt.-</t>
  </si>
  <si>
    <t xml:space="preserve"> napa superior court </t>
  </si>
  <si>
    <t xml:space="preserve"> county of san bernaridno superior court</t>
  </si>
  <si>
    <t xml:space="preserve"> superior court - los angeles </t>
  </si>
  <si>
    <t xml:space="preserve"> california courts superior court </t>
  </si>
  <si>
    <t xml:space="preserve"> placer county superior court </t>
  </si>
  <si>
    <t xml:space="preserve"> superior courttrial courts </t>
  </si>
  <si>
    <t xml:space="preserve"> la superior court </t>
  </si>
  <si>
    <t xml:space="preserve"> superior court of california los angeles county superior court </t>
  </si>
  <si>
    <t xml:space="preserve"> (colusa county) superior court </t>
  </si>
  <si>
    <t xml:space="preserve"> santa clara superior court </t>
  </si>
  <si>
    <t xml:space="preserve"> alameda county </t>
  </si>
  <si>
    <t xml:space="preserve"> superior court orange co. superior court </t>
  </si>
  <si>
    <t xml:space="preserve"> sonoma county superior court superior court </t>
  </si>
  <si>
    <t xml:space="preserve"> superior court (san francisco)   </t>
  </si>
  <si>
    <t xml:space="preserve"> sacramento   superior court</t>
  </si>
  <si>
    <t xml:space="preserve"> superior court of california county of santa cruz   </t>
  </si>
  <si>
    <t xml:space="preserve"> alameda county superior court   </t>
  </si>
  <si>
    <t xml:space="preserve"> superior court   </t>
  </si>
  <si>
    <t xml:space="preserve"> superior court of california  county of san francisco</t>
  </si>
  <si>
    <t xml:space="preserve"> superior court orange county  of superior court</t>
  </si>
  <si>
    <t xml:space="preserve"> superior court los angeles county   </t>
  </si>
  <si>
    <t xml:space="preserve"> superior court of california county of butte </t>
  </si>
  <si>
    <t xml:space="preserve"> superior court of ca </t>
  </si>
  <si>
    <t xml:space="preserve"> superior court    los angeles superior court </t>
  </si>
  <si>
    <t xml:space="preserve"> superior court state of california - </t>
  </si>
  <si>
    <t xml:space="preserve"> superior court of the state of california in and for the county of contra costa </t>
  </si>
  <si>
    <t xml:space="preserve"> los angeles county superior court   </t>
  </si>
  <si>
    <t xml:space="preserve"> los angeles superior court (southest district) </t>
  </si>
  <si>
    <t xml:space="preserve"> san joaquin county superior court superior court </t>
  </si>
  <si>
    <t xml:space="preserve"> superior court of california county of los angeles </t>
  </si>
  <si>
    <t xml:space="preserve"> willie jr.</t>
  </si>
  <si>
    <t xml:space="preserve"> superior court alameda county </t>
  </si>
  <si>
    <t xml:space="preserve">  los angeles superior court</t>
  </si>
  <si>
    <t xml:space="preserve"> 12 mar - 7 am 8:54 2012 feb - 6michael</t>
  </si>
  <si>
    <t xml:space="preserve"> superior court - alameda county </t>
  </si>
  <si>
    <t xml:space="preserve"> superior court of san francisco </t>
  </si>
  <si>
    <t xml:space="preserve"> moneterey county superior court superior court </t>
  </si>
  <si>
    <t xml:space="preserve"> california superior court  </t>
  </si>
  <si>
    <t xml:space="preserve"> sf superior court </t>
  </si>
  <si>
    <t xml:space="preserve"> superior courtstate of california</t>
  </si>
  <si>
    <t xml:space="preserve"> superior court county of san francisco </t>
  </si>
  <si>
    <t xml:space="preserve"> konnedy john wiccian</t>
  </si>
  <si>
    <t xml:space="preserve"> placer county sup. court </t>
  </si>
  <si>
    <t xml:space="preserve"> superior court state of california county of solando  superior court </t>
  </si>
  <si>
    <t xml:space="preserve"> los angeles county superior court    of the superior court</t>
  </si>
  <si>
    <t xml:space="preserve"> san joaquin superior court </t>
  </si>
  <si>
    <t xml:space="preserve"> santa clara co. superior ct. </t>
  </si>
  <si>
    <t xml:space="preserve"> stanislaus county superior court </t>
  </si>
  <si>
    <t xml:space="preserve"> superior court alameda county  </t>
  </si>
  <si>
    <t xml:space="preserve"> san luis obispo superior court </t>
  </si>
  <si>
    <t xml:space="preserve"> superior court - orange county superior court </t>
  </si>
  <si>
    <t xml:space="preserve"> superior court for the county of los angeles </t>
  </si>
  <si>
    <t xml:space="preserve"> tulare county superior court   </t>
  </si>
  <si>
    <t xml:space="preserve"> freshnocounty superior court superior court </t>
  </si>
  <si>
    <t xml:space="preserve"> la county superior court </t>
  </si>
  <si>
    <t xml:space="preserve"> state of california superior court </t>
  </si>
  <si>
    <t xml:space="preserve"> sacramento superior court superior court </t>
  </si>
  <si>
    <t xml:space="preserve"> superior court of california county of sacramento </t>
  </si>
  <si>
    <t xml:space="preserve"> superior court department 10 </t>
  </si>
  <si>
    <t xml:space="preserve"> butte county superior court </t>
  </si>
  <si>
    <t xml:space="preserve"> los angeles superior court  of the superior court</t>
  </si>
  <si>
    <t xml:space="preserve"> hayes william michael</t>
  </si>
  <si>
    <t xml:space="preserve"> contra costa superior courtsuperior court </t>
  </si>
  <si>
    <t xml:space="preserve"> orange county superior court </t>
  </si>
  <si>
    <t xml:space="preserve"> court of appeal 4th district division 1 associate justice</t>
  </si>
  <si>
    <t xml:space="preserve"> los angeles superior cart  </t>
  </si>
  <si>
    <t xml:space="preserve"> haines charles</t>
  </si>
  <si>
    <t xml:space="preserve"> g.rebecca khil</t>
  </si>
  <si>
    <t xml:space="preserve"> california county of los</t>
  </si>
  <si>
    <t xml:space="preserve"> los angeles county superior court superior court </t>
  </si>
  <si>
    <t xml:space="preserve"> superior county orange county   </t>
  </si>
  <si>
    <t xml:space="preserve"> san francisco superior court   </t>
  </si>
  <si>
    <t xml:space="preserve"> superior court - orange countysuperior court </t>
  </si>
  <si>
    <t xml:space="preserve"> santa barbara superior court superior court </t>
  </si>
  <si>
    <t xml:space="preserve"> superior court state of california position 3 </t>
  </si>
  <si>
    <t xml:space="preserve"> superior court  sup.ct. </t>
  </si>
  <si>
    <t xml:space="preserve"> alameda superior court   of the superior court</t>
  </si>
  <si>
    <t xml:space="preserve"> san francisco superior court - </t>
  </si>
  <si>
    <t xml:space="preserve"> superior court - orange county </t>
  </si>
  <si>
    <t xml:space="preserve"> contra costa county superior court </t>
  </si>
  <si>
    <t xml:space="preserve"> yolo superior court </t>
  </si>
  <si>
    <t xml:space="preserve"> mono superior court </t>
  </si>
  <si>
    <t xml:space="preserve"> l.a. superior court   judicial council member</t>
  </si>
  <si>
    <t xml:space="preserve"> superior court san luis obispo </t>
  </si>
  <si>
    <t xml:space="preserve"> sup. ct. co. of tuolumra prsiding </t>
  </si>
  <si>
    <t xml:space="preserve"> donner 2012 feb 28 am 10:08</t>
  </si>
  <si>
    <t xml:space="preserve"> superior court - orange county  superior court   </t>
  </si>
  <si>
    <t xml:space="preserve"> superior court of california county of alpine  superior court </t>
  </si>
  <si>
    <t xml:space="preserve">  los angeles county superior court</t>
  </si>
  <si>
    <t xml:space="preserve"> contra costa county superior court superior court </t>
  </si>
  <si>
    <t xml:space="preserve"> placer co. superior court </t>
  </si>
  <si>
    <t xml:space="preserve"> superior court of alameda county </t>
  </si>
  <si>
    <t xml:space="preserve"> superior court san mateo co. superior court </t>
  </si>
  <si>
    <t xml:space="preserve"> superior court of california fresno county </t>
  </si>
  <si>
    <t xml:space="preserve"> superior court  san francisco</t>
  </si>
  <si>
    <t xml:space="preserve"> san francisco superior court superior court </t>
  </si>
  <si>
    <t xml:space="preserve"> superior courtorange county</t>
  </si>
  <si>
    <t xml:space="preserve"> l.a. county superior court </t>
  </si>
  <si>
    <t xml:space="preserve"> clarence</t>
  </si>
  <si>
    <t xml:space="preserve"> la superior court   </t>
  </si>
  <si>
    <t xml:space="preserve"> chang</t>
  </si>
  <si>
    <t xml:space="preserve"> sf superior court   </t>
  </si>
  <si>
    <t xml:space="preserve"> alameda superior court   </t>
  </si>
  <si>
    <t xml:space="preserve"> monterey superior court  superior court</t>
  </si>
  <si>
    <t xml:space="preserve"> los angeles superior court  superior court </t>
  </si>
  <si>
    <t xml:space="preserve"> sonoma county superior court </t>
  </si>
  <si>
    <t xml:space="preserve"> alameda superior court </t>
  </si>
  <si>
    <t xml:space="preserve"> the superior court </t>
  </si>
  <si>
    <t xml:space="preserve"> tulare county superior court </t>
  </si>
  <si>
    <t xml:space="preserve"> superior court of californiacounty of san meteo</t>
  </si>
  <si>
    <t xml:space="preserve"> california superior court alameda county superior court </t>
  </si>
  <si>
    <t xml:space="preserve"> department one (1)</t>
  </si>
  <si>
    <t xml:space="preserve"> contra costa superior court   </t>
  </si>
  <si>
    <t xml:space="preserve"> stanislaus county superior court superior court </t>
  </si>
  <si>
    <t xml:space="preserve"> superior court - county of orange  of the superior court</t>
  </si>
  <si>
    <t xml:space="preserve"> contra costa county </t>
  </si>
  <si>
    <t xml:space="preserve"> bacigalupo</t>
  </si>
  <si>
    <t xml:space="preserve"> los angeles superior court  of the superior cor</t>
  </si>
  <si>
    <t xml:space="preserve"> alameda county superior court  </t>
  </si>
  <si>
    <t xml:space="preserve"> superior court orange county  </t>
  </si>
  <si>
    <t>1/1/2011-11/1/2011</t>
  </si>
  <si>
    <t>1/1/2011-12/31/2011</t>
  </si>
  <si>
    <t>12/ /10</t>
  </si>
  <si>
    <t>1/1/2011-12/31/11</t>
  </si>
  <si>
    <t>12 / /11</t>
  </si>
  <si>
    <t>01/ / 11</t>
  </si>
  <si>
    <t>03/ /11</t>
  </si>
  <si>
    <t>value</t>
  </si>
  <si>
    <t>unknown</t>
  </si>
  <si>
    <t>description</t>
  </si>
  <si>
    <t>oakland a's ticket</t>
  </si>
  <si>
    <t>dinner</t>
  </si>
  <si>
    <t>paper weight</t>
  </si>
  <si>
    <t>gift card to bristol farms</t>
  </si>
  <si>
    <t>(2) dinner tickets</t>
  </si>
  <si>
    <t>2 tickets judges dinner</t>
  </si>
  <si>
    <t>annual judges dinner</t>
  </si>
  <si>
    <t>members dinner</t>
  </si>
  <si>
    <t>2 tix holiday gala &amp; swearing-in ceremony</t>
  </si>
  <si>
    <t>con't education dinner</t>
  </si>
  <si>
    <t>ocean day reception</t>
  </si>
  <si>
    <t>dinner @ meeting</t>
  </si>
  <si>
    <t>meals @ bd. meet</t>
  </si>
  <si>
    <t>annual judges' night</t>
  </si>
  <si>
    <t>guest of the mcnally's at their vacation timeshare</t>
  </si>
  <si>
    <t>meals</t>
  </si>
  <si>
    <t>meal</t>
  </si>
  <si>
    <t>meals lodging travel</t>
  </si>
  <si>
    <t>meals travel expenses</t>
  </si>
  <si>
    <t>meal travel expenses</t>
  </si>
  <si>
    <t>award dinner/lodging</t>
  </si>
  <si>
    <t>annual dinner</t>
  </si>
  <si>
    <t>free dinner for 2 @ judges night</t>
  </si>
  <si>
    <t>trial lawyer dinner</t>
  </si>
  <si>
    <t>grand prix tickets and party</t>
  </si>
  <si>
    <t>2 free admission ticket</t>
  </si>
  <si>
    <t>dinner certificates</t>
  </si>
  <si>
    <t>legal services</t>
  </si>
  <si>
    <t>theater ticket</t>
  </si>
  <si>
    <t>fundraiser ticket</t>
  </si>
  <si>
    <t>hotel room/1 evening</t>
  </si>
  <si>
    <t>lunch</t>
  </si>
  <si>
    <t>edu. program dinner</t>
  </si>
  <si>
    <t>vacation w/their family in hawaii</t>
  </si>
  <si>
    <t>won a week's stay for 4 in hawaii in rotary raffle donated it to CASA</t>
  </si>
  <si>
    <t>community dinner</t>
  </si>
  <si>
    <t>restaurant gift card &amp; movie tickets</t>
  </si>
  <si>
    <t>4 educational dinners</t>
  </si>
  <si>
    <t>education</t>
  </si>
  <si>
    <t>dinner at annual mtg. monthly lunch</t>
  </si>
  <si>
    <t>monthly lunch meeting</t>
  </si>
  <si>
    <t>app. 8 lunch meetings at 20.00 per lunch</t>
  </si>
  <si>
    <t>ticket for my son</t>
  </si>
  <si>
    <t>lodging/food</t>
  </si>
  <si>
    <t>judges night dinner</t>
  </si>
  <si>
    <t>installation of officers</t>
  </si>
  <si>
    <t>women lawyer lunch</t>
  </si>
  <si>
    <t>barristers lunch</t>
  </si>
  <si>
    <t>2 rounds of golf</t>
  </si>
  <si>
    <t>ticket to justice rehnquist banquet</t>
  </si>
  <si>
    <t>nordstrom gift card</t>
  </si>
  <si>
    <t>dinner bakersfield cc</t>
  </si>
  <si>
    <t>dinner/swearing in</t>
  </si>
  <si>
    <t>(coach) gift card</t>
  </si>
  <si>
    <t>attend spring cocktail party</t>
  </si>
  <si>
    <t>lunch while judging mock court competition</t>
  </si>
  <si>
    <t>attend annual judges reception</t>
  </si>
  <si>
    <t>meals while attending ethics comm. Meeting</t>
  </si>
  <si>
    <t>atkno holiday party</t>
  </si>
  <si>
    <t>discount on lodging at beach house</t>
  </si>
  <si>
    <t>same as above</t>
  </si>
  <si>
    <t>discount on hotel lodging</t>
  </si>
  <si>
    <t>lift tickets</t>
  </si>
  <si>
    <t>dinner ticket for spouse</t>
  </si>
  <si>
    <t>dinner including wife</t>
  </si>
  <si>
    <t>dinner with wine for my wife and myself</t>
  </si>
  <si>
    <t>meals and lodging at firm retreat (2 nights)</t>
  </si>
  <si>
    <t>north county print by jake early</t>
  </si>
  <si>
    <t>champagne</t>
  </si>
  <si>
    <t>visa gift card</t>
  </si>
  <si>
    <t>pearl earnings4 necklace</t>
  </si>
  <si>
    <t>silver ring</t>
  </si>
  <si>
    <t>dinner at st. patricks day event</t>
  </si>
  <si>
    <t>monthly ed luncheon</t>
  </si>
  <si>
    <t>event tickets</t>
  </si>
  <si>
    <t>meat &amp; nuts</t>
  </si>
  <si>
    <t>awards dinner</t>
  </si>
  <si>
    <t>concert tix</t>
  </si>
  <si>
    <t>snackbeverage &amp; parki</t>
  </si>
  <si>
    <t>food &amp; bev at abjict judicial reception</t>
  </si>
  <si>
    <t>food + bev. at jorge arguulles investiture</t>
  </si>
  <si>
    <t>food and bev holiday reception</t>
  </si>
  <si>
    <t>2 college football game tickets with food/drink in stadium suite</t>
  </si>
  <si>
    <t>j lakers tickets</t>
  </si>
  <si>
    <t>gift certificate</t>
  </si>
  <si>
    <t>blanket</t>
  </si>
  <si>
    <t>picture frame napkinds</t>
  </si>
  <si>
    <t>shirt</t>
  </si>
  <si>
    <t>1 ticket to bar event</t>
  </si>
  <si>
    <t>ticket to bar event</t>
  </si>
  <si>
    <t>appreciation event</t>
  </si>
  <si>
    <t>use of parking pass throughout year</t>
  </si>
  <si>
    <t>meals + reception</t>
  </si>
  <si>
    <t>hotel - 1 night</t>
  </si>
  <si>
    <t>refreshments</t>
  </si>
  <si>
    <t>cocktail reception</t>
  </si>
  <si>
    <t>xmas party</t>
  </si>
  <si>
    <t>meal at christmas party</t>
  </si>
  <si>
    <t>food at christmas party reception</t>
  </si>
  <si>
    <t>2 tickets to a music concert</t>
  </si>
  <si>
    <t>tickets (spouse &amp; self) installation of officers*</t>
  </si>
  <si>
    <t>meet the judges night* (dinner ticket provided)</t>
  </si>
  <si>
    <t>fishing trip</t>
  </si>
  <si>
    <t>food/</t>
  </si>
  <si>
    <t>dinner and entertainment</t>
  </si>
  <si>
    <t>hall of fame dinner program</t>
  </si>
  <si>
    <t>champions of justice dinner</t>
  </si>
  <si>
    <t>bench bar reception</t>
  </si>
  <si>
    <t>bench bar luncheon</t>
  </si>
  <si>
    <t>annual dinner program and entertainment</t>
  </si>
  <si>
    <t>annual installation dinner and entertainment</t>
  </si>
  <si>
    <t>dinner program and speaker</t>
  </si>
  <si>
    <t>dinner program</t>
  </si>
  <si>
    <t>dinner for my wife and me</t>
  </si>
  <si>
    <t>parking pass for cal bears men's basketball games (total 8 games)</t>
  </si>
  <si>
    <t>a pair of gants tickets for one game</t>
  </si>
  <si>
    <t>dinner for my wife &amp; me</t>
  </si>
  <si>
    <t>a pair of giants tickets for one game</t>
  </si>
  <si>
    <t>xmas dinner</t>
  </si>
  <si>
    <t>baseball tx</t>
  </si>
  <si>
    <t>basketball tickets</t>
  </si>
  <si>
    <t>dinner &amp; concert</t>
  </si>
  <si>
    <t>services</t>
  </si>
  <si>
    <t>baseball tickets</t>
  </si>
  <si>
    <t>print-new courthouse</t>
  </si>
  <si>
    <t>wine</t>
  </si>
  <si>
    <t>autographed cap</t>
  </si>
  <si>
    <t>desk crystal ball</t>
  </si>
  <si>
    <t>della rubia wall art</t>
  </si>
  <si>
    <t>annual dinner for past presidents</t>
  </si>
  <si>
    <t>dodger tickets</t>
  </si>
  <si>
    <t>teaching/hotel rents</t>
  </si>
  <si>
    <t>meeting / airplane, meals registration</t>
  </si>
  <si>
    <t>airplanes taxi's &amp; hotels &amp; registration</t>
  </si>
  <si>
    <t>art airplane taxi</t>
  </si>
  <si>
    <t>one football game ticket</t>
  </si>
  <si>
    <t>tickets to fox event</t>
  </si>
  <si>
    <t>event 2 $50 tickets to women's lawyers fundraiser</t>
  </si>
  <si>
    <t>dinner honoring judge hall</t>
  </si>
  <si>
    <t>bairsters judges lunch probate section</t>
  </si>
  <si>
    <t>probate sectiongift basket lunch</t>
  </si>
  <si>
    <t>a's baseball ticket</t>
  </si>
  <si>
    <t>food beverages</t>
  </si>
  <si>
    <t>2 tickets-annual dinner</t>
  </si>
  <si>
    <t>1 ticket-annual seminar</t>
  </si>
  <si>
    <t>kings tickets (4)</t>
  </si>
  <si>
    <t>dinner-loyola law sch</t>
  </si>
  <si>
    <t>dinner-tulipano's</t>
  </si>
  <si>
    <t>tix (6) angel's game</t>
  </si>
  <si>
    <t>dinner at programbree to judges</t>
  </si>
  <si>
    <t>lunch at educational program where i was invited to attend - was a participant in discussion at luncheon, not sure this needs to be reported</t>
  </si>
  <si>
    <t>cocktails &amp; hors d' oeuvres at reception free to judges</t>
  </si>
  <si>
    <t>cocktails + hors d' oeuvres at reception free to judges</t>
  </si>
  <si>
    <t>luncheon free to judges w/ speaker</t>
  </si>
  <si>
    <t>attend "mixer" dinner free to invited judges</t>
  </si>
  <si>
    <t>dinner at program - free to judges</t>
  </si>
  <si>
    <t>educational lunch free to judges</t>
  </si>
  <si>
    <t>attend bar assin meeting dinner free to sions</t>
  </si>
  <si>
    <t>attend joint bar assn meeting between stadium</t>
  </si>
  <si>
    <t>attend bar assn supreme court night</t>
  </si>
  <si>
    <t>dinner in connection</t>
  </si>
  <si>
    <t>with educational programs; judges receive complimentary tickets</t>
  </si>
  <si>
    <t>dinner- all family law judicial officers</t>
  </si>
  <si>
    <t>4x$30 dinners</t>
  </si>
  <si>
    <t>holiday dinner</t>
  </si>
  <si>
    <t>5x$30 dinners</t>
  </si>
  <si>
    <t>tickets (250x4)</t>
  </si>
  <si>
    <t>open house</t>
  </si>
  <si>
    <t>attended 5 monthly lunch meetings</t>
  </si>
  <si>
    <t>dinner with aaml members of which I am a mentor winter annual</t>
  </si>
  <si>
    <t>north butte county courthouse print by jake early</t>
  </si>
  <si>
    <t>restaurant gift card</t>
  </si>
  <si>
    <t>cash</t>
  </si>
  <si>
    <t>toasting flutes</t>
  </si>
  <si>
    <t>just married ornaments</t>
  </si>
  <si>
    <t>bible</t>
  </si>
  <si>
    <t>book</t>
  </si>
  <si>
    <t>facial</t>
  </si>
  <si>
    <t>parking</t>
  </si>
  <si>
    <t>6 bottles of wine</t>
  </si>
  <si>
    <t>two magnums of wine</t>
  </si>
  <si>
    <t>cal football tickets</t>
  </si>
  <si>
    <t>gift certificate for misto lino</t>
  </si>
  <si>
    <t>meal at "judges night"</t>
  </si>
  <si>
    <t>49ers steelers</t>
  </si>
  <si>
    <t>4 tickets to wwf event</t>
  </si>
  <si>
    <t>tuition</t>
  </si>
  <si>
    <t>judges night</t>
  </si>
  <si>
    <t>holiday party</t>
  </si>
  <si>
    <t>use of home</t>
  </si>
  <si>
    <t>cont bkfst &amp; lunch</t>
  </si>
  <si>
    <t>community prop book won in a raffle @ cja conf</t>
  </si>
  <si>
    <t>wine as compnstn for officiating at a wedding</t>
  </si>
  <si>
    <t>earley print nbcc</t>
  </si>
  <si>
    <t>2 basketball tickets</t>
  </si>
  <si>
    <t>restaurant gift cert</t>
  </si>
  <si>
    <t>ticket-kid's turn event</t>
  </si>
  <si>
    <t>accommodations</t>
  </si>
  <si>
    <t>accommodations and meales</t>
  </si>
  <si>
    <t>2 tickets- awards gala</t>
  </si>
  <si>
    <t>2 tickets + parking</t>
  </si>
  <si>
    <t>awards luncheon</t>
  </si>
  <si>
    <t>holiday luncheon</t>
  </si>
  <si>
    <t>reception/chief justic</t>
  </si>
  <si>
    <t>reception/chief judge</t>
  </si>
  <si>
    <t>installation luncheon</t>
  </si>
  <si>
    <t>fund raiser luncheon</t>
  </si>
  <si>
    <t>edu.program dinner</t>
  </si>
  <si>
    <t>attend annual dinner</t>
  </si>
  <si>
    <t>meals at board mtg.</t>
  </si>
  <si>
    <t>lunches-see below</t>
  </si>
  <si>
    <t>bench-bar lunch</t>
  </si>
  <si>
    <t>exec. com. dinner</t>
  </si>
  <si>
    <t>concert tickets &amp; food</t>
  </si>
  <si>
    <t>meals at board retreat</t>
  </si>
  <si>
    <t>meal at bldg. dedicatio</t>
  </si>
  <si>
    <t>hotel room</t>
  </si>
  <si>
    <t>scrapbooking items</t>
  </si>
  <si>
    <t>dinner ticket</t>
  </si>
  <si>
    <t>dinner (hall of fame)</t>
  </si>
  <si>
    <t>dinner-montalvo arts</t>
  </si>
  <si>
    <t>football ticket</t>
  </si>
  <si>
    <t>dinner legion of honor</t>
  </si>
  <si>
    <t>restaurant credit</t>
  </si>
  <si>
    <t>dinnerinvitation at centennial</t>
  </si>
  <si>
    <t>x-mass party</t>
  </si>
  <si>
    <t>dinner &amp; awards program</t>
  </si>
  <si>
    <t>holiday reception</t>
  </si>
  <si>
    <t>dinner &amp; program</t>
  </si>
  <si>
    <t>reception</t>
  </si>
  <si>
    <t>program &amp; dinner</t>
  </si>
  <si>
    <t>personal and spousal attendance at bar association dinner function</t>
  </si>
  <si>
    <t>4 baseball tickets</t>
  </si>
  <si>
    <t>4 football tickets</t>
  </si>
  <si>
    <t>1 baseball ticket</t>
  </si>
  <si>
    <t>toy/film prop</t>
  </si>
  <si>
    <t>clothing</t>
  </si>
  <si>
    <t>tickets / dinner</t>
  </si>
  <si>
    <t>lunch dinner</t>
  </si>
  <si>
    <t>vacation home</t>
  </si>
  <si>
    <t>airplane ride</t>
  </si>
  <si>
    <t>hourglass</t>
  </si>
  <si>
    <t>football game ticket</t>
  </si>
  <si>
    <t>dinner meeting</t>
  </si>
  <si>
    <t>baseball ticket</t>
  </si>
  <si>
    <t>performance gift cards</t>
  </si>
  <si>
    <t>food</t>
  </si>
  <si>
    <t>mission gula</t>
  </si>
  <si>
    <t>seminar</t>
  </si>
  <si>
    <t>probate section family law section lunch</t>
  </si>
  <si>
    <t>seminars</t>
  </si>
  <si>
    <t>dinner - judge's night</t>
  </si>
  <si>
    <t>ballgame</t>
  </si>
  <si>
    <t>dinner- ballgame</t>
  </si>
  <si>
    <t>usc football tickets</t>
  </si>
  <si>
    <t>tickets</t>
  </si>
  <si>
    <t>leather journal</t>
  </si>
  <si>
    <t>ticket to annual dinner</t>
  </si>
  <si>
    <t>gavel</t>
  </si>
  <si>
    <t>tote bag</t>
  </si>
  <si>
    <t>cookbook</t>
  </si>
  <si>
    <t>attend alumni event</t>
  </si>
  <si>
    <t>litigation sec.dinner</t>
  </si>
  <si>
    <t>meals at graduation</t>
  </si>
  <si>
    <t>dinner at board mtg.</t>
  </si>
  <si>
    <t>attend board dinner</t>
  </si>
  <si>
    <t>dinner judge's night</t>
  </si>
  <si>
    <t>2 tickets christmas awards banquet</t>
  </si>
  <si>
    <t>dinner oc women lawyers annual dinner</t>
  </si>
  <si>
    <t>tustiin mayor's breakfst</t>
  </si>
  <si>
    <t>chargers ticket</t>
  </si>
  <si>
    <t>son's b-day</t>
  </si>
  <si>
    <t>daughter's b-day</t>
  </si>
  <si>
    <t>daughters b-day</t>
  </si>
  <si>
    <t>1 bottle of wine</t>
  </si>
  <si>
    <t>various items of law school items (i.e. pen coffee cup; sweat shirt</t>
  </si>
  <si>
    <t>law firm retreat</t>
  </si>
  <si>
    <t>charity dinner ticket</t>
  </si>
  <si>
    <t>holiday party dinner</t>
  </si>
  <si>
    <t>3 bottles sofia wine</t>
  </si>
  <si>
    <t>right (raffle prize)</t>
  </si>
  <si>
    <t>concert ticket</t>
  </si>
  <si>
    <t>gift card</t>
  </si>
  <si>
    <t>pen</t>
  </si>
  <si>
    <t>judge's dinner ticket</t>
  </si>
  <si>
    <t>1preseason game ticket/refreshments</t>
  </si>
  <si>
    <t>scarf</t>
  </si>
  <si>
    <t>plaque meal</t>
  </si>
  <si>
    <t>luncheon admission</t>
  </si>
  <si>
    <t>artists rendering</t>
  </si>
  <si>
    <t>non-profit fundraiser tix</t>
  </si>
  <si>
    <t>santa claus inc. dine</t>
  </si>
  <si>
    <t>santa claus dinner</t>
  </si>
  <si>
    <t>dinner at holiday party with 250+ guests</t>
  </si>
  <si>
    <t>dinner at party for non-profit heritage point</t>
  </si>
  <si>
    <t>installation of officers cocktail party</t>
  </si>
  <si>
    <t>mcle day lunch</t>
  </si>
  <si>
    <t>women lawyers awards lunch</t>
  </si>
  <si>
    <t>speech to group lunch</t>
  </si>
  <si>
    <t>judges night + dinner</t>
  </si>
  <si>
    <t>barristers annual lunch</t>
  </si>
  <si>
    <t>diversity event cocktails appetizers</t>
  </si>
  <si>
    <t>speech w/ lunch</t>
  </si>
  <si>
    <t>women lawyers xmas lunch</t>
  </si>
  <si>
    <t>family law xmas lunch</t>
  </si>
  <si>
    <t>speech lunch-delisandwich</t>
  </si>
  <si>
    <t>judge of the year dinner</t>
  </si>
  <si>
    <t>gift certificate dewz restaurant</t>
  </si>
  <si>
    <t>cork holder meals @ cle events</t>
  </si>
  <si>
    <t>artwork</t>
  </si>
  <si>
    <t>padres ballgame</t>
  </si>
  <si>
    <t>basketball game</t>
  </si>
  <si>
    <t>fam. law rev course</t>
  </si>
  <si>
    <t>hors d'oeuvres</t>
  </si>
  <si>
    <t>2 preseason tickets + parking</t>
  </si>
  <si>
    <t>san mateo historical association dinner ticket honoring retireddistrict attorneys keith c. sorenson james p. fox</t>
  </si>
  <si>
    <t>judges lunch</t>
  </si>
  <si>
    <t>tickets &amp; food</t>
  </si>
  <si>
    <t>bar installation</t>
  </si>
  <si>
    <t>family law lunch</t>
  </si>
  <si>
    <t>lunch honoring bench</t>
  </si>
  <si>
    <t>dinner honoring bench</t>
  </si>
  <si>
    <t>cocktails (for 2)</t>
  </si>
  <si>
    <t>luncheon</t>
  </si>
  <si>
    <t>dinner (for 2)</t>
  </si>
  <si>
    <t>2dinners</t>
  </si>
  <si>
    <t>charity dinner</t>
  </si>
  <si>
    <t>installation reception</t>
  </si>
  <si>
    <t>giant's game</t>
  </si>
  <si>
    <t>play ticket to " hair"</t>
  </si>
  <si>
    <t>judges' reception</t>
  </si>
  <si>
    <t>party &amp; lodging</t>
  </si>
  <si>
    <t>group dinner</t>
  </si>
  <si>
    <t>dinner for my wife and me for performing wedding</t>
  </si>
  <si>
    <t>dinners @ quarterly meetings</t>
  </si>
  <si>
    <t>lunches dinners receptions where i was nota speaker/presenter</t>
  </si>
  <si>
    <t>judges night/awards night</t>
  </si>
  <si>
    <t>banquet</t>
  </si>
  <si>
    <t>tie</t>
  </si>
  <si>
    <t>judges night/instalation of officers</t>
  </si>
  <si>
    <t>board meetings+ education programs advisory board member parricipant on board advisor</t>
  </si>
  <si>
    <t>past pres. board metting</t>
  </si>
  <si>
    <t>seminar/meeting</t>
  </si>
  <si>
    <t>laker game</t>
  </si>
  <si>
    <t>st. pat. reception</t>
  </si>
  <si>
    <t>foodbeverages at social event</t>
  </si>
  <si>
    <t>at social event</t>
  </si>
  <si>
    <t>2 opera tickets</t>
  </si>
  <si>
    <t>visalia annual dinner</t>
  </si>
  <si>
    <t>wine &amp; cheese basket &amp; gift certificate</t>
  </si>
  <si>
    <t>overnight stay in moterey</t>
  </si>
  <si>
    <t>candy &amp; ornament</t>
  </si>
  <si>
    <t>religious icon</t>
  </si>
  <si>
    <t>book of psalms</t>
  </si>
  <si>
    <t>candy &amp; wine</t>
  </si>
  <si>
    <t>relgious icon &amp; prayer booklet</t>
  </si>
  <si>
    <t>crystal cross</t>
  </si>
  <si>
    <t>old testament</t>
  </si>
  <si>
    <t>two ties</t>
  </si>
  <si>
    <t>plaque</t>
  </si>
  <si>
    <t>cigar cutter/ligh</t>
  </si>
  <si>
    <t>clock</t>
  </si>
  <si>
    <t>art</t>
  </si>
  <si>
    <t>picture frame</t>
  </si>
  <si>
    <t>ancient coin</t>
  </si>
  <si>
    <t>stamp collection</t>
  </si>
  <si>
    <t>judicial robe</t>
  </si>
  <si>
    <t>letter opener</t>
  </si>
  <si>
    <t>statue</t>
  </si>
  <si>
    <t>engraved pen</t>
  </si>
  <si>
    <t>card holder</t>
  </si>
  <si>
    <t>quilt from raffle</t>
  </si>
  <si>
    <t>baseball tickets (2)</t>
  </si>
  <si>
    <t>dinner seminar euest</t>
  </si>
  <si>
    <t>baseball ticket(1)</t>
  </si>
  <si>
    <t>dinner-past presidents</t>
  </si>
  <si>
    <t>holiday dinner party (2) tickets</t>
  </si>
  <si>
    <t>enrobing ceremony</t>
  </si>
  <si>
    <t>toshiba golf ticket</t>
  </si>
  <si>
    <t>pro rata share of dinner for judges' night</t>
  </si>
  <si>
    <t>attend dinner at state bar convention</t>
  </si>
  <si>
    <t>attend alumni reception</t>
  </si>
  <si>
    <t>book/o'connors ca practice civil pretrial</t>
  </si>
  <si>
    <t>scholarship registration fee annual conference</t>
  </si>
  <si>
    <t>ljbtc dinner</t>
  </si>
  <si>
    <t>usd alumni awards</t>
  </si>
  <si>
    <t>usd law alum. lunch</t>
  </si>
  <si>
    <t>abota dinner</t>
  </si>
  <si>
    <t>4 concert tickets</t>
  </si>
  <si>
    <t>2 concert tickets</t>
  </si>
  <si>
    <t>hotel room and meals</t>
  </si>
  <si>
    <t>attendance at retreat</t>
  </si>
  <si>
    <t>cle/bd mtgdinners</t>
  </si>
  <si>
    <t>restaurant dinner</t>
  </si>
  <si>
    <t>annual luncheon</t>
  </si>
  <si>
    <t>dinner meeting &amp; program</t>
  </si>
  <si>
    <t>annual judges' dinner</t>
  </si>
  <si>
    <t>jt bd retreat travel reimbursement yosemite ca</t>
  </si>
  <si>
    <t>lunch program</t>
  </si>
  <si>
    <t>employment law section seminar travel reimbursement for participating as a panelist</t>
  </si>
  <si>
    <t>gala dinner yosemmite</t>
  </si>
  <si>
    <t>annual seminar jt bd meeting travel and lodging expenses santa barbara ca</t>
  </si>
  <si>
    <t>travel reimbursement for participation as panelist philadelphia pa</t>
  </si>
  <si>
    <t>cowboy hat</t>
  </si>
  <si>
    <t>t shirt</t>
  </si>
  <si>
    <t>belt buckle</t>
  </si>
  <si>
    <t>walking stick</t>
  </si>
  <si>
    <t>bsa books</t>
  </si>
  <si>
    <t>name tags</t>
  </si>
  <si>
    <t>hand carved caricature statue of boy scout leader</t>
  </si>
  <si>
    <t>two tickets usc trojan football game - home.</t>
  </si>
  <si>
    <t>dinner following football game</t>
  </si>
  <si>
    <t>1/2 of new apple i-pad two</t>
  </si>
  <si>
    <t>frute cake</t>
  </si>
  <si>
    <t>brothers &amp; nubil gift card</t>
  </si>
  <si>
    <t>royal wcrolus cup</t>
  </si>
  <si>
    <t>two blue cheeses</t>
  </si>
  <si>
    <t>pears</t>
  </si>
  <si>
    <t>egg nog + ollives</t>
  </si>
  <si>
    <t>starbucks card</t>
  </si>
  <si>
    <t>maple syrup and almonds</t>
  </si>
  <si>
    <t>basketball game ticket</t>
  </si>
  <si>
    <t>lunch-speaking at mtg.</t>
  </si>
  <si>
    <t>sharks hockey ticket</t>
  </si>
  <si>
    <t>instalustion</t>
  </si>
  <si>
    <t>durges nita</t>
  </si>
  <si>
    <t>judgeslunch</t>
  </si>
  <si>
    <t>jinger dinner</t>
  </si>
  <si>
    <t>entry fee for marathon</t>
  </si>
  <si>
    <t>k-swiss shoes</t>
  </si>
  <si>
    <t>registration fee</t>
  </si>
  <si>
    <t>ticket to alameda county food bank</t>
  </si>
  <si>
    <t>ticket to mlic lunch</t>
  </si>
  <si>
    <t>desk clock retirement gift</t>
  </si>
  <si>
    <t>ticket to ca supreme court lunch</t>
  </si>
  <si>
    <t>discount on use of vacation home</t>
  </si>
  <si>
    <t>round of golf</t>
  </si>
  <si>
    <t>discounts to people who played golf with me</t>
  </si>
  <si>
    <t>golf tournament entry</t>
  </si>
  <si>
    <t>tickets to concert</t>
  </si>
  <si>
    <t>dinners (2011)</t>
  </si>
  <si>
    <t>holiday program</t>
  </si>
  <si>
    <t>ed. program dinner</t>
  </si>
  <si>
    <t>dinner at christmas party</t>
  </si>
  <si>
    <t>more tickets (2)</t>
  </si>
  <si>
    <t>cold springs golf</t>
  </si>
  <si>
    <t>casablanca event</t>
  </si>
  <si>
    <t>barristers ball tickets</t>
  </si>
  <si>
    <t>crab feed ticket</t>
  </si>
  <si>
    <t>lake tahoe event</t>
  </si>
  <si>
    <t>dinner for 2</t>
  </si>
  <si>
    <t>football ticket/parking</t>
  </si>
  <si>
    <t>food at meetings</t>
  </si>
  <si>
    <t>2 dinners at hispanic alumni of usc</t>
  </si>
  <si>
    <t>i r/t ticket to wash d.c on behalf of latino advocates for bd inc</t>
  </si>
  <si>
    <t>angel's baseball game</t>
  </si>
  <si>
    <t>2 dinner tickets to hisp ed. end. fund event</t>
  </si>
  <si>
    <t>2dinner tickets</t>
  </si>
  <si>
    <t>won tickets for catalina jazz festival</t>
  </si>
  <si>
    <t>captricity file</t>
  </si>
  <si>
    <t>https://shreddr.captricity.com/api/v1/instance/224161/aligned-image</t>
  </si>
  <si>
    <t>https://shreddr.captricity.com/api/v1/instance/224160/aligned-image</t>
  </si>
  <si>
    <t>https://shreddr.captricity.com/api/v1/instance/224159/aligned-image</t>
  </si>
  <si>
    <t>https://shreddr.captricity.com/api/v1/instance/224157/aligned-image</t>
  </si>
  <si>
    <t>https://shreddr.captricity.com/api/v1/instance/224158/aligned-image</t>
  </si>
  <si>
    <t>https://shreddr.captricity.com/api/v1/instance/224156/aligned-image</t>
  </si>
  <si>
    <t>https://shreddr.captricity.com/api/v1/instance/224155/aligned-image</t>
  </si>
  <si>
    <t>https://shreddr.captricity.com/api/v1/instance/224154/aligned-image</t>
  </si>
  <si>
    <t>https://shreddr.captricity.com/api/v1/instance/224153/aligned-image</t>
  </si>
  <si>
    <t>https://shreddr.captricity.com/api/v1/instance/224152/aligned-image</t>
  </si>
  <si>
    <t>https://shreddr.captricity.com/api/v1/instance/224151/aligned-image</t>
  </si>
  <si>
    <t>https://shreddr.captricity.com/api/v1/instance/224150/aligned-image</t>
  </si>
  <si>
    <t>https://shreddr.captricity.com/api/v1/instance/224149/aligned-image</t>
  </si>
  <si>
    <t>https://shreddr.captricity.com/api/v1/instance/224148/aligned-image</t>
  </si>
  <si>
    <t>https://shreddr.captricity.com/api/v1/instance/224147/aligned-image</t>
  </si>
  <si>
    <t>https://shreddr.captricity.com/api/v1/instance/224146/aligned-image</t>
  </si>
  <si>
    <t>https://shreddr.captricity.com/api/v1/instance/224145/aligned-image</t>
  </si>
  <si>
    <t>https://shreddr.captricity.com/api/v1/instance/224144/aligned-image</t>
  </si>
  <si>
    <t>https://shreddr.captricity.com/api/v1/instance/224143/aligned-image</t>
  </si>
  <si>
    <t>https://shreddr.captricity.com/api/v1/instance/224141/aligned-image</t>
  </si>
  <si>
    <t>https://shreddr.captricity.com/api/v1/instance/224142/aligned-image</t>
  </si>
  <si>
    <t>https://shreddr.captricity.com/api/v1/instance/224140/aligned-image</t>
  </si>
  <si>
    <t>https://shreddr.captricity.com/api/v1/instance/224139/aligned-image</t>
  </si>
  <si>
    <t>https://shreddr.captricity.com/api/v1/instance/224138/aligned-image</t>
  </si>
  <si>
    <t>https://shreddr.captricity.com/api/v1/instance/224137/aligned-image</t>
  </si>
  <si>
    <t>https://shreddr.captricity.com/api/v1/instance/224136/aligned-image</t>
  </si>
  <si>
    <t>https://shreddr.captricity.com/api/v1/instance/224135/aligned-image</t>
  </si>
  <si>
    <t>https://shreddr.captricity.com/api/v1/instance/224132/aligned-image</t>
  </si>
  <si>
    <t>https://shreddr.captricity.com/api/v1/instance/224133/aligned-image</t>
  </si>
  <si>
    <t>https://shreddr.captricity.com/api/v1/instance/224130/aligned-image</t>
  </si>
  <si>
    <t>https://shreddr.captricity.com/api/v1/instance/224131/aligned-image</t>
  </si>
  <si>
    <t>https://shreddr.captricity.com/api/v1/instance/224128/aligned-image</t>
  </si>
  <si>
    <t>https://shreddr.captricity.com/api/v1/instance/224127/aligned-image</t>
  </si>
  <si>
    <t>https://shreddr.captricity.com/api/v1/instance/224126/aligned-image</t>
  </si>
  <si>
    <t>https://shreddr.captricity.com/api/v1/instance/224125/aligned-image</t>
  </si>
  <si>
    <t>https://shreddr.captricity.com/api/v1/instance/224124/aligned-image</t>
  </si>
  <si>
    <t>https://shreddr.captricity.com/api/v1/instance/224122/aligned-image</t>
  </si>
  <si>
    <t>https://shreddr.captricity.com/api/v1/instance/224121/aligned-image</t>
  </si>
  <si>
    <t>https://shreddr.captricity.com/api/v1/instance/224120/aligned-image</t>
  </si>
  <si>
    <t>https://shreddr.captricity.com/api/v1/instance/224119/aligned-image</t>
  </si>
  <si>
    <t>https://shreddr.captricity.com/api/v1/instance/224118/aligned-image</t>
  </si>
  <si>
    <t>https://shreddr.captricity.com/api/v1/instance/224117/aligned-image</t>
  </si>
  <si>
    <t>https://shreddr.captricity.com/api/v1/instance/224116/aligned-image</t>
  </si>
  <si>
    <t>https://shreddr.captricity.com/api/v1/instance/224114/aligned-image</t>
  </si>
  <si>
    <t>https://shreddr.captricity.com/api/v1/instance/224115/aligned-image</t>
  </si>
  <si>
    <t>https://shreddr.captricity.com/api/v1/instance/224113/aligned-image</t>
  </si>
  <si>
    <t>https://shreddr.captricity.com/api/v1/instance/224111/aligned-image</t>
  </si>
  <si>
    <t>https://shreddr.captricity.com/api/v1/instance/224110/aligned-image</t>
  </si>
  <si>
    <t>https://shreddr.captricity.com/api/v1/instance/224109/aligned-image</t>
  </si>
  <si>
    <t>https://shreddr.captricity.com/api/v1/instance/224108/aligned-image</t>
  </si>
  <si>
    <t>https://shreddr.captricity.com/api/v1/instance/224107/aligned-image</t>
  </si>
  <si>
    <t>https://shreddr.captricity.com/api/v1/instance/224106/aligned-image</t>
  </si>
  <si>
    <t>https://shreddr.captricity.com/api/v1/instance/224105/aligned-image</t>
  </si>
  <si>
    <t>https://shreddr.captricity.com/api/v1/instance/224104/aligned-image</t>
  </si>
  <si>
    <t>https://shreddr.captricity.com/api/v1/instance/224103/aligned-image</t>
  </si>
  <si>
    <t>https://shreddr.captricity.com/api/v1/instance/224102/aligned-image</t>
  </si>
  <si>
    <t>https://shreddr.captricity.com/api/v1/instance/224101/aligned-image</t>
  </si>
  <si>
    <t>https://shreddr.captricity.com/api/v1/instance/224099/aligned-image</t>
  </si>
  <si>
    <t>https://shreddr.captricity.com/api/v1/instance/224097/aligned-image</t>
  </si>
  <si>
    <t>https://shreddr.captricity.com/api/v1/instance/224096/aligned-image</t>
  </si>
  <si>
    <t>https://shreddr.captricity.com/api/v1/instance/224094/aligned-image</t>
  </si>
  <si>
    <t>https://shreddr.captricity.com/api/v1/instance/224095/aligned-image</t>
  </si>
  <si>
    <t>https://shreddr.captricity.com/api/v1/instance/224093/aligned-image</t>
  </si>
  <si>
    <t>https://shreddr.captricity.com/api/v1/instance/224092/aligned-image</t>
  </si>
  <si>
    <t>https://shreddr.captricity.com/api/v1/instance/224091/aligned-image</t>
  </si>
  <si>
    <t>https://shreddr.captricity.com/api/v1/instance/224090/aligned-image</t>
  </si>
  <si>
    <t>https://shreddr.captricity.com/api/v1/instance/224089/aligned-image</t>
  </si>
  <si>
    <t>https://shreddr.captricity.com/api/v1/instance/224088/aligned-image</t>
  </si>
  <si>
    <t>https://shreddr.captricity.com/api/v1/instance/224087/aligned-image</t>
  </si>
  <si>
    <t>https://shreddr.captricity.com/api/v1/instance/224086/aligned-image</t>
  </si>
  <si>
    <t>https://shreddr.captricity.com/api/v1/instance/224085/aligned-image</t>
  </si>
  <si>
    <t>https://shreddr.captricity.com/api/v1/instance/224083/aligned-image</t>
  </si>
  <si>
    <t>https://shreddr.captricity.com/api/v1/instance/224082/aligned-image</t>
  </si>
  <si>
    <t>https://shreddr.captricity.com/api/v1/instance/224081/aligned-image</t>
  </si>
  <si>
    <t>https://shreddr.captricity.com/api/v1/instance/224080/aligned-image</t>
  </si>
  <si>
    <t>https://shreddr.captricity.com/api/v1/instance/224079/aligned-image</t>
  </si>
  <si>
    <t>https://shreddr.captricity.com/api/v1/instance/224078/aligned-image</t>
  </si>
  <si>
    <t>https://shreddr.captricity.com/api/v1/instance/224076/aligned-image</t>
  </si>
  <si>
    <t>https://shreddr.captricity.com/api/v1/instance/224077/aligned-image</t>
  </si>
  <si>
    <t>https://shreddr.captricity.com/api/v1/instance/224075/aligned-image</t>
  </si>
  <si>
    <t>https://shreddr.captricity.com/api/v1/instance/224074/aligned-image</t>
  </si>
  <si>
    <t>https://shreddr.captricity.com/api/v1/instance/224073/aligned-image</t>
  </si>
  <si>
    <t>https://shreddr.captricity.com/api/v1/instance/224072/aligned-image</t>
  </si>
  <si>
    <t>https://shreddr.captricity.com/api/v1/instance/224071/aligned-image</t>
  </si>
  <si>
    <t>https://shreddr.captricity.com/api/v1/instance/224070/aligned-image</t>
  </si>
  <si>
    <t>https://shreddr.captricity.com/api/v1/instance/224069/aligned-image</t>
  </si>
  <si>
    <t>https://shreddr.captricity.com/api/v1/instance/224068/aligned-image</t>
  </si>
  <si>
    <t>https://shreddr.captricity.com/api/v1/instance/224067/aligned-image</t>
  </si>
  <si>
    <t>https://shreddr.captricity.com/api/v1/instance/224066/aligned-image</t>
  </si>
  <si>
    <t>https://shreddr.captricity.com/api/v1/instance/224065/aligned-image</t>
  </si>
  <si>
    <t>https://shreddr.captricity.com/api/v1/instance/224064/aligned-image</t>
  </si>
  <si>
    <t>https://shreddr.captricity.com/api/v1/instance/224063/aligned-image</t>
  </si>
  <si>
    <t>https://shreddr.captricity.com/api/v1/instance/224062/aligned-image</t>
  </si>
  <si>
    <t>https://shreddr.captricity.com/api/v1/instance/224060/aligned-image</t>
  </si>
  <si>
    <t>https://shreddr.captricity.com/api/v1/instance/224059/aligned-image</t>
  </si>
  <si>
    <t>https://shreddr.captricity.com/api/v1/instance/224058/aligned-image</t>
  </si>
  <si>
    <t>https://shreddr.captricity.com/api/v1/instance/224056/aligned-image</t>
  </si>
  <si>
    <t>https://shreddr.captricity.com/api/v1/instance/224057/aligned-image</t>
  </si>
  <si>
    <t>https://shreddr.captricity.com/api/v1/instance/224054/aligned-image</t>
  </si>
  <si>
    <t>https://shreddr.captricity.com/api/v1/instance/224055/aligned-image</t>
  </si>
  <si>
    <t>https://shreddr.captricity.com/api/v1/instance/224053/aligned-image</t>
  </si>
  <si>
    <t>https://shreddr.captricity.com/api/v1/instance/224052/aligned-image</t>
  </si>
  <si>
    <t>https://shreddr.captricity.com/api/v1/instance/224051/aligned-image</t>
  </si>
  <si>
    <t>https://shreddr.captricity.com/api/v1/instance/224050/aligned-image</t>
  </si>
  <si>
    <t>https://shreddr.captricity.com/api/v1/instance/224049/aligned-image</t>
  </si>
  <si>
    <t>https://shreddr.captricity.com/api/v1/instance/224048/aligned-image</t>
  </si>
  <si>
    <t>https://shreddr.captricity.com/api/v1/instance/224047/aligned-image</t>
  </si>
  <si>
    <t>https://shreddr.captricity.com/api/v1/instance/224046/aligned-image</t>
  </si>
  <si>
    <t>https://shreddr.captricity.com/api/v1/instance/224044/aligned-image</t>
  </si>
  <si>
    <t>https://shreddr.captricity.com/api/v1/instance/224043/aligned-image</t>
  </si>
  <si>
    <t>https://shreddr.captricity.com/api/v1/instance/224042/aligned-image</t>
  </si>
  <si>
    <t>https://shreddr.captricity.com/api/v1/instance/224041/aligned-image</t>
  </si>
  <si>
    <t>https://shreddr.captricity.com/api/v1/instance/224040/aligned-image</t>
  </si>
  <si>
    <t>https://shreddr.captricity.com/api/v1/instance/224039/aligned-image</t>
  </si>
  <si>
    <t>https://shreddr.captricity.com/api/v1/instance/224038/aligned-image</t>
  </si>
  <si>
    <t>https://shreddr.captricity.com/api/v1/instance/224037/aligned-image</t>
  </si>
  <si>
    <t>https://shreddr.captricity.com/api/v1/instance/224036/aligned-image</t>
  </si>
  <si>
    <t>https://shreddr.captricity.com/api/v1/instance/224035/aligned-image</t>
  </si>
  <si>
    <t>https://shreddr.captricity.com/api/v1/instance/224034/aligned-image</t>
  </si>
  <si>
    <t>https://shreddr.captricity.com/api/v1/instance/224032/aligned-image</t>
  </si>
  <si>
    <t>https://shreddr.captricity.com/api/v1/instance/224031/aligned-image</t>
  </si>
  <si>
    <t>https://shreddr.captricity.com/api/v1/instance/224030/aligned-image</t>
  </si>
  <si>
    <t>https://shreddr.captricity.com/api/v1/instance/224028/aligned-image</t>
  </si>
  <si>
    <t>https://shreddr.captricity.com/api/v1/instance/224027/aligned-image</t>
  </si>
  <si>
    <t>https://shreddr.captricity.com/api/v1/instance/224025/aligned-image</t>
  </si>
  <si>
    <t>https://shreddr.captricity.com/api/v1/instance/224026/aligned-image</t>
  </si>
  <si>
    <t>https://shreddr.captricity.com/api/v1/instance/224024/aligned-image</t>
  </si>
  <si>
    <t>https://shreddr.captricity.com/api/v1/instance/224023/aligned-image</t>
  </si>
  <si>
    <t>https://shreddr.captricity.com/api/v1/instance/224022/aligned-image</t>
  </si>
  <si>
    <t>https://shreddr.captricity.com/api/v1/instance/224021/aligned-image</t>
  </si>
  <si>
    <t>https://shreddr.captricity.com/api/v1/instance/224020/aligned-image</t>
  </si>
  <si>
    <t>https://shreddr.captricity.com/api/v1/instance/224019/aligned-image</t>
  </si>
  <si>
    <t>https://shreddr.captricity.com/api/v1/instance/224017/aligned-image</t>
  </si>
  <si>
    <t>https://shreddr.captricity.com/api/v1/instance/224018/aligned-image</t>
  </si>
  <si>
    <t>https://shreddr.captricity.com/api/v1/instance/224016/aligned-image</t>
  </si>
  <si>
    <t>https://shreddr.captricity.com/api/v1/instance/224015/aligned-image</t>
  </si>
  <si>
    <t>https://shreddr.captricity.com/api/v1/instance/224013/aligned-image</t>
  </si>
  <si>
    <t>https://shreddr.captricity.com/api/v1/instance/224014/aligned-image</t>
  </si>
  <si>
    <t>https://shreddr.captricity.com/api/v1/instance/224012/aligned-image</t>
  </si>
  <si>
    <t>https://shreddr.captricity.com/api/v1/instance/224011/aligned-image</t>
  </si>
  <si>
    <t>https://shreddr.captricity.com/api/v1/instance/224010/aligned-image</t>
  </si>
  <si>
    <t>https://shreddr.captricity.com/api/v1/instance/224009/aligned-image</t>
  </si>
  <si>
    <t>https://shreddr.captricity.com/api/v1/instance/224008/aligned-image</t>
  </si>
  <si>
    <t>https://shreddr.captricity.com/api/v1/instance/224007/aligned-image</t>
  </si>
  <si>
    <t>https://shreddr.captricity.com/api/v1/instance/224006/aligned-image</t>
  </si>
  <si>
    <t>https://shreddr.captricity.com/api/v1/instance/224005/aligned-image</t>
  </si>
  <si>
    <t>https://shreddr.captricity.com/api/v1/instance/224004/aligned-image</t>
  </si>
  <si>
    <t>https://shreddr.captricity.com/api/v1/instance/224003/aligned-image</t>
  </si>
  <si>
    <t>https://shreddr.captricity.com/api/v1/instance/224002/aligned-image</t>
  </si>
  <si>
    <t>https://shreddr.captricity.com/api/v1/instance/224001/aligned-image</t>
  </si>
  <si>
    <t>https://shreddr.captricity.com/api/v1/instance/224000/aligned-image</t>
  </si>
  <si>
    <t>https://shreddr.captricity.com/api/v1/instance/223999/aligned-image</t>
  </si>
  <si>
    <t>https://shreddr.captricity.com/api/v1/instance/223998/aligned-image</t>
  </si>
  <si>
    <t>https://shreddr.captricity.com/api/v1/instance/223997/aligned-image</t>
  </si>
  <si>
    <t>https://shreddr.captricity.com/api/v1/instance/223996/aligned-image</t>
  </si>
  <si>
    <t>https://shreddr.captricity.com/api/v1/instance/223995/aligned-image</t>
  </si>
  <si>
    <t>https://shreddr.captricity.com/api/v1/instance/223994/aligned-image</t>
  </si>
  <si>
    <t>https://shreddr.captricity.com/api/v1/instance/223993/aligned-image</t>
  </si>
  <si>
    <t>https://shreddr.captricity.com/api/v1/instance/223992/aligned-image</t>
  </si>
  <si>
    <t>https://shreddr.captricity.com/api/v1/instance/223991/aligned-image</t>
  </si>
  <si>
    <t>https://shreddr.captricity.com/api/v1/instance/223990/aligned-image</t>
  </si>
  <si>
    <t>https://shreddr.captricity.com/api/v1/instance/223989/aligned-image</t>
  </si>
  <si>
    <t>https://shreddr.captricity.com/api/v1/instance/223988/aligned-image</t>
  </si>
  <si>
    <t>https://shreddr.captricity.com/api/v1/instance/223987/aligned-image</t>
  </si>
  <si>
    <t>https://shreddr.captricity.com/api/v1/instance/223986/aligned-image</t>
  </si>
  <si>
    <t>https://shreddr.captricity.com/api/v1/instance/223985/aligned-image</t>
  </si>
  <si>
    <t>https://shreddr.captricity.com/api/v1/instance/223984/aligned-image</t>
  </si>
  <si>
    <t>https://shreddr.captricity.com/api/v1/instance/223983/aligned-image</t>
  </si>
  <si>
    <t>https://shreddr.captricity.com/api/v1/instance/223981/aligned-image</t>
  </si>
  <si>
    <t>https://shreddr.captricity.com/api/v1/instance/223982/aligned-image</t>
  </si>
  <si>
    <t>https://shreddr.captricity.com/api/v1/instance/223979/aligned-image</t>
  </si>
  <si>
    <t>https://shreddr.captricity.com/api/v1/instance/223980/aligned-image</t>
  </si>
  <si>
    <t>https://shreddr.captricity.com/api/v1/instance/223978/aligned-image</t>
  </si>
  <si>
    <t>https://shreddr.captricity.com/api/v1/instance/223977/aligned-image</t>
  </si>
  <si>
    <t>https://shreddr.captricity.com/api/v1/instance/223976/aligned-image</t>
  </si>
  <si>
    <t>https://shreddr.captricity.com/api/v1/instance/223975/aligned-image</t>
  </si>
  <si>
    <t>https://shreddr.captricity.com/api/v1/instance/223974/aligned-image</t>
  </si>
  <si>
    <t>https://shreddr.captricity.com/api/v1/instance/223973/aligned-image</t>
  </si>
  <si>
    <t>https://shreddr.captricity.com/api/v1/instance/223971/aligned-image</t>
  </si>
  <si>
    <t>https://shreddr.captricity.com/api/v1/instance/223969/aligned-image</t>
  </si>
  <si>
    <t>https://shreddr.captricity.com/api/v1/instance/223970/aligned-image</t>
  </si>
  <si>
    <t>https://shreddr.captricity.com/api/v1/instance/223968/aligned-image</t>
  </si>
  <si>
    <t>https://shreddr.captricity.com/api/v1/instance/223967/aligned-image</t>
  </si>
  <si>
    <t>https://shreddr.captricity.com/api/v1/instance/223965/aligned-image</t>
  </si>
  <si>
    <t>https://shreddr.captricity.com/api/v1/instance/223966/aligned-image</t>
  </si>
  <si>
    <t>https://shreddr.captricity.com/api/v1/instance/223963/aligned-image</t>
  </si>
  <si>
    <t>https://shreddr.captricity.com/api/v1/instance/223964/aligned-image</t>
  </si>
  <si>
    <t>https://shreddr.captricity.com/api/v1/instance/223962/aligned-image</t>
  </si>
  <si>
    <t>https://shreddr.captricity.com/api/v1/instance/223961/aligned-image</t>
  </si>
  <si>
    <t>https://shreddr.captricity.com/api/v1/instance/223959/aligned-image</t>
  </si>
  <si>
    <t>https://shreddr.captricity.com/api/v1/instance/223960/aligned-image</t>
  </si>
  <si>
    <t>https://shreddr.captricity.com/api/v1/instance/223957/aligned-image</t>
  </si>
  <si>
    <t>https://shreddr.captricity.com/api/v1/instance/223958/aligned-image</t>
  </si>
  <si>
    <t>https://shreddr.captricity.com/api/v1/instance/223956/aligned-image</t>
  </si>
  <si>
    <t>https://shreddr.captricity.com/api/v1/instance/223955/aligned-image</t>
  </si>
  <si>
    <t>https://shreddr.captricity.com/api/v1/instance/223954/aligned-image</t>
  </si>
  <si>
    <t>https://shreddr.captricity.com/api/v1/instance/223953/aligned-image</t>
  </si>
  <si>
    <t>https://shreddr.captricity.com/api/v1/instance/223951/aligned-image</t>
  </si>
  <si>
    <t>https://shreddr.captricity.com/api/v1/instance/223952/aligned-image</t>
  </si>
  <si>
    <t>https://shreddr.captricity.com/api/v1/instance/223949/aligned-image</t>
  </si>
  <si>
    <t>https://shreddr.captricity.com/api/v1/instance/223950/aligned-image</t>
  </si>
  <si>
    <t>https://shreddr.captricity.com/api/v1/instance/223948/aligned-image</t>
  </si>
  <si>
    <t>https://shreddr.captricity.com/api/v1/instance/223947/aligned-image</t>
  </si>
  <si>
    <t>https://shreddr.captricity.com/api/v1/instance/223945/aligned-image</t>
  </si>
  <si>
    <t>https://shreddr.captricity.com/api/v1/instance/223946/aligned-image</t>
  </si>
  <si>
    <t>https://shreddr.captricity.com/api/v1/instance/223944/aligned-image</t>
  </si>
  <si>
    <t>https://shreddr.captricity.com/api/v1/instance/223943/aligned-image</t>
  </si>
  <si>
    <t>https://shreddr.captricity.com/api/v1/instance/223942/aligned-image</t>
  </si>
  <si>
    <t>https://shreddr.captricity.com/api/v1/instance/223941/aligned-image</t>
  </si>
  <si>
    <t>https://shreddr.captricity.com/api/v1/instance/223939/aligned-image</t>
  </si>
  <si>
    <t>https://shreddr.captricity.com/api/v1/instance/223940/aligned-image</t>
  </si>
  <si>
    <t>https://shreddr.captricity.com/api/v1/instance/223938/aligned-image</t>
  </si>
  <si>
    <t>https://shreddr.captricity.com/api/v1/instance/223937/aligned-image</t>
  </si>
  <si>
    <t>https://shreddr.captricity.com/api/v1/instance/223936/aligned-image</t>
  </si>
  <si>
    <t>https://shreddr.captricity.com/api/v1/instance/223935/aligned-image</t>
  </si>
  <si>
    <t>https://shreddr.captricity.com/api/v1/instance/223933/aligned-image</t>
  </si>
  <si>
    <t>https://shreddr.captricity.com/api/v1/instance/223932/aligned-image</t>
  </si>
  <si>
    <t>https://shreddr.captricity.com/api/v1/instance/223934/aligned-image</t>
  </si>
  <si>
    <t>https://shreddr.captricity.com/api/v1/instance/223931/aligned-image</t>
  </si>
  <si>
    <t>https://shreddr.captricity.com/api/v1/instance/223930/aligned-image</t>
  </si>
  <si>
    <t>https://shreddr.captricity.com/api/v1/instance/223929/aligned-image</t>
  </si>
  <si>
    <t>https://shreddr.captricity.com/api/v1/instance/223928/aligned-image</t>
  </si>
  <si>
    <t>https://shreddr.captricity.com/api/v1/instance/223927/aligned-image</t>
  </si>
  <si>
    <t>https://shreddr.captricity.com/api/v1/instance/223926/aligned-image</t>
  </si>
  <si>
    <t>https://shreddr.captricity.com/api/v1/instance/223925/aligned-image</t>
  </si>
  <si>
    <t>https://shreddr.captricity.com/api/v1/instance/223924/aligned-image</t>
  </si>
  <si>
    <t>https://shreddr.captricity.com/api/v1/instance/223923/aligned-image</t>
  </si>
  <si>
    <t>https://shreddr.captricity.com/api/v1/instance/223921/aligned-image</t>
  </si>
  <si>
    <t>https://shreddr.captricity.com/api/v1/instance/223922/aligned-image</t>
  </si>
  <si>
    <t>https://shreddr.captricity.com/api/v1/instance/223920/aligned-image</t>
  </si>
  <si>
    <t>https://shreddr.captricity.com/api/v1/instance/223919/aligned-image</t>
  </si>
  <si>
    <t>https://shreddr.captricity.com/api/v1/instance/223918/aligned-image</t>
  </si>
  <si>
    <t>https://shreddr.captricity.com/api/v1/instance/223917/aligned-image</t>
  </si>
  <si>
    <t>https://shreddr.captricity.com/api/v1/instance/223916/aligned-image</t>
  </si>
  <si>
    <t>https://shreddr.captricity.com/api/v1/instance/223914/aligned-image</t>
  </si>
  <si>
    <t>https://shreddr.captricity.com/api/v1/instance/223913/aligned-image</t>
  </si>
  <si>
    <t>https://shreddr.captricity.com/api/v1/instance/223912/aligned-image</t>
  </si>
  <si>
    <t>https://shreddr.captricity.com/api/v1/instance/223911/aligned-image</t>
  </si>
  <si>
    <t>https://shreddr.captricity.com/api/v1/instance/223910/aligned-image</t>
  </si>
  <si>
    <t>https://shreddr.captricity.com/api/v1/instance/223909/aligned-image</t>
  </si>
  <si>
    <t>https://shreddr.captricity.com/api/v1/instance/223908/aligned-image</t>
  </si>
  <si>
    <t>https://shreddr.captricity.com/api/v1/instance/223906/aligned-image</t>
  </si>
  <si>
    <t>https://shreddr.captricity.com/api/v1/instance/223905/aligned-image</t>
  </si>
  <si>
    <t>https://shreddr.captricity.com/api/v1/instance/223904/aligned-image</t>
  </si>
  <si>
    <t>https://shreddr.captricity.com/api/v1/instance/223903/aligned-image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</si>
</sst>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$&quot;#,##0.00_);[Red]\(&quot;$&quot;#,##0.00\)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16" fontId="0" fillId="0" borderId="0" xfId="0" applyNumberFormat="1"/>
    <xf numFmtId="8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</cellXfs>
  <cellStyles count="4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pivotCacheDefinition" Target="pivotCache/pivotCacheDefinition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ee DiResta" refreshedDate="39754.51540462963" createdVersion="4" refreshedVersion="4" minRefreshableVersion="3" recordCount="858">
  <cacheSource type="worksheet">
    <worksheetSource ref="A1:H1048576" sheet="combined data (paired by gift)"/>
  </cacheSource>
  <cacheFields count="8">
    <cacheField name=" donor_id" numFmtId="0">
      <sharedItems containsString="0" containsBlank="1" containsNumber="1" containsInteger="1" minValue="1" maxValue="475"/>
    </cacheField>
    <cacheField name="judge_id " numFmtId="0">
      <sharedItems containsString="0" containsBlank="1" containsNumber="1" containsInteger="1" minValue="1" maxValue="1651"/>
    </cacheField>
    <cacheField name="date" numFmtId="0">
      <sharedItems containsDate="1" containsBlank="1" containsMixedTypes="1" minDate="2010-09-01T00:00:00" maxDate="2011-09-11T00:00:00"/>
    </cacheField>
    <cacheField name="gift value" numFmtId="0">
      <sharedItems containsBlank="1" containsMixedTypes="1" containsNumber="1" minValue="0" maxValue="8676" count="122">
        <n v="175"/>
        <n v="100"/>
        <n v="50"/>
        <n v="390"/>
        <n v="90"/>
        <n v="120"/>
        <n v="395"/>
        <s v=" "/>
        <n v="110"/>
        <n v="40"/>
        <n v="150"/>
        <n v="125"/>
        <n v="2500"/>
        <n v="74"/>
        <n v="20"/>
        <n v="66"/>
        <n v="45"/>
        <n v="438"/>
        <n v="320"/>
        <n v="122"/>
        <n v="500"/>
        <n v="60"/>
        <n v="75"/>
        <n v="104"/>
        <n v="400"/>
        <n v="350"/>
        <n v="55"/>
        <n v="130"/>
        <n v="1000"/>
        <n v="3000"/>
        <n v="65"/>
        <n v="47.5"/>
        <n v="25"/>
        <n v="300"/>
        <n v="0"/>
        <n v="250"/>
        <n v="35"/>
        <n v="170"/>
        <n v="200"/>
        <n v="30"/>
        <n v="54"/>
        <n v="1400"/>
        <n v="140"/>
        <n v="195"/>
        <n v="1600"/>
        <n v="197"/>
        <n v="240"/>
        <n v="70"/>
        <n v="216"/>
        <n v="27"/>
        <n v="323"/>
        <n v="202"/>
        <n v="5"/>
        <n v="32"/>
        <n v="800"/>
        <n v="95"/>
        <n v="94"/>
        <n v="157"/>
        <n v="255"/>
        <n v="162.47999999999999"/>
        <n v="360"/>
        <n v="639.35"/>
        <n v="1072.08"/>
        <n v="325.60000000000002"/>
        <s v=" 50x2=$100"/>
        <n v="80"/>
        <n v="180"/>
        <s v=" 50/50"/>
        <n v="165"/>
        <n v="225"/>
        <n v="525"/>
        <n v="178"/>
        <n v="280"/>
        <n v="1500"/>
        <n v="227"/>
        <n v="115"/>
        <n v="85"/>
        <n v="480"/>
        <n v="220"/>
        <n v="276"/>
        <n v="275"/>
        <s v=" unknown"/>
        <n v="10"/>
        <n v="375"/>
        <n v="59"/>
        <n v="2120"/>
        <n v="19"/>
        <n v="13.9"/>
        <n v="98"/>
        <n v="15"/>
        <n v="1250"/>
        <n v="980"/>
        <n v="189"/>
        <n v="48"/>
        <n v="49"/>
        <s v=" 20-"/>
        <n v="69.5"/>
        <n v="63"/>
        <n v="4200"/>
        <n v="576"/>
        <n v="420"/>
        <n v="8676"/>
        <n v="79.34"/>
        <n v="128.25"/>
        <n v="160"/>
        <n v="299"/>
        <n v="1806.77"/>
        <n v="457.23"/>
        <n v="12"/>
        <n v="37"/>
        <n v="8"/>
        <n v="24"/>
        <n v="14"/>
        <n v="145"/>
        <n v="415"/>
        <n v="76"/>
        <n v="1456"/>
        <n v="600"/>
        <n v="42"/>
        <n v="404"/>
        <n v="210"/>
        <m/>
      </sharedItems>
    </cacheField>
    <cacheField name="gift description" numFmtId="0">
      <sharedItems containsBlank="1" containsMixedTypes="1" containsNumber="1" containsInteger="1" minValue="40" maxValue="160" count="567">
        <s v=" oakland a's ticket"/>
        <s v=" dinner"/>
        <s v=" paper weight"/>
        <s v=" gift card to bristol farms"/>
        <s v=" (2) dinner tickets"/>
        <s v=" 2 tickets judges dinner"/>
        <s v=" annual judges dinner"/>
        <s v=" members dinner"/>
        <s v=" 2 tix holiday gala &amp;"/>
        <s v=" swearing-in ceremony"/>
        <s v=" con't education dinner"/>
        <s v=" ocean day reception"/>
        <s v=" dinner @ meeting"/>
        <s v=" meals @ bd. meet"/>
        <s v=" annual judges' night"/>
        <s v=" guest of the mcnally's"/>
        <s v=" at their vacation"/>
        <s v=" time share."/>
        <s v=" meals"/>
        <s v=" meal"/>
        <s v=" meals lodging travel "/>
        <s v=" meals travel expenses"/>
        <s v=" meal travel expenses"/>
        <s v=" award dinner/lodging"/>
        <s v=" annual dinner"/>
        <s v=" free dinner for 2"/>
        <s v=" for 2 @ judges night"/>
        <s v=" trial lawyer"/>
        <s v=" grand prix tickets and"/>
        <s v=" tickets and party"/>
        <s v=" 2 free admission ticket"/>
        <s v=" dinner certificates"/>
        <s v=" legal services"/>
        <s v=" theater ticket"/>
        <s v=" fundraiser ticket"/>
        <s v=" hotel room/1 evening"/>
        <s v=" lunch $25.00"/>
        <s v=" edu. program dinner"/>
        <s v=" vacation w/their family in hawaii"/>
        <s v=" family in hawaii"/>
        <s v=" won a week's story for 4 in hawaii"/>
        <s v=" for 4 in hawaii in rotary raffle."/>
        <s v=" casa"/>
        <s v=" lunch"/>
        <s v=" community dinner"/>
        <s v=" restaurant gift card &amp;"/>
        <s v=" movie tickets"/>
        <s v=" 4 educational dinners"/>
        <s v=" education"/>
        <s v=" dinner at annual mtg. monthly lunch"/>
        <s v=" monthly lunch meeting"/>
        <s v=" app. 8 lunch meetings at 20.00 per"/>
        <s v=" at 20.00 per lunch - app"/>
        <n v="160"/>
        <s v=" i ticket"/>
        <s v=" no price specified for my son estimated approx value $300"/>
        <s v=" lodging/food"/>
        <s v=" judges night dinner"/>
        <s v=" installation of officers"/>
        <s v=" women lawyer lunch"/>
        <s v=" barristers lunch"/>
        <s v=" 2 rounds of golf"/>
        <s v=" ticket to justice rehnquist banquet"/>
        <s v=" nordstrom gift card"/>
        <s v=" card"/>
        <s v=" dinner bakersfield cc"/>
        <s v=" dinner/swearing in"/>
        <s v=" (coach) gift card"/>
        <s v=" attend spring cocktail party"/>
        <s v=" lunch while judging mock court competition"/>
        <s v=" court competition"/>
        <s v=" attend annual judges reception"/>
        <s v=" meals while attending ethics comm."/>
        <s v=" ethics comm. meeting"/>
        <s v=" atkno holiday party"/>
        <s v=" discount on lodging"/>
        <s v=" at beach house"/>
        <s v=" same as above"/>
        <s v=" discount on hotel"/>
        <s v=" lodging"/>
        <s v=" lift tickets"/>
        <s v=" dinner ticket for spouse"/>
        <s v=" dinner including wife"/>
        <s v=" dinner with wine for my wife and myself"/>
        <s v=" meals and lodging at firm retreat (2 nights)"/>
        <s v=" north county print"/>
        <s v=" by jake early"/>
        <s v=" north butte county"/>
        <s v=" courthouse print"/>
        <s v=" champagne"/>
        <s v=" pearl earnings4 necklace"/>
        <s v=" silver ring"/>
        <s v=" dinner at st. patricks day event"/>
        <s v=" monthly ed luncheon"/>
        <s v=" event tickets"/>
        <s v=" meat &amp; nuts"/>
        <s v=" awards dinner"/>
        <s v=" concert tix"/>
        <s v=" snackbeverage &amp; parki"/>
        <s v=" food &amp; bev at"/>
        <s v=" abjict judicial"/>
        <s v=" reception"/>
        <s v=" food + bev. at"/>
        <s v=" jorge arguulles"/>
        <s v=" investiture"/>
        <s v=" food and bev"/>
        <s v=" holiday reception"/>
        <s v=" 2 college football game"/>
        <s v=" tickets with food/drink"/>
        <s v=" in stadium suite"/>
        <s v=" j lakers tickets"/>
        <s v=" gift certificate"/>
        <s v=" blanket"/>
        <s v=" picture frame napkinds"/>
        <s v=" shirt"/>
        <s v=" 1 ticket to bar event"/>
        <s v=" event"/>
        <s v=" ticket to bar event"/>
        <s v=" appreciation event"/>
        <n v="40"/>
        <s v=" meals + reception"/>
        <s v=" hotel - 1 night"/>
        <s v=" refreshments"/>
        <s v=" cocktail reception"/>
        <s v=" xmas party"/>
        <s v=" meal at christmas"/>
        <s v=" party"/>
        <s v=" food at christmas"/>
        <s v=" party reception"/>
        <s v=" 2 tickets to a music concert"/>
        <s v=" tickets (spouse &amp; self)"/>
        <s v=" installation of officers*"/>
        <s v=" meet the judges night*"/>
        <s v=" (dinner ticket provided)"/>
        <s v=" fishing trip"/>
        <s v=" food/"/>
        <s v=" dinner and enter-"/>
        <s v=" tainment"/>
        <s v=" hall of fame dinner "/>
        <s v=" program"/>
        <s v=" champions of justice"/>
        <s v=" bench bar reception"/>
        <s v=" bench bar luncheon"/>
        <s v=" annual dinner program"/>
        <s v=" and entertainment"/>
        <s v=" annual installation"/>
        <s v=" dinner and"/>
        <s v=" entertainment"/>
        <s v=" dinner program and"/>
        <s v=" speaker"/>
        <s v=" dinner program"/>
        <s v=" dinner for my wife and me"/>
        <s v=" parking sass for cal bears men's basketball games"/>
        <s v=" basketball games(total - 8 games)"/>
        <s v=" a pair of gants tickets for one game"/>
        <s v=" game"/>
        <s v=" dinner for my wife &amp; me"/>
        <s v=" a pair of giants tickets for one game"/>
        <s v=" xmas dinner"/>
        <s v=" baseball tx"/>
        <s v=" basketball tickets"/>
        <s v=" dinner &amp; concert"/>
        <s v=" services"/>
        <s v=" baseball tickets"/>
        <s v=" print-new courthouse"/>
        <s v=" wine"/>
        <s v=" autographed cap"/>
        <s v=" desk crystal ball"/>
        <s v=" wall art"/>
        <s v=" annual dinner for past presidents"/>
        <s v=" dodger tickets"/>
        <s v=" teaching/hotel rents"/>
        <s v=" meeting / airplane"/>
        <s v=" meals rehistration"/>
        <s v=" airplanes taxi's &amp; hotels"/>
        <s v=" &amp; registration"/>
        <s v=" art airplane taxi"/>
        <s v=" one football game ticket"/>
        <s v=" tickets to fox event"/>
        <s v=" event (z)tickets to women's lawyers fundraiser"/>
        <s v=" fundraiser"/>
        <s v=" dinner honoring judge hall"/>
        <s v=" bairsters judges lunch probate section"/>
        <s v=" probate sectiongift basket lunch"/>
        <s v=" a's baseball ticket"/>
        <s v=" food beverages"/>
        <s v=" 2 tickets-annual dinner"/>
        <s v=" 1 ticket-annual seminar"/>
        <s v=" kings tickets (4)"/>
        <s v=" dinner-loyola law sch"/>
        <s v=" dinner-tulipano's"/>
        <s v=" tix (6) angel's game"/>
        <s v=" dinner at programbree to judges"/>
        <s v=" lunch at educational program where i was invited to attend"/>
        <s v=" not sure for this.needs to be reported."/>
        <s v=" was a participant in discussion at luncheon."/>
        <s v=" cocktails &amp; hors d' oeuvres at reception free to judges"/>
        <s v=" cocktails + hors d' oeuvres at reception free to judges"/>
        <s v=" luncheon free to judges w/ speaker"/>
        <s v=" attend &quot;mixer&quot; dinner free to invited judges"/>
        <s v=" dinner at program - free to judges"/>
        <s v=" educational lunch free to judges"/>
        <s v=" attend bar assin meeting dinner free to sions"/>
        <s v=" attend joint bar assn meeting between stadium"/>
        <s v=" attend bar assn supreme court night"/>
        <s v=" dinner in connection"/>
        <s v=" with educational pro-"/>
        <s v=" grams; judges receive"/>
        <s v=" dinner- all"/>
        <s v=" family law judicial officers"/>
        <s v=" 4x$30"/>
        <s v=" dinners"/>
        <s v=" holiday dinner"/>
        <s v=" 5x$30"/>
        <s v=" holiday"/>
        <s v=" tickets (250x4)"/>
        <s v=" open house"/>
        <s v=" attended 5 monthly lunch meetings"/>
        <s v=" dinner with aaml members"/>
        <s v=" aaml memebers of which i am a mentor"/>
        <s v=" am a memberwinter annual"/>
        <s v=" courthouse print by "/>
        <s v=" jake early"/>
        <s v=" restaurant gift card"/>
        <s v=" cash"/>
        <s v=" toasting flutes"/>
        <s v=" just married ornaments"/>
        <s v=" bible"/>
        <s v=" book"/>
        <s v=" facial"/>
        <s v=" parking"/>
        <s v=" 6 bottles of wine"/>
        <s v=" two magnums of wine"/>
        <s v=" cal football tickets"/>
        <s v=" gift certificate for"/>
        <s v=" misto lino"/>
        <s v=" meal at &quot;judges night&quot;"/>
        <s v=" 49ers steelers"/>
        <s v=" 4 tickets to wwf event"/>
        <s v=" tuition"/>
        <s v=" judges night"/>
        <s v=" holiday party"/>
        <s v=" use of home"/>
        <s v=" cont bkfst &amp; lunch"/>
        <s v=" community prop"/>
        <s v=" book won in a "/>
        <s v=" raffle @ cja conf"/>
        <s v=" wine as compnstn"/>
        <s v=" for officiating at"/>
        <s v=" a wedding"/>
        <s v=" earley print nbcc"/>
        <s v=" 2 basketball tickets"/>
        <s v=" restaurant gift cert"/>
        <s v=" ticket-kid's turn event"/>
        <s v=" accommodations"/>
        <s v=" and meales"/>
        <s v=" 2 tickets- awards gala"/>
        <s v=" 2 tickets + parking"/>
        <s v=" awards luncheon"/>
        <s v=" holiday luncheon"/>
        <s v=" reception/chief justic"/>
        <s v=" reception/chief judge"/>
        <s v=" installation luncheon"/>
        <s v=" fund raiser luncheon"/>
        <s v=" edu.program dinner"/>
        <s v=" attend annual dinner"/>
        <s v=" meals at board mtg."/>
        <s v=" lunches-see below"/>
        <s v=" bench-bar lunch"/>
        <s v=" exec. com. dinner"/>
        <s v=" concert tickets &amp; food"/>
        <s v=" meals at board retreat"/>
        <s v=" meal at bldg. dedicatio"/>
        <s v=" hotel room"/>
        <s v=" scrapbooking items"/>
        <s v=" dinner ticket"/>
        <s v=" dinner (hall of fame)"/>
        <s v=" dinner-montalvo arts"/>
        <s v=" football ticket"/>
        <s v=" dinner legion of honor"/>
        <s v=" restaurant credit"/>
        <s v=" dinnerinvitation"/>
        <s v=" invitation at centennial"/>
        <s v=" centennial"/>
        <s v=" x-mass party"/>
        <s v=" dinner &amp; awards program"/>
        <s v=" dinner &amp; program"/>
        <s v=" program &amp; dinner"/>
        <s v=" personal and spousal attendance at bar association dinner function"/>
        <s v=" north buttecounm"/>
        <s v=" county"/>
        <s v=" courthouse"/>
        <s v=" 4 baseball tickets"/>
        <s v=" 4 football tickets"/>
        <s v=" 1 baseball ticket"/>
        <s v=" toy/film prop"/>
        <s v=" clothing"/>
        <s v=" tickets / dinner"/>
        <s v=" lunch dinner"/>
        <s v=" vacation home"/>
        <s v=" airplane ride"/>
        <s v=" hourglass"/>
        <s v=" football game ticket"/>
        <s v=" dinner meeting"/>
        <s v=" baseball ticket"/>
        <s v=" performance gift cards"/>
        <s v=" food"/>
        <s v=" mission gula"/>
        <s v=" seminar"/>
        <s v=" probate section family law section lunch"/>
        <s v=" seminars"/>
        <s v=" dinner - judge's night"/>
        <s v=" ballgame"/>
        <s v=" dinner- ballgame"/>
        <s v=" usc football tickets"/>
        <s v=" tickets"/>
        <s v=" leather journal"/>
        <s v=" ticket to annual dinner"/>
        <s v=" gavel"/>
        <s v=" tote bag"/>
        <s v=" cookbook"/>
        <s v=" attend alumni event"/>
        <s v=" litigation sec.dinner"/>
        <s v=" meals at graduation"/>
        <s v=" dinner at board mtg. "/>
        <s v=" attend board dinner"/>
        <s v=" dinner judge's night"/>
        <s v=" 2 tickets christmas"/>
        <s v=" awards banquet"/>
        <s v=" dinner oc women"/>
        <s v=" lawyers annual dinner"/>
        <s v=" tustiin mayor's breakfst"/>
        <s v=" chargers ticket"/>
        <s v=" son's b-day"/>
        <s v=" daughter's b-day"/>
        <s v=" daughters b-day"/>
        <s v=" 1 bottle of wine"/>
        <s v=" various items of law school items (i.e. pen coffee cup; sweat shirt "/>
        <s v=" coffee cup; sweat ahert"/>
        <s v=" law firm retreat"/>
        <s v=" charity dinner ticket"/>
        <s v=" holiday party dinner"/>
        <s v=" 3 bottles sofia wine"/>
        <s v=" right (raffle prize)"/>
        <s v=" concert ticket"/>
        <s v=" gift card"/>
        <s v=" pen"/>
        <s v=" judge's dinner ticket"/>
        <s v=" 1preseason game"/>
        <s v=" ticket/ refreshments"/>
        <s v=" scarf"/>
        <s v=" plaque meal"/>
        <s v=" luncheon admission"/>
        <s v=" artists rendering"/>
        <s v=" non-profit fundraiser tix"/>
        <s v=" santa claus inc. dine"/>
        <s v=" santa claus dinner"/>
        <s v=" dinner at holiday party"/>
        <s v=" with 250+ guests"/>
        <s v=" dinner at party for non-"/>
        <s v=" profit heritage point"/>
        <s v=" installation of officers cocktail party"/>
        <s v=" mcle day lunch"/>
        <s v=" women lawyers awards lunch"/>
        <s v=" speech to group lunch"/>
        <s v=" judges night + dinner"/>
        <s v=" barristers annual lunch"/>
        <s v=" diversity event cocktails appetizers"/>
        <s v=" speech w/ lunch"/>
        <s v=" women lawyers xmas lunch"/>
        <s v=" family law xmas lunch"/>
        <s v=" speech lunch-delisandwich"/>
        <s v=" judge of the year dinner"/>
        <s v=" gift certificate dewz restaurant"/>
        <s v=" cork holder"/>
        <s v=" meals @ cle events"/>
        <s v=" artwork"/>
        <s v=" padres ballgame"/>
        <s v=" basketball game"/>
        <s v=" fam. law rev course"/>
        <s v=" hors d'oeuvres"/>
        <s v=" 2 preseason tickets + parking"/>
        <s v=" san mateo historical association dinner ticket"/>
        <s v=" dinner ticket honoring retireddistrict attorneys"/>
        <s v=" district attorneyÂ´s keith c. sorenson james p. fox"/>
        <s v=" judges lunch"/>
        <s v=" tickets &amp; food"/>
        <s v=" bar installation"/>
        <s v=" family law lunch"/>
        <s v=" lunch honoring bench"/>
        <s v=" dinner honoring bench"/>
        <s v=" cocktails (for 2)"/>
        <s v=" luncheon"/>
        <s v=" dinner (for 2)"/>
        <s v=" 2dinners"/>
        <s v=" charity dinner"/>
        <s v=" installation reception"/>
        <s v=" giant's game"/>
        <s v=" play ticket to &quot; hair&quot;"/>
        <s v=" judges' reception"/>
        <s v=" party &amp; lodging"/>
        <s v=" group dinner"/>
        <s v=" dinner for my wife"/>
        <s v=" and me for performing"/>
        <s v=" wedding"/>
        <s v=" dinners @ quarterly"/>
        <s v=" quarterly meetings"/>
        <s v=" lunches dinners receptions"/>
        <s v=" receptionswhere i was nota speaker"/>
        <s v=" a speaker/presenter"/>
        <s v=" judges night/awards night"/>
        <s v=" awards night"/>
        <s v=" banquet"/>
        <s v=" tie"/>
        <s v=" judges night/instalation of officers"/>
        <s v=" installation ofofficers"/>
        <s v=" board meetings+ education programs"/>
        <s v=" programs advisory board member parricipant on board advisor"/>
        <s v=" participant on board advisor"/>
        <s v=" past pres. board metting"/>
        <s v=" seminar/meeting"/>
        <s v=" laker game"/>
        <s v=" st. pat. reception"/>
        <s v=" foodbeverages at social event"/>
        <s v=" at social event"/>
        <s v=" 2 opera tickets"/>
        <s v=" visalia annual dinner"/>
        <s v=" wine &amp; cheese basket"/>
        <s v=" &amp; gift certificate"/>
        <s v=" overnight stay in moterey"/>
        <s v=" candy &amp; ornament"/>
        <s v=" religious icon"/>
        <s v=" book of psalms"/>
        <s v=" candy &amp; wine"/>
        <s v=" relgious icon &amp;"/>
        <s v=" prayer bookley"/>
        <s v=" crystal cross"/>
        <s v=" old testament"/>
        <s v=" two ties"/>
        <s v=" plaque"/>
        <s v=" cigar cutter/ligh"/>
        <s v=" clock"/>
        <s v=" art"/>
        <s v=" picture frame"/>
        <s v=" ancient coin"/>
        <s v=" stamp collection"/>
        <s v=" judicial robe"/>
        <s v=" letter opener"/>
        <s v=" statue"/>
        <s v=" engraved pen"/>
        <s v=" card holder"/>
        <s v=" quilt from raffle"/>
        <s v=" baseball tickets (2)"/>
        <s v=" dinner seminar euest"/>
        <s v=" dinner-seminar-guest"/>
        <s v=" baseball ticket(1)"/>
        <s v=" dinner-past"/>
        <s v=" presidents"/>
        <s v=" holiday dinner party (2) tickets"/>
        <s v=" enrobing ceremony"/>
        <s v=" toshiba golf ticket"/>
        <s v=" pro rata share of"/>
        <s v=" dinner for judges'"/>
        <s v=" night"/>
        <s v=" attend dinner at state bar convention"/>
        <s v=" attend alumni reception"/>
        <s v=" book/o'connors ca"/>
        <s v=" practice civil pretrial "/>
        <s v=" scholarship"/>
        <s v=" registration fee"/>
        <s v=" annual conference"/>
        <s v=" ljbtc dinner"/>
        <s v=" usd alumni awards"/>
        <s v=" usd law alum. lunch"/>
        <s v=" abota dinner"/>
        <s v=" 4 concert tickets"/>
        <s v=" 2 concert tickets"/>
        <s v=" hotel room and meals"/>
        <s v=" attendance at retreat"/>
        <s v=" cle/bd mtgdinners"/>
        <s v=" restaurant dinner"/>
        <s v=" annual luncheon"/>
        <s v=" dinner meeting &amp; program"/>
        <s v=" annual judges' dinner"/>
        <s v=" jt bd retreat travel reimbursement yosemite ca"/>
        <s v=" lunch program"/>
        <s v=" employment law section seminar travel reimbursement for participating as a panelist"/>
        <s v=" gala dinner yosemmite"/>
        <s v=" annual seminar jt bd meeting travel and lodging expenses santa barbara ca"/>
        <s v=" travel reimbursement for participation as panelist philadelphia pa"/>
        <s v=" cowboy hat"/>
        <s v=" t shirt"/>
        <s v=" belt buckle"/>
        <s v=" walking stick"/>
        <s v=" bsa books"/>
        <s v=" name tags"/>
        <s v=" hand carved caricature"/>
        <s v=" statute of boy scout"/>
        <s v=" leader"/>
        <s v=" two tickets usc trojan football game - home."/>
        <s v=" game-home"/>
        <s v=" dinner following football game"/>
        <s v=" football game"/>
        <s v=" 1/2 of new"/>
        <s v=" apple i-pad"/>
        <s v=" ttwo"/>
        <s v=" frute cake"/>
        <s v=" brothers &amp; nubil soft candy"/>
        <s v=" royal wcrolus"/>
        <s v=" cup"/>
        <s v=" two blue cheeses"/>
        <s v=" cheeses"/>
        <s v=" pears"/>
        <s v=" egg nog +"/>
        <s v=" olliuc's"/>
        <s v=" starbucks card"/>
        <s v=" maper syspar"/>
        <s v=" ammonds"/>
        <s v=" =1/2 of new"/>
        <s v=" apple i pad ii"/>
        <s v=" basketball game ticket"/>
        <s v=" lunch-speaking at mtg."/>
        <s v=" sharks hockey ticket"/>
        <s v=" ticket"/>
        <s v=" instalustion"/>
        <s v=" durges nita"/>
        <s v=" judgeslunch"/>
        <s v=" jinger dinner"/>
        <s v=" entry fee for marathon"/>
        <s v=" k-swiss shoes"/>
        <s v=" ticket to alameda county food bank"/>
        <s v=" county food bank event"/>
        <s v=" ticket to mlic lunch"/>
        <s v=" desk clock retirement gift"/>
        <s v=" retirement gift"/>
        <s v=" ticket to ca"/>
        <s v=" supreme court lunch"/>
        <s v=" discount on use of vacation home"/>
        <s v=" round of golf"/>
        <s v=" discounts to people who played golf with me"/>
        <s v=" golf tournament entry"/>
        <s v=" tickets to concert"/>
        <s v=" dinners (2011)"/>
        <s v=" holiday program"/>
        <s v=" ed. program dinner"/>
        <s v=" dinner at christmas party"/>
        <s v=" more tickets (2)"/>
        <s v=" cold springs golf"/>
        <s v=" casablanca event"/>
        <s v=" barristers ball tickets"/>
        <s v=" crab feed ticket"/>
        <s v=" lake tahoe event"/>
        <s v=" dinner for 2"/>
        <s v=" football ticket/parking"/>
        <s v=" food at meetings"/>
        <s v=" 2 dinners at hispanic alumni of usc"/>
        <s v=" i r/t ticket"/>
        <s v=" to wash d. c."/>
        <s v=" on behalf of latino advocates for bd inc"/>
        <s v=" angel's"/>
        <s v=" baseball"/>
        <s v=" 2 dinner"/>
        <s v=" tickets to"/>
        <s v=" hisp. ed. end. fund event."/>
        <s v=" 2dinner"/>
        <s v=" won tickets for catalina jazz festival"/>
        <m/>
      </sharedItems>
    </cacheField>
    <cacheField name="judge name" numFmtId="0">
      <sharedItems containsBlank="1" count="227">
        <s v="patrick john zika"/>
        <s v="charlotte walter woolard"/>
        <s v="norvell frederick (fred) woods jr."/>
        <s v="garrett lee wong"/>
        <s v="mary e. wiss"/>
        <s v="rebecca ann wiseman"/>
        <s v="peter john wilson"/>
        <s v="william g. willett"/>
        <s v="stephen w. white"/>
        <s v="marie s weiner"/>
        <s v="james l. waltz"/>
        <s v="brian connor walsh"/>
        <s v="judith ann vander lans"/>
        <s v="ingrid adamson uhler"/>
        <s v="patrick eugene tondreau"/>
        <s v="leland herbert tipton"/>
        <s v="jon steven tigar"/>
        <s v="trina lynn thompson stanley"/>
        <s v="sandra ann thompson"/>
        <s v="donna l. tarter"/>
        <s v="ariadne  symons"/>
        <s v="virgil raymond swope iii"/>
        <s v="donald james sullivan"/>
        <s v="richard k sueyoshi"/>
        <s v="ronald l styn"/>
        <s v="nancy wieben stock"/>
        <s v="william david stewart"/>
        <s v="thomas r sokolov"/>
        <s v="clay m. smith"/>
        <s v="clandia  silbar"/>
        <s v="norm j. shapiro"/>
        <s v="gerald  sevier"/>
        <s v="joseph c. scott"/>
        <s v="tam bk schumann"/>
        <s v="mury fingal schulte"/>
        <s v="stephen d. schuett"/>
        <s v="brian d saunders"/>
        <s v="glenda (none)deputy sanders"/>
        <s v="john steven salazar"/>
        <s v="ignazio john ruvolo"/>
        <s v="michael joseph rushton"/>
        <s v="jeffrey steven ross"/>
        <s v="ronald boyd robie"/>
        <s v="armand james robertson ii"/>
        <s v="barbara louise roberts (aka schill)"/>
        <s v="james francis reilley"/>
        <s v="margaret a powers"/>
        <s v="david edwin power"/>
        <s v="lynn m poncin"/>
        <s v="nancy a pollard"/>
        <s v="cheri thi pham"/>
        <s v="james m petrucelli"/>
        <s v="ioana  petrou"/>
        <s v="steven zalkind perren"/>
        <s v=" g perkins"/>
        <s v="rosendo  pena"/>
        <s v="yvette marie palazuelos"/>
        <s v="annemarie georgina pace"/>
        <s v="yolanda  orozco"/>
        <s v="delbert william oros"/>
        <s v="george l orndoff"/>
        <s v="robert harocn oliver"/>
        <s v="joanne b. o'donnell"/>
        <s v="lisa a novak"/>
        <s v="john nho trong nguyen"/>
        <s v="william renwickjr nevitt"/>
        <s v="maren e. nelson"/>
        <s v="kirk haruo nakamura"/>
        <s v="vernon k. nakshara"/>
        <s v="mary ann  murphy"/>
        <s v="john edgar munter"/>
        <s v="gregory (nmn) munoz"/>
        <s v="richard mitchell mosk 12 feb 23"/>
        <s v="tamara lynn mosbarger"/>
        <s v="ann carole moorman 12 feb 29"/>
        <s v="john michael monterosso"/>
        <s v="stephen m. moloney"/>
        <s v="anthony j mohr"/>
        <s v="james m. mize"/>
        <s v="george antony miram"/>
        <s v="lawrence joseph mira lawrence"/>
        <s v="r carlton seaver"/>
        <s v="rita j. miller"/>
        <s v="maria j. miller"/>
        <s v="linda l. miller"/>
        <s v="franz e. miller"/>
        <s v="douglas paul miller"/>
        <s v=" s.rula dalief millard mark"/>
        <s v="kimberly kay menninger"/>
        <s v="sandra lynn mclean"/>
        <s v="james a mcintyre"/>
        <s v="john david mazurek"/>
        <s v="cindee f mayfield"/>
        <s v="victor david martinez"/>
        <s v="marc  marmaro"/>
        <s v="linda s deputy marks"/>
        <s v="paul mario marigonda"/>
        <s v="sandra lynn margulies"/>
        <s v="charles bf margnes"/>
        <s v="peter  manoukian socrater pe"/>
        <s v="nora m. manella"/>
        <s v="steven curtis malone"/>
        <s v="barbara j. mallach"/>
        <s v="clare marie maier"/>
        <s v="patrick john mahoney"/>
        <s v="thomas michael maddock"/>
        <s v="cynthia ann ludvigsen"/>
        <s v="kristen a. lucena"/>
        <s v="goodwin h. liu"/>
        <s v="michael bruce lewis"/>
        <s v="margo lynn lewis"/>
        <s v="jo-lynne quong lee"/>
        <s v="elizabeth k lee"/>
        <s v="james t. laporte"/>
        <s v="carolyn barbara kuhl"/>
        <s v="elisabeth b. krant"/>
        <s v="james paul kleinberg"/>
        <s v="peter h kirwan"/>
        <s v="richard milton king"/>
        <s v="charlene  kiesselbach"/>
        <s v="dennis james keough"/>
        <s v="clare  keithley"/>
        <s v="steven michael katz"/>
        <s v="curtis e.a. karnow"/>
        <s v="jonathan e. karesh"/>
        <s v="kristi culver kapetan"/>
        <s v="upinder singh kalra"/>
        <s v="joy r  jones barbara"/>
        <s v="gary michael johnson"/>
        <s v="james fisher iwasko"/>
        <s v="  ito lance a."/>
        <s v="john h. ing"/>
        <s v="raymond john ikola"/>
        <s v="efren nasol iglesia"/>
        <s v="lon f hurwitz"/>
        <s v="w  hunt desek"/>
        <s v="kim  hubbard"/>
        <s v="john  howell steven"/>
        <s v="harold wayne hopp"/>
        <s v="ralph c. hofer ralph"/>
        <s v="andrea lynn hoch"/>
        <s v="elizabeth michelle hill"/>
        <s v="william foster highberger"/>
        <s v="lloyd l. hicks"/>
        <s v="campaign finance  hess robert l."/>
        <s v="martin larry herscovitz"/>
        <s v="david vincent herriford"/>
        <s v="larry e hayes"/>
        <s v="sheila fairchild hanson"/>
        <s v="louis r hanoian"/>
        <s v="jeffrey y jr hamilton"/>
        <s v="judith l haller"/>
        <s v="henry j hall"/>
        <s v="james kenneth hahn"/>
        <s v="helena r. gweon"/>
        <s v="denine jeness guy"/>
        <s v="michael stuart groch"/>
        <s v="evelio martin grillo"/>
        <s v="john leo grandsaert"/>
        <s v="dianna joy gould-saltman"/>
        <s v="  gordon scott m."/>
        <s v="beatriz maria garcia gordon"/>
        <s v="robert alan glusman"/>
        <s v="delbert c. gee"/>
        <s v="thomas steven garza"/>
        <s v="donna gunnell garza"/>
        <s v="richard david fybel"/>
        <s v="beth labson freeman"/>
        <s v="john daniel freeland"/>
        <s v="robert brandies freedman"/>
        <s v="ronald f frazier"/>
        <s v="don r franchi"/>
        <s v="mark richard forcum"/>
        <s v="robert d foiles"/>
        <s v="david bernard flinn"/>
        <s v="susan lrene etezadi"/>
        <s v="charles william ervin"/>
        <s v="norman l. epstein"/>
        <s v="lee smalley edmon"/>
        <s v="steven lawrence dylina"/>
        <s v="kim garlin dunning"/>
        <s v="james j. di cesare"/>
        <s v="francis michael devaney"/>
        <s v="tara michele desautels"/>
        <s v="thomas  desantos"/>
        <s v="peter c. deddeh"/>
        <s v="leland  davis iii"/>
        <s v="jac a crawford"/>
        <s v="steven g counelis"/>
        <s v="rebecca  connolly"/>
        <s v="thierry patrick colaw"/>
        <s v="william d. claster"/>
        <s v="deborah jane chuang"/>
        <s v="rene auguste chouteau"/>
        <s v="vincent j. chiarello"/>
        <s v="michaela p. candela"/>
        <s v="yvonne esperanza campos"/>
        <s v="carolyn m caietti"/>
        <s v="carlos a. cabrera"/>
        <s v="christine  byrd"/>
        <s v="peter  busch"/>
        <s v="shane  burns robert"/>
        <s v="gerald j. buchwald"/>
        <s v="david ira brown"/>
        <s v="steven a. brick"/>
        <s v="jeffrey stanley bostwick"/>
        <s v="terry a. bork"/>
        <s v="franklin e bondonno"/>
        <s v="james n. bianco"/>
        <s v="stephen wolfgang berrier"/>
        <s v="joseph eugene bergeron"/>
        <s v="stephen e. benson"/>
        <s v="teresa s. bennett"/>
        <s v="michael isaku begert"/>
        <s v="william w bedsworth"/>
        <s v="william  barry"/>
        <s v="steven d barnes"/>
        <s v="andrew patrick banks"/>
        <s v="steven clifford bailey"/>
        <s v="monica  bachner"/>
        <s v="mark vernon bacciarini"/>
        <s v="donald j. ayoob"/>
        <s v="james patrick arguelles"/>
        <s v="gail udreama andler"/>
        <s v="frederick p aguirre"/>
        <s v="karen monique ackerson-brazille"/>
        <m/>
      </sharedItems>
    </cacheField>
    <cacheField name="donor name" numFmtId="0">
      <sharedItems containsBlank="1" count="475">
        <s v=" richard white"/>
        <s v=" san francisco trial lawyers assn"/>
        <s v=" christopher &amp; lexi lahera   dirk &amp; lynn moyer"/>
        <s v=" san francisco trial lawyer's association"/>
        <s v=" san francisco trial lawyers association"/>
        <s v=" queen's bench"/>
        <s v=" american board of trial advocates"/>
        <s v=" association of business trial lawyers"/>
        <s v=" monterey bay aquarium"/>
        <s v=" south bay bar association of los angeles county"/>
        <s v=" ray and jan mcnally"/>
        <s v=" california judges association"/>
        <s v=" san mateo county bar association"/>
        <s v=" american academy of matrimonial lawyers"/>
        <s v=" sccba"/>
        <s v=" shea &amp; shea- law offices of"/>
        <s v=" keesal young &amp; logan"/>
        <s v=" knott's berry farm"/>
        <s v=" ryan park &amp; family"/>
        <s v=" daniel a. nardoni"/>
        <s v=" debra farb"/>
        <s v=" james donato"/>
        <s v=" california county boards of education"/>
        <s v=" carl cappozzola"/>
        <s v=" kings county bar association"/>
        <s v=" *abtl (c/o mccormick barstow)"/>
        <s v=" jim &amp; barbara thompson"/>
        <s v=" miles miracle/ rotary"/>
        <s v=" san mateo county trial lawyers association"/>
        <s v=" italian american bar assn"/>
        <s v=" sacramento asian pacific chamber of commerce"/>
        <s v=" edwin prather"/>
        <s v=" san diego apartment brokers"/>
        <s v=" association business trial lawyers-abtl"/>
        <s v=" consumer attorneys of california"/>
        <s v=" girardi keese"/>
        <s v=" south bay bar association"/>
        <s v=" orange county bar ass'n"/>
        <s v=" same as above"/>
        <s v=" ocba - fl section"/>
        <s v=" matrimonial lawyers-aaml"/>
        <s v=" los angeles lakers"/>
        <s v=" robert brown"/>
        <s v=" san mateo county trial lawyers"/>
        <s v=" don and clara urie"/>
        <s v=" kevin s. burke"/>
        <s v=" contacts of orange county 12572 hinton way santa ana ca"/>
        <s v=" independent oil producers agency"/>
        <s v=" san bernardino police officer's association"/>
        <s v=" aptos high school mock trial team"/>
        <s v=" acctla"/>
        <s v=" hastings college of the law"/>
        <s v=" barristers club of s.f."/>
        <s v=" california judges assn"/>
        <s v=" contra costa bar family law sec."/>
        <s v=" darrel payne"/>
        <s v=" courtney van tress"/>
        <s v=" deanne gescheider"/>
        <s v=" american board of trial advocates (abota)"/>
        <s v=" michel &amp; jennifer berline"/>
        <s v=" george breed"/>
        <s v=" *howard rice nemerovski canady falk &amp; rabkin pc"/>
        <s v=" tate snyder kimsey"/>
        <s v=" michael o'rourke"/>
        <s v=" lee &amp; carol cribb"/>
        <s v=" santa clara university"/>
        <s v=" dda karen khim"/>
        <s v=" sean o'connor"/>
        <s v=" orange county bar association"/>
        <s v=" orange county bar assoc. family law section"/>
        <s v=" orange county bar assoc. - family law section"/>
        <s v=" orange county bar assoc._family law section"/>
        <s v=" dave wood"/>
        <s v=" alameda contra costra trial lawyers association"/>
        <s v=" tom herman"/>
        <s v=" wilke fleury hoffelt gould &amp; birney llp"/>
        <s v=" abota sacramento chapter"/>
        <s v=" stevens &amp; o'connell llp"/>
        <s v=" cap. city trial lawyers"/>
        <s v=" john welty"/>
        <s v=" judicate west - adr"/>
        <s v=" court staff"/>
        <s v=" rochelle keogh"/>
        <s v=" jones day"/>
        <s v=" bryan college"/>
        <s v=" cal state university fresno"/>
        <s v=" california judges ass'n"/>
        <s v=" san mateo county bar assoc"/>
        <s v=" josh bentley"/>
        <s v=" robinson calcaignie robinson"/>
        <s v=" wylie aitken"/>
        <s v=" otto feld"/>
        <s v=" los angeles county bar association"/>
        <s v=" beverly hills bar association"/>
        <s v=" oc bar assn."/>
        <s v=" ken +judy oda"/>
        <s v=" almeda county law library"/>
        <s v=" griardi keese 1126 wilshire blvd. la ca 90017"/>
        <s v=" ass'n. of southern california defense counsel"/>
        <s v=" girardi keese 1126 wilshire blvd. la ca 90017"/>
        <s v=" loyola law school 919 albany street"/>
        <s v=" american board of trial advocates 5567 reseda"/>
        <s v=" chancery club c/o harry hathaway fulbright &amp; jaw-"/>
        <s v=" consumer attorneys association of los angeles 800"/>
        <s v=" los angeles county bar association 1055 w. 7th st."/>
        <s v=" association of corporate counsel so. cal. 777 so."/>
        <s v=" thomas h. gillespie jr. gillespie robinson &amp; grimm inc"/>
        <s v=" richard and lorrie greene"/>
        <s v=" herm and james howerton"/>
        <s v=" edward*marguerite middendorf 2 south ridge east"/>
        <s v=" alfred chiantelli (ret. judge)"/>
        <s v=" alex saldamando (ret.judge)"/>
        <s v=" mark robinson"/>
        <s v=" frances and loren rothschild"/>
        <s v=" leo wyler"/>
        <s v=" alan isaacman"/>
        <s v=" michael sanders"/>
        <s v=" richard blake"/>
        <s v=" joe sugarman"/>
        <s v=" theo epstein"/>
        <s v=" mcfadden vineyards"/>
        <s v=" anthony agnello"/>
        <s v=" hemet/san jacinto bar association"/>
        <s v=" jim &amp; diane gilmartin"/>
        <s v=" assoc. of so. calif. defense counsel"/>
        <s v=" maxter &amp; co"/>
        <s v=" california judges assoc/california judges foundation"/>
        <s v=" anthony m.kennedy ami of court"/>
        <s v=" california judges foundation"/>
        <s v=" san francisco 49ers football club"/>
        <s v=" elizabeth hill"/>
        <s v=" san mateo county bar assn."/>
        <s v=" kathesine gallo"/>
        <s v=" state of california/los angeles superior court"/>
        <s v=" consumer attorneys of los angeles"/>
        <s v=" association of so. california defense counsel"/>
        <s v=" john tyre"/>
        <s v=" michael and jeanette bidart c/o shernoff bidart &amp; ech"/>
        <s v=" hon. sam cianchetti"/>
        <s v=" var fox judicate west"/>
        <s v=" consumer attys assn of los angeles"/>
        <s v=" california employment lawyers ass'n."/>
        <s v=" assn. g so. cal. defense counsel"/>
        <s v=" korean community lawyer's assn."/>
        <s v=" ass'n of business trial lawyers"/>
        <s v=" italian american lawyers/presdident tom girardi"/>
        <s v=" association of business trial lawyers-n. cal chapter"/>
        <s v=" american accdemy d"/>
        <s v=" assn of business trial lawyers"/>
        <s v=" mark p. robinson jr."/>
        <s v=" or.co.trial lawyers assn"/>
        <s v=" or. co. women lawyers assn"/>
        <s v=" desert town hall series"/>
        <s v=" rcrsd inland empire office"/>
        <s v=" family law section of o/c box"/>
        <s v=" so ca chapterg aaml"/>
        <s v=" mary lynn coffee"/>
        <s v=" loyola law school"/>
        <s v=" tony &amp; anne spitzberg"/>
        <s v=" kristin cain and lisa stephens"/>
        <s v=" bruce and jane brown"/>
        <s v=" hon. and mrs. michael smith"/>
        <s v=" linda earnest"/>
        <s v=" jim and leisha hendrix"/>
        <s v=" hon. annemarie pace and stacy poston"/>
        <s v=" hon. john and renee vanderfeer"/>
        <s v=" rick and brenda elia"/>
        <s v=" jennifer boros"/>
        <s v=" layne and beth bartholomew"/>
        <s v=" kathy sellers"/>
        <s v=" sarah garcia"/>
        <s v=" deborah thompson"/>
        <s v=" jennifer poland"/>
        <s v=" steve and mariloli stolarz"/>
        <s v=" robert and jennifer burton"/>
        <s v=" steve and karen neyses"/>
        <s v=" cynthia garcia"/>
        <s v=" don and connie ozburn"/>
        <s v=" david scott salon &amp; spa"/>
        <s v=" shar franklin"/>
        <s v=" danjaq llc"/>
        <s v=" bruce jeffer"/>
        <s v=" robinsoncalcagnie&amp;robinson"/>
        <s v=" anders torgerson"/>
        <s v=" see attached"/>
        <s v=" delvin williams"/>
        <s v=" brian hennigan"/>
        <s v=" the rutter group"/>
        <s v=" majeed samara"/>
        <s v=" josh bentley eric hove j. mcdougall"/>
        <s v=" alameda/contra costa trial lawyers association"/>
        <s v=" matthew davis"/>
        <s v=" thomson-reuters/west"/>
        <s v=" ashley &amp; jeffrey landsberg"/>
        <s v=" tate syder kimsey"/>
        <s v=" ceci evangelista-stanford university"/>
        <s v=" kern county bar association"/>
        <s v=" mr. daniel saso"/>
        <s v=" stephen j wagner"/>
        <s v=" george masoole law &amp; economic's ctr"/>
        <s v=" organization of chinese americans/san mateo"/>
        <s v=" san mateo county fair"/>
        <s v=" san mateo county bar assocaition/women's section"/>
        <s v=" san mateo county bar association/diversity comm"/>
        <s v=" san mateo county bar association/barristers section"/>
        <s v=" legal aid society of san mateo county"/>
        <s v=" queens bench"/>
        <s v=" angel island immigration station foundation"/>
        <s v=" **abtl (c/o weakley &amp; arendt llp)"/>
        <s v=" consumer attorneys ass'n of los angeles"/>
        <s v=" claremont mckenna college (cont."/>
        <s v=" la county bar ass'n"/>
        <s v=" judge rex heeseman"/>
        <s v=" claremont mckenna college"/>
        <s v=" koyoto hotel"/>
        <s v=" soroptomist club/among friends"/>
        <s v=" santa clara county trial lawyers' association"/>
        <s v=" state bar of california - section of litigation"/>
        <s v=" mr. &amp; mrs george marcus"/>
        <s v=" daniel cooperman"/>
        <s v=" mr. &amp; mrs. george marcus"/>
        <s v=" mr. &amp; mrs. nicholas palatucci"/>
        <s v=" tech museum of silicon valley"/>
        <s v=" garden court hotel"/>
        <s v=" chris schumb esq."/>
        <s v=" robinson calcagine robinson"/>
        <s v=" san francisco laraza association"/>
        <s v=" queen's bench bar association"/>
        <s v=" culitarnia women lawyers"/>
        <s v=" golden gate university law school"/>
        <s v=" sean. k. mcnally"/>
        <s v=" thomas s. clark"/>
        <s v=" sean k. mcnally"/>
        <s v=" b. scott winkler"/>
        <s v=" glen stormer"/>
        <s v=" queens' berch"/>
        <s v=" jay holland"/>
        <s v=" judge thomas m. smith (ret)"/>
        <s v=" dreyer babich buccola wood llp"/>
        <s v=" james kang"/>
        <s v=" assoc. of business trial lawyers"/>
        <s v=" italian american bar assoc of n ca"/>
        <s v=" blake shannon"/>
        <s v=" jim johnson"/>
        <s v=" steve will"/>
        <s v=" ruth archie"/>
        <s v=" dr. richard glimp"/>
        <s v=" don tahara"/>
        <s v=" c. robert jameson"/>
        <s v=" pearl band"/>
        <s v=" orange county trial lawyers assoc"/>
        <s v=" academy of matrimonial lawyers"/>
        <s v=" aitken aitken &amp; cohn"/>
        <s v=" robinson cazgagnie + robinson"/>
        <s v=" orange county bar assoc."/>
        <s v=" orange county jewish bar assoc."/>
        <s v=" celtic bar assoc"/>
        <s v=" assoc. of bus. trial lawyers"/>
        <s v=" uci school of law"/>
        <s v=" o.c. bar assoc - fam. law sectio"/>
        <s v=" hon. janet siegel"/>
        <s v=" am. board of trial advocates"/>
        <s v=" aaml"/>
        <s v=" afcc"/>
        <s v=" orange county bar assoc"/>
        <s v=" michelle west atty"/>
        <s v=" attorney's briefcase seminars"/>
        <s v=" bond services of ca"/>
        <s v=" desert bar assn"/>
        <s v=" bill greene"/>
        <s v=" mcgeorge school of law"/>
        <s v=" san mateo county trial lawyers' association"/>
        <s v=" charlie huang"/>
        <s v=" baker street advisors"/>
        <s v=" vintners' collective"/>
        <s v=" duke law school"/>
        <s v=" claremont mckenna college (cont.)"/>
        <s v=" rand institute for civil justice"/>
        <s v=" abota"/>
        <s v=" american board of trial advocates los angeles chapter 5567 reseda blvd."/>
        <s v=" san fernando valley bar association"/>
        <s v=" dr. rodney collins"/>
        <s v=" tom jamison and paula robinson"/>
        <s v=" north orange county bar association"/>
        <s v=" keller rackauckas llp"/>
        <s v=" guy halgren"/>
        <s v=" traci kerkorian"/>
        <s v=" paul &amp; toni lerandeau"/>
        <s v=" steve &amp; elana smith"/>
        <s v=" greg &amp; ann mason"/>
        <s v=" dean steve smith &amp; california western school of law"/>
        <s v=" allenmatkinsleckgamblemallory&amp;natsis"/>
        <s v=" richard zacky c/o allen matkins et. al"/>
        <s v=" jonathan club c/o allen matkins et. al."/>
        <s v=" dickinson college"/>
        <s v=" delson investment company"/>
        <s v=" sharif jewelers"/>
        <s v=" joseph werner aptos ca"/>
        <s v=" valerie tanney &amp; michael cardenas"/>
        <s v=" bill silva"/>
        <s v=" alameda coutra costa trial lawyers"/>
        <s v=" san francisco 49'ers"/>
        <s v=" visiting chinese judge's delegation"/>
        <s v=" orange county bar association/family law section"/>
        <s v=" orange county bar association/ family law section"/>
        <s v=" dianne yamashiro"/>
        <s v=" dan jimenez"/>
        <s v=" robinson calcagnie robinson shapiro davisinc."/>
        <s v=" hildee brahm"/>
        <s v=" november 10th assn. informal org. of u.s. marines"/>
        <s v=" association of business trial lawyer"/>
        <s v=" sf defense attorneys"/>
        <s v=" kiwanis club of san mateo"/>
        <s v=" elizabeth + david pechota"/>
        <s v=" roni &amp; randy kent"/>
        <s v=" abtl"/>
        <s v=" art and polly jones"/>
        <s v=" james spievak"/>
        <s v=" peter smits"/>
        <s v=" brian dunn"/>
        <s v=" bill dietz"/>
        <s v=" kyle frazier"/>
        <s v=" attorney's briefcaseinc"/>
        <s v=" san mateo county bar assn"/>
        <s v=" san mateo county bar assn. (cont.)"/>
        <s v=" san mateo county trial lawyers assn. "/>
        <s v=" american academy of matrimonial lawyers no. cal."/>
        <s v=" san francisco 49ers"/>
        <s v=" san mateo county barristers"/>
        <s v=" san mateo county trial lawyers assn"/>
        <s v=" san mateo county women lawyers"/>
        <s v=" university of california"/>
        <s v=" avery fuller welch foundation"/>
        <s v=" patrick dare"/>
        <s v=" martin dare"/>
        <s v=" eukel foundation"/>
        <s v=" wilmer hale law firm"/>
        <s v=" curtis roe"/>
        <s v=" iranian american bar association north. chapter"/>
        <s v=" wilcoxen callahamllp"/>
        <s v=" counsumer attes of las angeles"/>
        <s v=" voryssaterseymour &amp; pease llp"/>
        <s v=" american general life insurance company"/>
        <s v=" advanced discovery"/>
        <s v=" allison s. reichert"/>
        <s v=" assn. of business trial lawyers"/>
        <s v=" orange county bar assn"/>
        <s v=" public law center"/>
        <s v=" allisin lee"/>
        <s v=" wayne &amp; canty law center"/>
        <s v=" robinson calgagne robinson"/>
        <s v=" orange county bar ass"/>
        <s v=" american business trial lawyers ass."/>
        <s v=" orange county trial lawyers ass."/>
        <s v=" adrienne vargas san diego foundation"/>
        <s v=" stutz artiano shinoff &amp; holtz"/>
        <s v=" talley &amp; mike henry"/>
        <s v=" *abtl (c/o mccormick barstow) "/>
        <s v=" tulare/kings hispanic chamber of commerce"/>
        <s v=" michael dallo"/>
        <s v=" san mateo county bar associaton"/>
        <s v=" sunset magazine;"/>
        <s v=" ms. frosene phillps maniatis"/>
        <s v=" mrs. betty vlahos"/>
        <s v=" mr. &amp; mrs. paul anest"/>
        <s v=" rev. &amp; mrs. nicholas triantafilou"/>
        <s v=" mr. &amp; mrs. james tziouvalas"/>
        <s v=" rev. &amp; mrs. peter stavisky"/>
        <s v=" mr. &amp; mrs. ted theodorou"/>
        <s v=" dr. &amp; mrs. james sellas"/>
        <s v=" mr. &amp; mrs. theodore sakkis"/>
        <s v=" dr. &amp; mrs. david matty"/>
        <s v=" mr. chris hondros"/>
        <s v=" mr. &amp; mrs. craig lewandowski"/>
        <s v=" ms. sharon matty"/>
        <s v=" mr. &amp; mrs. gerry ranglas"/>
        <s v=" mr. &amp; mrs. constantine tzavaras"/>
        <s v=" mr. &amp; mrs. john georgiou"/>
        <s v=" mr. &amp; mrs. david chilimidos"/>
        <s v=" mr. &amp; mrs. james hronas"/>
        <s v=" mr. &amp; dr. peter &amp; katherine kouvelis"/>
        <s v=" mrs. alice kopan"/>
        <s v=" dr. &amp; mrs. james kallins"/>
        <s v=" rev. &amp; mrs. john alexandres"/>
        <s v=" mr. &amp; mrs. gus christopoulos"/>
        <s v=" mrs. mary datillo"/>
        <s v=" mr.&amp; mrs. george alexandres"/>
        <s v=" mr. &amp; mrs. angelo georggin"/>
        <s v=" metropolitan gerasimos of san francisco"/>
        <s v=" aptos chamber of commerce"/>
        <s v=" chris day"/>
        <s v=" orange county trial lawyers assoc."/>
        <s v=" judicate west"/>
        <s v=" robinson robinson &amp; callafnie"/>
        <s v=" gibson dunn + cruteher llp"/>
        <s v=" katherine hall"/>
        <s v=" morrison &amp; foerster"/>
        <s v=" american judges association"/>
        <s v=" our lady of peace academy"/>
        <s v=" eric chodorow c/o prudential"/>
        <s v=" bartell hotels"/>
        <s v=" voices 4 children"/>
        <s v=" (d)(5)"/>
        <s v=" table mountain rancheria"/>
        <s v=" irell &amp; manella llp"/>
        <s v=" howard rice nemerovski canady falk &amp;rabkin"/>
        <s v=" ned &amp; laurel harlan"/>
        <s v=" michael i.neil"/>
        <s v=" legal aid soc/employment law center"/>
        <s v=" assn of business trial lawyers- nor cal"/>
        <s v=" alameda - ..."/>
        <s v=" assn of bus trial lawyers - con't"/>
        <s v=" bar assn of san francisco"/>
        <s v=" abtl (con't)"/>
        <s v=" h b litigation conference llc"/>
        <s v=" jack d. furst"/>
        <s v=" jack d. furst (con't)"/>
        <s v=" michael griffin"/>
        <s v=" robert budman"/>
        <s v=" dick s. tom sr."/>
        <s v=" cascade oaks holding co."/>
        <s v=" rev. dr. alan jones &amp; rev."/>
        <s v=" dr. jeff and patti lawton"/>
        <s v=" kaven wallace"/>
        <s v=" glenda and al faythal (friends)"/>
        <s v=" dr. melvin west"/>
        <s v=" mel lewis"/>
        <s v=" john mcintyre evy."/>
        <s v=" john gill cpa"/>
        <s v=" charokee memorial park"/>
        <s v=" john rogers"/>
        <s v=" rich fuidge morris &amp; lane"/>
        <s v=" hop sing society"/>
        <s v=" yuba sutter bar association"/>
        <s v=" steve shaiman"/>
        <s v=" san mateo county trial lawyer"/>
        <s v=" la marathon uc (la roadrunners"/>
        <s v=" san bernardino county law library board"/>
        <s v=" jon s. tiger"/>
        <s v=" lawyers' committee for civil rights"/>
        <s v=" members of bingham mccutchen llp"/>
        <s v=" lawyers' club of san francisco"/>
        <s v=" frank quinlan/francisco briseno"/>
        <s v=" gary pohlson"/>
        <s v=" cliff roberts"/>
        <s v=" matt donovan"/>
        <s v=" joel matta"/>
        <s v=" michael maguire"/>
        <s v=" jon alexander"/>
        <s v=" michael goldstein"/>
        <s v=" **abtl (c/o weakley &amp; arandt)"/>
        <s v=" *abota"/>
        <s v=" robinson calcagnie &amp; robinson"/>
        <s v=" brad clark"/>
        <s v=" parker development c/o ron briggs"/>
        <s v=" lincoln law school sacramento"/>
        <s v=" el dorado legal professionals"/>
        <s v=" casa el dorado"/>
        <s v=" david scheper"/>
        <s v=" patrick fitzgerald"/>
        <s v=" leslie swain"/>
        <s v=" lisa lench"/>
        <s v=" joseph m. tresidder"/>
        <s v=" san mateo co. bar assoc."/>
        <s v=" san mateo co. bar assoc. (cont.)"/>
        <s v=" san mateo trial lawyers association"/>
        <s v=" john thomas"/>
        <s v=" octla"/>
        <s v=" dr. pablo prietto"/>
        <s v=" southwest airlines"/>
        <s v=" edison int'l"/>
        <s v=" uci chancellor's office"/>
        <s v=" black chamber of o.c."/>
        <s v=" wave 94.7 radio station"/>
        <m/>
      </sharedItems>
    </cacheField>
    <cacheField name="donor business" numFmtId="0">
      <sharedItems containsBlank="1" containsMixedTypes="1" containsNumber="1" containsInteger="1" minValue="0" maxValue="92101" count="251">
        <s v=" law"/>
        <s v=" bar association"/>
        <s v=" --blank--"/>
        <s v=" bar association/professional organization"/>
        <s v=" ocean protection"/>
        <s v=" media consulting"/>
        <s v=" professional association (board member"/>
        <s v=" attorney professional association"/>
        <s v=" professional association"/>
        <s v=" bar associaton"/>
        <s v=" law firm"/>
        <s v=" law enforcement days"/>
        <s v=" attorney"/>
        <s v=" none"/>
        <s v=" guest speaker - seminar"/>
        <s v=" law offices"/>
        <s v=" county bar association"/>
        <s v=" non-profit service club"/>
        <s v=" judges' night"/>
        <s v=" bar assn"/>
        <s v=" non-profit association"/>
        <s v=" apartment managers"/>
        <s v=" business bar association"/>
        <s v=" voluntary bar association"/>
        <s v=" educational"/>
        <s v=" educational/social"/>
        <s v=" professional basketball team"/>
        <s v=" association of trial lawyers"/>
        <s v=" real estate management"/>
        <s v=" minneapolis mn"/>
        <s v=" group"/>
        <s v=" oil production and representation"/>
        <s v=" union"/>
        <s v=" trial lawyers ass'n"/>
        <s v=" law school"/>
        <s v=" association of attorneys"/>
        <s v=" prof. assoc. of judges"/>
        <s v=" tile manufacturers/contractors"/>
        <s v=" employee of marriott"/>
        <s v=" executive employee at alpine meadows"/>
        <s v=" association of trail lawyers"/>
        <s v=" architect"/>
        <s v=" retired law enforcement"/>
        <s v=" 11.30.11  $50.00  el polo loco gift"/>
        <s v=" legal professional association"/>
        <s v=" cattleman"/>
        <s v=" trial atty. org."/>
        <s v=" legal org."/>
        <s v=" president california state university fresno"/>
        <s v=" santa ana ca 92705"/>
        <s v=" courthouse"/>
        <s v=" court reporting"/>
        <s v=" court reporting school"/>
        <s v=" education"/>
        <s v=" san francisco ca nonprofit judges assoc"/>
        <s v=" non profit"/>
        <s v=" professional musician"/>
        <s v=" dinners"/>
        <s v=" friend"/>
        <s v=" trustee"/>
        <s v=" ing of iaba and iala (see below)"/>
        <s v=" association dinner and entertainment"/>
        <s v=" association annual installation dinner"/>
        <s v=" investment counsel"/>
        <n v="0"/>
        <s v=" n/a"/>
        <s v=" judge/investment banker"/>
        <s v=" retired"/>
        <s v=" doctor"/>
        <s v=" general manager/president"/>
        <s v=" winery"/>
        <s v=" 8/12/11 $100.00 della robia"/>
        <s v=" 3/9/11 $100.00 complimentary dinner for self and wife at"/>
        <s v=" real estate property management"/>
        <s v=" teaching &amp;meeting"/>
        <s v=" wash dc meeting"/>
        <s v=" meeting"/>
        <s v=" santa clara ca. 95054"/>
        <s v=" court commissioner"/>
        <s v=" redwood city ca. - law"/>
        <s v=" discovery refeice/attorney"/>
        <s v=" seminars conferences"/>
        <s v=" plaintiff personal injury attorneys association"/>
        <s v=" trade association for insurance defense counsel"/>
        <s v=" criminal defense attorney"/>
        <s v=" civil attorney/law firm"/>
        <s v=" mediator/retired judge"/>
        <s v=" mediation provider"/>
        <s v=" voluntary bar assh."/>
        <s v=" voluntary bar assn"/>
        <s v=" voluntary bar ass'n"/>
        <s v=" voluntary bar assn."/>
        <s v=" voluntary bn assns`"/>
        <s v=" continuing education for attorneys and judges"/>
        <s v=" orange cunty diosicnd"/>
        <s v=" bus.trial atty org  "/>
        <s v=" atty"/>
        <s v=" trial lawyers assn"/>
        <s v=" nonprofit"/>
        <s v=" nonprofit local bar"/>
        <s v=" non profit bar association"/>
        <s v=" performed wedding ceremony"/>
        <s v=" hair salon &amp;spa"/>
        <s v=" hotel"/>
        <s v=" motion picture production company"/>
        <s v=" attorney and former law partner"/>
        <s v=" firm christmas party"/>
        <s v=" vice-president efficient frontier"/>
        <s v=" footballs tickets"/>
        <s v=" educational seminar"/>
        <s v=" attorneys"/>
        <s v=" legal publisher"/>
        <s v=" henderson nv 89014 architect"/>
        <s v=" legal practice"/>
        <s v=" arlington va 22201"/>
        <s v=" non-profit organization"/>
        <s v=" recreation/entertainment"/>
        <s v=" legal association of lawyers"/>
        <s v=" provider of legal services"/>
        <s v=" legal association of lawyers and judges"/>
        <s v=" restoration of angel island immigration station"/>
        <s v=" service on board of directors of college"/>
        <s v=" charitable organization/scrapbook business"/>
        <s v=" non-profit professional association"/>
        <s v=" professional organization"/>
        <s v=" friends"/>
        <s v=" attorney friend"/>
        <s v=" friend - gift for performing wedding"/>
        <s v=" nonprofit museum"/>
        <s v=" palo alto tall trees awards dinner"/>
        <s v=" santa clara law cantennial"/>
        <s v=" construction"/>
        <s v=" lawyers' group"/>
        <s v=" specialty bar assoc; legal ed"/>
        <s v=" specialty bar association"/>
        <s v=" n/a (close personal friend)"/>
        <s v=" unknown"/>
        <s v=" health services"/>
        <s v=" food services"/>
        <s v=" mediator - retired judge"/>
        <s v=" dance band"/>
        <s v=" bar organization"/>
        <s v=" bm organization"/>
        <s v=" historical foundation"/>
        <s v=" voluntary legal association"/>
        <s v=" voluntary professional assoc."/>
        <s v=" voluntary legal assoc."/>
        <s v=" private practice"/>
        <s v=" legal education provider"/>
        <s v=" surety company"/>
        <s v=" personal friend"/>
        <s v=" financial advising"/>
        <s v=" wine sales"/>
        <s v=" legal research &amp; reform"/>
        <s v=" fraternal assoc"/>
        <s v=" bar association dinner"/>
        <s v=" beverly hills ca 90211"/>
        <s v=" admin. law judge &amp; attorney"/>
        <s v=" dean/ law school"/>
        <s v=" farming"/>
        <s v=" private club"/>
        <s v=" college"/>
        <s v=" real property investment and management"/>
        <s v=" social"/>
        <s v=" talent manager"/>
        <s v=" pro football"/>
        <s v=" judiciary"/>
        <s v=" national orange show"/>
        <s v=" charitable organization"/>
        <s v=" bar associater"/>
        <s v=" public service 501(3)"/>
        <n v="92101"/>
        <s v=" bench-bar association/cle provider"/>
        <s v=" legal education"/>
        <s v=" bar assn."/>
        <s v=" owns nfl football team"/>
        <s v=" lawyer association ca 94063"/>
        <s v=" judge night dinner"/>
        <s v=" bar function"/>
        <s v=" children's foundation"/>
        <s v=" education foundation"/>
        <s v=" legal firm"/>
        <s v=" legal association of iranian-american lawyers"/>
        <s v=" insurance company"/>
        <s v=" document service"/>
        <s v=" dinnere for performing wedding"/>
        <s v=" legal organization"/>
        <s v=" pro bone service organizaiton"/>
        <s v=" frieno maliro ct. 90263"/>
        <s v=" friends/economist"/>
        <s v=" attyj   newport beach ca 92660"/>
        <s v=" bar ass"/>
        <s v=" bar asi"/>
        <s v=" bav all.        ca 92653"/>
        <s v=" fund-raising/charitable-giving"/>
        <s v=" business/ swearing in of officers"/>
        <s v=" business owner"/>
        <s v=" attorney orgabization"/>
        <s v=" prize drawing"/>
        <s v=" journalist"/>
        <s v=" clergy"/>
        <s v=" retired/analyst"/>
        <s v=" project manager/retired"/>
        <s v=" oral surgeon"/>
        <s v=" student"/>
        <s v=" small business owners"/>
        <s v=" white collar/sales"/>
        <s v=" real estate development"/>
        <s v=" pilot/human resources"/>
        <s v=" retired/deputy da"/>
        <s v=" ret. police officer/phyician"/>
        <s v=" restaurant owner"/>
        <s v=" none-friend"/>
        <s v=" adr services"/>
        <s v=" judicial conference- cle"/>
        <s v=" casino"/>
        <s v=" wedding officiant"/>
        <s v=" lawyer"/>
        <s v=" legal aid provided"/>
        <s v=" prof assn - con't education"/>
        <s v=" prof assn"/>
        <s v=" legal education - mass torte seminar"/>
        <s v=" business investments and acquisitions"/>
        <s v=" above"/>
        <s v=" logistics activity scheduler"/>
        <s v=" deputy district attorney"/>
        <s v=" deputy public defender"/>
        <s v=" hy 99 &amp; harney lang lodi ca"/>
        <s v=" cmp board member"/>
        <s v=" cmp attorney san jose ea"/>
        <s v=" memorial park"/>
        <s v=" professor"/>
        <s v=" bar association for lawyers"/>
        <s v=" friend attorney"/>
        <s v=" sponsor la marathon"/>
        <s v=" judge"/>
        <s v=" public interest law"/>
        <s v=" law firm partnership"/>
        <s v=" www.lawyersclubsf.com"/>
        <s v=" attorney / judge"/>
        <s v=" retiree"/>
        <s v=" golf course management"/>
        <s v=" surgeon"/>
        <s v=" district attorney del norte county"/>
        <s v=" developer"/>
        <s v=" legal secretary/paralegal organization"/>
        <s v=" child advocates"/>
        <s v=" m.d."/>
        <s v=" diverse staffing/none"/>
        <s v=" los angeles ca 90036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58">
  <r>
    <n v="1"/>
    <n v="1"/>
    <d v="2011-05-28T00:00:00"/>
    <x v="0"/>
    <x v="0"/>
    <x v="0"/>
    <x v="0"/>
    <x v="0"/>
  </r>
  <r>
    <n v="2"/>
    <n v="21"/>
    <d v="2011-10-14T00:00:00"/>
    <x v="1"/>
    <x v="1"/>
    <x v="1"/>
    <x v="1"/>
    <x v="1"/>
  </r>
  <r>
    <n v="2"/>
    <n v="21"/>
    <d v="2011-10-14T00:00:00"/>
    <x v="2"/>
    <x v="2"/>
    <x v="1"/>
    <x v="1"/>
    <x v="1"/>
  </r>
  <r>
    <n v="3"/>
    <n v="24"/>
    <d v="2012-03-30T00:00:00"/>
    <x v="2"/>
    <x v="3"/>
    <x v="2"/>
    <x v="2"/>
    <x v="2"/>
  </r>
  <r>
    <n v="4"/>
    <n v="28"/>
    <d v="2011-10-14T00:00:00"/>
    <x v="1"/>
    <x v="4"/>
    <x v="3"/>
    <x v="3"/>
    <x v="3"/>
  </r>
  <r>
    <n v="5"/>
    <n v="32"/>
    <d v="2011-10-03T00:00:00"/>
    <x v="3"/>
    <x v="5"/>
    <x v="4"/>
    <x v="4"/>
    <x v="1"/>
  </r>
  <r>
    <n v="6"/>
    <n v="32"/>
    <d v="2011-07-27T00:00:00"/>
    <x v="4"/>
    <x v="6"/>
    <x v="4"/>
    <x v="5"/>
    <x v="1"/>
  </r>
  <r>
    <n v="7"/>
    <n v="32"/>
    <d v="2011-01-27T00:00:00"/>
    <x v="5"/>
    <x v="7"/>
    <x v="4"/>
    <x v="6"/>
    <x v="1"/>
  </r>
  <r>
    <n v="7"/>
    <n v="32"/>
    <d v="2011-12-09T00:00:00"/>
    <x v="6"/>
    <x v="8"/>
    <x v="4"/>
    <x v="6"/>
    <x v="1"/>
  </r>
  <r>
    <n v="7"/>
    <n v="32"/>
    <m/>
    <x v="7"/>
    <x v="9"/>
    <x v="4"/>
    <x v="6"/>
    <x v="1"/>
  </r>
  <r>
    <n v="8"/>
    <n v="32"/>
    <d v="2011-12-13T00:00:00"/>
    <x v="5"/>
    <x v="10"/>
    <x v="4"/>
    <x v="7"/>
    <x v="1"/>
  </r>
  <r>
    <n v="9"/>
    <n v="33"/>
    <d v="2011-04-04T00:00:00"/>
    <x v="8"/>
    <x v="11"/>
    <x v="5"/>
    <x v="8"/>
    <x v="4"/>
  </r>
  <r>
    <n v="8"/>
    <n v="36"/>
    <d v="2011-02-01T00:00:00"/>
    <x v="9"/>
    <x v="12"/>
    <x v="6"/>
    <x v="7"/>
    <x v="1"/>
  </r>
  <r>
    <n v="8"/>
    <n v="36"/>
    <s v="03 30 11"/>
    <x v="9"/>
    <x v="12"/>
    <x v="6"/>
    <x v="7"/>
    <x v="1"/>
  </r>
  <r>
    <n v="8"/>
    <n v="36"/>
    <d v="2012-04-09T00:00:00"/>
    <x v="10"/>
    <x v="13"/>
    <x v="6"/>
    <x v="7"/>
    <x v="1"/>
  </r>
  <r>
    <n v="10"/>
    <n v="43"/>
    <d v="2011-01-28T00:00:00"/>
    <x v="11"/>
    <x v="14"/>
    <x v="7"/>
    <x v="9"/>
    <x v="2"/>
  </r>
  <r>
    <n v="11"/>
    <n v="55"/>
    <d v="2011-07-05T00:00:00"/>
    <x v="12"/>
    <x v="15"/>
    <x v="8"/>
    <x v="10"/>
    <x v="5"/>
  </r>
  <r>
    <n v="11"/>
    <n v="55"/>
    <d v="2011-07-19T00:00:00"/>
    <x v="7"/>
    <x v="16"/>
    <x v="8"/>
    <x v="10"/>
    <x v="5"/>
  </r>
  <r>
    <n v="11"/>
    <n v="55"/>
    <m/>
    <x v="7"/>
    <x v="17"/>
    <x v="8"/>
    <x v="10"/>
    <x v="5"/>
  </r>
  <r>
    <n v="12"/>
    <n v="71"/>
    <d v="2012-01-11T00:00:00"/>
    <x v="13"/>
    <x v="18"/>
    <x v="9"/>
    <x v="11"/>
    <x v="6"/>
  </r>
  <r>
    <n v="12"/>
    <n v="71"/>
    <s v="03 11"/>
    <x v="14"/>
    <x v="19"/>
    <x v="9"/>
    <x v="11"/>
    <x v="6"/>
  </r>
  <r>
    <n v="12"/>
    <n v="71"/>
    <d v="2012-04-11T00:00:00"/>
    <x v="15"/>
    <x v="19"/>
    <x v="9"/>
    <x v="11"/>
    <x v="6"/>
  </r>
  <r>
    <n v="13"/>
    <n v="71"/>
    <d v="2011-01-12T00:00:00"/>
    <x v="16"/>
    <x v="19"/>
    <x v="9"/>
    <x v="12"/>
    <x v="7"/>
  </r>
  <r>
    <n v="13"/>
    <n v="71"/>
    <d v="2011-05-10T00:00:00"/>
    <x v="16"/>
    <x v="19"/>
    <x v="9"/>
    <x v="12"/>
    <x v="7"/>
  </r>
  <r>
    <n v="13"/>
    <n v="71"/>
    <s v="06 09 11"/>
    <x v="16"/>
    <x v="19"/>
    <x v="9"/>
    <x v="12"/>
    <x v="7"/>
  </r>
  <r>
    <n v="12"/>
    <n v="71"/>
    <d v="2011-06-01T00:00:00"/>
    <x v="17"/>
    <x v="20"/>
    <x v="9"/>
    <x v="11"/>
    <x v="6"/>
  </r>
  <r>
    <n v="12"/>
    <n v="71"/>
    <d v="2012-09-11T00:00:00"/>
    <x v="18"/>
    <x v="21"/>
    <x v="9"/>
    <x v="11"/>
    <x v="6"/>
  </r>
  <r>
    <n v="12"/>
    <n v="71"/>
    <d v="2012-11-11T00:00:00"/>
    <x v="19"/>
    <x v="22"/>
    <x v="9"/>
    <x v="11"/>
    <x v="6"/>
  </r>
  <r>
    <n v="13"/>
    <n v="71"/>
    <d v="2011-09-20T00:00:00"/>
    <x v="16"/>
    <x v="19"/>
    <x v="9"/>
    <x v="12"/>
    <x v="7"/>
  </r>
  <r>
    <n v="13"/>
    <n v="71"/>
    <d v="2011-09-27T00:00:00"/>
    <x v="16"/>
    <x v="19"/>
    <x v="9"/>
    <x v="12"/>
    <x v="7"/>
  </r>
  <r>
    <n v="13"/>
    <n v="71"/>
    <d v="2011-12-06T00:00:00"/>
    <x v="16"/>
    <x v="19"/>
    <x v="9"/>
    <x v="12"/>
    <x v="7"/>
  </r>
  <r>
    <n v="14"/>
    <n v="82"/>
    <d v="2011-01-15T00:00:00"/>
    <x v="20"/>
    <x v="23"/>
    <x v="10"/>
    <x v="13"/>
    <x v="8"/>
  </r>
  <r>
    <n v="14"/>
    <n v="82"/>
    <d v="2011-08-25T00:00:00"/>
    <x v="21"/>
    <x v="24"/>
    <x v="10"/>
    <x v="13"/>
    <x v="8"/>
  </r>
  <r>
    <n v="15"/>
    <n v="87"/>
    <d v="2011-11-02T00:00:00"/>
    <x v="10"/>
    <x v="25"/>
    <x v="11"/>
    <x v="14"/>
    <x v="9"/>
  </r>
  <r>
    <n v="15"/>
    <n v="87"/>
    <m/>
    <x v="7"/>
    <x v="26"/>
    <x v="11"/>
    <x v="14"/>
    <x v="9"/>
  </r>
  <r>
    <n v="16"/>
    <n v="87"/>
    <d v="2011-05-05T00:00:00"/>
    <x v="22"/>
    <x v="27"/>
    <x v="11"/>
    <x v="15"/>
    <x v="10"/>
  </r>
  <r>
    <n v="16"/>
    <n v="87"/>
    <m/>
    <x v="7"/>
    <x v="1"/>
    <x v="11"/>
    <x v="15"/>
    <x v="10"/>
  </r>
  <r>
    <n v="17"/>
    <n v="113"/>
    <d v="2011-04-17T00:00:00"/>
    <x v="10"/>
    <x v="28"/>
    <x v="12"/>
    <x v="16"/>
    <x v="0"/>
  </r>
  <r>
    <n v="17"/>
    <n v="113"/>
    <m/>
    <x v="7"/>
    <x v="29"/>
    <x v="12"/>
    <x v="16"/>
    <x v="0"/>
  </r>
  <r>
    <n v="18"/>
    <n v="126"/>
    <d v="2011-12-13T00:00:00"/>
    <x v="23"/>
    <x v="30"/>
    <x v="13"/>
    <x v="17"/>
    <x v="11"/>
  </r>
  <r>
    <n v="19"/>
    <n v="145"/>
    <d v="2011-02-01T00:00:00"/>
    <x v="1"/>
    <x v="31"/>
    <x v="14"/>
    <x v="18"/>
    <x v="2"/>
  </r>
  <r>
    <n v="20"/>
    <n v="152"/>
    <d v="2011-10-05T00:00:00"/>
    <x v="24"/>
    <x v="32"/>
    <x v="15"/>
    <x v="19"/>
    <x v="12"/>
  </r>
  <r>
    <n v="21"/>
    <n v="154"/>
    <d v="2011-10-22T00:00:00"/>
    <x v="11"/>
    <x v="33"/>
    <x v="16"/>
    <x v="20"/>
    <x v="13"/>
  </r>
  <r>
    <n v="22"/>
    <n v="154"/>
    <d v="2011-04-29T00:00:00"/>
    <x v="25"/>
    <x v="34"/>
    <x v="16"/>
    <x v="21"/>
    <x v="12"/>
  </r>
  <r>
    <n v="8"/>
    <n v="154"/>
    <m/>
    <x v="26"/>
    <x v="1"/>
    <x v="16"/>
    <x v="7"/>
    <x v="1"/>
  </r>
  <r>
    <n v="8"/>
    <n v="154"/>
    <m/>
    <x v="26"/>
    <x v="1"/>
    <x v="16"/>
    <x v="7"/>
    <x v="1"/>
  </r>
  <r>
    <n v="23"/>
    <n v="157"/>
    <d v="2011-09-10T00:00:00"/>
    <x v="27"/>
    <x v="35"/>
    <x v="17"/>
    <x v="22"/>
    <x v="14"/>
  </r>
  <r>
    <n v="24"/>
    <n v="158"/>
    <d v="2011-10-31T00:00:00"/>
    <x v="7"/>
    <x v="36"/>
    <x v="18"/>
    <x v="23"/>
    <x v="15"/>
  </r>
  <r>
    <n v="25"/>
    <n v="172"/>
    <d v="2011-04-01T00:00:00"/>
    <x v="22"/>
    <x v="24"/>
    <x v="19"/>
    <x v="24"/>
    <x v="16"/>
  </r>
  <r>
    <n v="25"/>
    <n v="172"/>
    <d v="2011-09-28T00:00:00"/>
    <x v="22"/>
    <x v="24"/>
    <x v="19"/>
    <x v="24"/>
    <x v="16"/>
  </r>
  <r>
    <n v="26"/>
    <n v="172"/>
    <d v="2011-03-16T00:00:00"/>
    <x v="22"/>
    <x v="37"/>
    <x v="19"/>
    <x v="25"/>
    <x v="1"/>
  </r>
  <r>
    <n v="26"/>
    <n v="172"/>
    <d v="2011-11-10T00:00:00"/>
    <x v="22"/>
    <x v="37"/>
    <x v="19"/>
    <x v="25"/>
    <x v="1"/>
  </r>
  <r>
    <n v="27"/>
    <n v="183"/>
    <d v="2011-01-29T00:00:00"/>
    <x v="28"/>
    <x v="38"/>
    <x v="20"/>
    <x v="26"/>
    <x v="2"/>
  </r>
  <r>
    <n v="27"/>
    <n v="183"/>
    <m/>
    <x v="7"/>
    <x v="39"/>
    <x v="20"/>
    <x v="26"/>
    <x v="2"/>
  </r>
  <r>
    <n v="28"/>
    <n v="183"/>
    <d v="2011-04-08T00:00:00"/>
    <x v="29"/>
    <x v="40"/>
    <x v="20"/>
    <x v="27"/>
    <x v="17"/>
  </r>
  <r>
    <n v="28"/>
    <n v="183"/>
    <m/>
    <x v="7"/>
    <x v="41"/>
    <x v="20"/>
    <x v="27"/>
    <x v="17"/>
  </r>
  <r>
    <n v="28"/>
    <n v="183"/>
    <s v="donated"/>
    <x v="7"/>
    <x v="42"/>
    <x v="20"/>
    <x v="27"/>
    <x v="17"/>
  </r>
  <r>
    <n v="13"/>
    <n v="184"/>
    <d v="2011-06-09T00:00:00"/>
    <x v="30"/>
    <x v="1"/>
    <x v="21"/>
    <x v="12"/>
    <x v="7"/>
  </r>
  <r>
    <n v="13"/>
    <n v="184"/>
    <d v="2011-05-10T00:00:00"/>
    <x v="31"/>
    <x v="43"/>
    <x v="21"/>
    <x v="12"/>
    <x v="7"/>
  </r>
  <r>
    <n v="29"/>
    <n v="184"/>
    <d v="2011-11-03T00:00:00"/>
    <x v="1"/>
    <x v="1"/>
    <x v="21"/>
    <x v="28"/>
    <x v="18"/>
  </r>
  <r>
    <n v="13"/>
    <n v="184"/>
    <d v="2011-05-06T00:00:00"/>
    <x v="26"/>
    <x v="43"/>
    <x v="21"/>
    <x v="12"/>
    <x v="7"/>
  </r>
  <r>
    <n v="2"/>
    <n v="191"/>
    <d v="2011-01-20T00:00:00"/>
    <x v="22"/>
    <x v="1"/>
    <x v="22"/>
    <x v="1"/>
    <x v="1"/>
  </r>
  <r>
    <n v="2"/>
    <n v="191"/>
    <d v="2011-04-28T00:00:00"/>
    <x v="11"/>
    <x v="1"/>
    <x v="22"/>
    <x v="1"/>
    <x v="1"/>
  </r>
  <r>
    <n v="2"/>
    <n v="191"/>
    <d v="2011-10-14T00:00:00"/>
    <x v="10"/>
    <x v="1"/>
    <x v="22"/>
    <x v="1"/>
    <x v="1"/>
  </r>
  <r>
    <n v="30"/>
    <n v="191"/>
    <d v="2011-12-09T00:00:00"/>
    <x v="22"/>
    <x v="43"/>
    <x v="22"/>
    <x v="29"/>
    <x v="19"/>
  </r>
  <r>
    <n v="31"/>
    <n v="193"/>
    <d v="2011-02-24T00:00:00"/>
    <x v="2"/>
    <x v="24"/>
    <x v="23"/>
    <x v="30"/>
    <x v="20"/>
  </r>
  <r>
    <n v="32"/>
    <n v="193"/>
    <d v="2011-03-15T00:00:00"/>
    <x v="2"/>
    <x v="44"/>
    <x v="23"/>
    <x v="31"/>
    <x v="12"/>
  </r>
  <r>
    <n v="33"/>
    <n v="194"/>
    <d v="2011-12-01T00:00:00"/>
    <x v="5"/>
    <x v="45"/>
    <x v="24"/>
    <x v="32"/>
    <x v="21"/>
  </r>
  <r>
    <n v="33"/>
    <n v="194"/>
    <m/>
    <x v="7"/>
    <x v="46"/>
    <x v="24"/>
    <x v="32"/>
    <x v="21"/>
  </r>
  <r>
    <n v="34"/>
    <n v="210"/>
    <n v="11"/>
    <x v="1"/>
    <x v="47"/>
    <x v="25"/>
    <x v="33"/>
    <x v="22"/>
  </r>
  <r>
    <n v="35"/>
    <n v="211"/>
    <s v="09/98/11"/>
    <x v="1"/>
    <x v="48"/>
    <x v="26"/>
    <x v="34"/>
    <x v="23"/>
  </r>
  <r>
    <n v="36"/>
    <n v="211"/>
    <d v="2011-01-27T00:00:00"/>
    <x v="1"/>
    <x v="19"/>
    <x v="26"/>
    <x v="35"/>
    <x v="10"/>
  </r>
  <r>
    <n v="37"/>
    <n v="239"/>
    <d v="2011-01-28T00:00:00"/>
    <x v="11"/>
    <x v="1"/>
    <x v="27"/>
    <x v="36"/>
    <x v="1"/>
  </r>
  <r>
    <n v="38"/>
    <n v="248"/>
    <d v="2011-01-20T00:00:00"/>
    <x v="2"/>
    <x v="49"/>
    <x v="28"/>
    <x v="37"/>
    <x v="2"/>
  </r>
  <r>
    <n v="38"/>
    <n v="248"/>
    <d v="2011-02-24T00:00:00"/>
    <x v="32"/>
    <x v="50"/>
    <x v="28"/>
    <x v="37"/>
    <x v="2"/>
  </r>
  <r>
    <n v="38"/>
    <n v="248"/>
    <d v="2011-04-21T00:00:00"/>
    <x v="32"/>
    <x v="50"/>
    <x v="28"/>
    <x v="37"/>
    <x v="2"/>
  </r>
  <r>
    <n v="39"/>
    <n v="248"/>
    <d v="2011-05-18T00:00:00"/>
    <x v="32"/>
    <x v="50"/>
    <x v="28"/>
    <x v="38"/>
    <x v="2"/>
  </r>
  <r>
    <n v="39"/>
    <n v="248"/>
    <d v="2011-07-20T00:00:00"/>
    <x v="32"/>
    <x v="50"/>
    <x v="28"/>
    <x v="38"/>
    <x v="2"/>
  </r>
  <r>
    <n v="39"/>
    <n v="248"/>
    <d v="2011-10-19T00:00:00"/>
    <x v="32"/>
    <x v="50"/>
    <x v="28"/>
    <x v="38"/>
    <x v="2"/>
  </r>
  <r>
    <n v="40"/>
    <n v="269"/>
    <m/>
    <x v="7"/>
    <x v="51"/>
    <x v="29"/>
    <x v="39"/>
    <x v="24"/>
  </r>
  <r>
    <n v="40"/>
    <n v="269"/>
    <m/>
    <x v="7"/>
    <x v="52"/>
    <x v="29"/>
    <x v="39"/>
    <x v="24"/>
  </r>
  <r>
    <n v="40"/>
    <n v="269"/>
    <m/>
    <x v="7"/>
    <x v="53"/>
    <x v="29"/>
    <x v="39"/>
    <x v="24"/>
  </r>
  <r>
    <n v="41"/>
    <n v="269"/>
    <s v="20/11"/>
    <x v="22"/>
    <x v="1"/>
    <x v="29"/>
    <x v="40"/>
    <x v="25"/>
  </r>
  <r>
    <n v="42"/>
    <n v="279"/>
    <d v="2011-12-25T00:00:00"/>
    <x v="33"/>
    <x v="54"/>
    <x v="30"/>
    <x v="41"/>
    <x v="26"/>
  </r>
  <r>
    <n v="42"/>
    <n v="279"/>
    <m/>
    <x v="34"/>
    <x v="55"/>
    <x v="30"/>
    <x v="41"/>
    <x v="26"/>
  </r>
  <r>
    <n v="43"/>
    <n v="284"/>
    <d v="2011-08-06T00:00:00"/>
    <x v="35"/>
    <x v="56"/>
    <x v="31"/>
    <x v="42"/>
    <x v="2"/>
  </r>
  <r>
    <n v="44"/>
    <n v="294"/>
    <d v="2011-11-03T00:00:00"/>
    <x v="22"/>
    <x v="57"/>
    <x v="32"/>
    <x v="43"/>
    <x v="27"/>
  </r>
  <r>
    <n v="13"/>
    <n v="294"/>
    <d v="2011-01-12T00:00:00"/>
    <x v="2"/>
    <x v="58"/>
    <x v="32"/>
    <x v="12"/>
    <x v="7"/>
  </r>
  <r>
    <n v="13"/>
    <n v="294"/>
    <d v="2011-05-10T00:00:00"/>
    <x v="36"/>
    <x v="59"/>
    <x v="32"/>
    <x v="12"/>
    <x v="7"/>
  </r>
  <r>
    <n v="13"/>
    <n v="294"/>
    <d v="2011-06-09T00:00:00"/>
    <x v="2"/>
    <x v="57"/>
    <x v="32"/>
    <x v="12"/>
    <x v="7"/>
  </r>
  <r>
    <n v="13"/>
    <n v="294"/>
    <d v="2011-09-27T00:00:00"/>
    <x v="36"/>
    <x v="60"/>
    <x v="32"/>
    <x v="12"/>
    <x v="7"/>
  </r>
  <r>
    <n v="13"/>
    <n v="294"/>
    <d v="2011-12-06T00:00:00"/>
    <x v="36"/>
    <x v="59"/>
    <x v="32"/>
    <x v="12"/>
    <x v="7"/>
  </r>
  <r>
    <n v="45"/>
    <n v="294"/>
    <d v="2011-10-30T00:00:00"/>
    <x v="37"/>
    <x v="61"/>
    <x v="32"/>
    <x v="44"/>
    <x v="28"/>
  </r>
  <r>
    <n v="46"/>
    <n v="301"/>
    <d v="2011-11-17T00:00:00"/>
    <x v="35"/>
    <x v="62"/>
    <x v="33"/>
    <x v="45"/>
    <x v="29"/>
  </r>
  <r>
    <n v="47"/>
    <n v="302"/>
    <d v="2011-07-15T00:00:00"/>
    <x v="38"/>
    <x v="63"/>
    <x v="34"/>
    <x v="46"/>
    <x v="30"/>
  </r>
  <r>
    <n v="47"/>
    <n v="302"/>
    <m/>
    <x v="7"/>
    <x v="64"/>
    <x v="34"/>
    <x v="46"/>
    <x v="30"/>
  </r>
  <r>
    <n v="48"/>
    <n v="304"/>
    <d v="2011-04-29T00:00:00"/>
    <x v="10"/>
    <x v="65"/>
    <x v="35"/>
    <x v="47"/>
    <x v="31"/>
  </r>
  <r>
    <n v="49"/>
    <n v="316"/>
    <s v="11/-/11"/>
    <x v="36"/>
    <x v="66"/>
    <x v="36"/>
    <x v="48"/>
    <x v="32"/>
  </r>
  <r>
    <n v="8"/>
    <n v="328"/>
    <d v="2011-02-01T00:00:00"/>
    <x v="39"/>
    <x v="12"/>
    <x v="37"/>
    <x v="7"/>
    <x v="1"/>
  </r>
  <r>
    <n v="8"/>
    <n v="328"/>
    <d v="2011-03-30T00:00:00"/>
    <x v="39"/>
    <x v="12"/>
    <x v="37"/>
    <x v="7"/>
    <x v="1"/>
  </r>
  <r>
    <n v="8"/>
    <n v="328"/>
    <d v="2011-04-09T00:00:00"/>
    <x v="10"/>
    <x v="13"/>
    <x v="37"/>
    <x v="7"/>
    <x v="1"/>
  </r>
  <r>
    <n v="50"/>
    <n v="337"/>
    <d v="2011-03-15T00:00:00"/>
    <x v="10"/>
    <x v="67"/>
    <x v="38"/>
    <x v="49"/>
    <x v="2"/>
  </r>
  <r>
    <n v="51"/>
    <n v="346"/>
    <d v="2011-05-05T00:00:00"/>
    <x v="22"/>
    <x v="68"/>
    <x v="39"/>
    <x v="50"/>
    <x v="33"/>
  </r>
  <r>
    <n v="52"/>
    <n v="346"/>
    <d v="2011-11-11T00:00:00"/>
    <x v="2"/>
    <x v="69"/>
    <x v="39"/>
    <x v="51"/>
    <x v="34"/>
  </r>
  <r>
    <n v="52"/>
    <n v="346"/>
    <m/>
    <x v="7"/>
    <x v="70"/>
    <x v="39"/>
    <x v="51"/>
    <x v="34"/>
  </r>
  <r>
    <n v="53"/>
    <n v="346"/>
    <d v="2011-07-13T00:00:00"/>
    <x v="1"/>
    <x v="71"/>
    <x v="39"/>
    <x v="52"/>
    <x v="35"/>
  </r>
  <r>
    <n v="54"/>
    <n v="346"/>
    <d v="2011-01-29T00:00:00"/>
    <x v="40"/>
    <x v="72"/>
    <x v="39"/>
    <x v="53"/>
    <x v="36"/>
  </r>
  <r>
    <n v="54"/>
    <n v="346"/>
    <m/>
    <x v="7"/>
    <x v="73"/>
    <x v="39"/>
    <x v="53"/>
    <x v="36"/>
  </r>
  <r>
    <n v="55"/>
    <n v="346"/>
    <d v="2011-12-09T00:00:00"/>
    <x v="1"/>
    <x v="74"/>
    <x v="39"/>
    <x v="54"/>
    <x v="35"/>
  </r>
  <r>
    <n v="56"/>
    <n v="347"/>
    <d v="2011-08-06T00:00:00"/>
    <x v="41"/>
    <x v="75"/>
    <x v="40"/>
    <x v="55"/>
    <x v="37"/>
  </r>
  <r>
    <n v="56"/>
    <n v="347"/>
    <m/>
    <x v="7"/>
    <x v="76"/>
    <x v="40"/>
    <x v="55"/>
    <x v="37"/>
  </r>
  <r>
    <n v="56"/>
    <n v="347"/>
    <d v="2011-07-18T00:00:00"/>
    <x v="28"/>
    <x v="77"/>
    <x v="40"/>
    <x v="55"/>
    <x v="37"/>
  </r>
  <r>
    <n v="57"/>
    <n v="347"/>
    <d v="2011-09-07T00:00:00"/>
    <x v="10"/>
    <x v="78"/>
    <x v="40"/>
    <x v="56"/>
    <x v="38"/>
  </r>
  <r>
    <n v="57"/>
    <n v="347"/>
    <m/>
    <x v="7"/>
    <x v="79"/>
    <x v="40"/>
    <x v="56"/>
    <x v="38"/>
  </r>
  <r>
    <n v="56"/>
    <n v="347"/>
    <d v="2011-09-07T00:00:00"/>
    <x v="10"/>
    <x v="78"/>
    <x v="40"/>
    <x v="55"/>
    <x v="37"/>
  </r>
  <r>
    <n v="56"/>
    <n v="347"/>
    <m/>
    <x v="7"/>
    <x v="79"/>
    <x v="40"/>
    <x v="55"/>
    <x v="37"/>
  </r>
  <r>
    <n v="58"/>
    <n v="347"/>
    <d v="2011-01-07T00:00:00"/>
    <x v="42"/>
    <x v="80"/>
    <x v="40"/>
    <x v="57"/>
    <x v="39"/>
  </r>
  <r>
    <n v="5"/>
    <n v="357"/>
    <d v="2011-10-14T00:00:00"/>
    <x v="43"/>
    <x v="81"/>
    <x v="41"/>
    <x v="4"/>
    <x v="1"/>
  </r>
  <r>
    <n v="59"/>
    <n v="378"/>
    <d v="2011-01-29T00:00:00"/>
    <x v="10"/>
    <x v="82"/>
    <x v="42"/>
    <x v="58"/>
    <x v="40"/>
  </r>
  <r>
    <n v="60"/>
    <n v="379"/>
    <d v="2011-01-01T00:00:00"/>
    <x v="42"/>
    <x v="83"/>
    <x v="43"/>
    <x v="59"/>
    <x v="13"/>
  </r>
  <r>
    <n v="60"/>
    <n v="379"/>
    <d v="2011-11-11T00:00:00"/>
    <x v="22"/>
    <x v="43"/>
    <x v="43"/>
    <x v="59"/>
    <x v="13"/>
  </r>
  <r>
    <n v="61"/>
    <n v="379"/>
    <d v="2011-07-03T00:00:00"/>
    <x v="10"/>
    <x v="83"/>
    <x v="43"/>
    <x v="60"/>
    <x v="13"/>
  </r>
  <r>
    <n v="62"/>
    <n v="379"/>
    <s v="05/13/11-05/14/11"/>
    <x v="44"/>
    <x v="84"/>
    <x v="43"/>
    <x v="61"/>
    <x v="2"/>
  </r>
  <r>
    <n v="63"/>
    <n v="381"/>
    <d v="2011-11-18T00:00:00"/>
    <x v="35"/>
    <x v="85"/>
    <x v="44"/>
    <x v="62"/>
    <x v="41"/>
  </r>
  <r>
    <n v="63"/>
    <n v="381"/>
    <m/>
    <x v="7"/>
    <x v="86"/>
    <x v="44"/>
    <x v="62"/>
    <x v="41"/>
  </r>
  <r>
    <n v="63"/>
    <n v="406"/>
    <d v="2011-11-18T00:00:00"/>
    <x v="35"/>
    <x v="87"/>
    <x v="45"/>
    <x v="62"/>
    <x v="41"/>
  </r>
  <r>
    <n v="63"/>
    <n v="406"/>
    <m/>
    <x v="7"/>
    <x v="88"/>
    <x v="45"/>
    <x v="62"/>
    <x v="41"/>
  </r>
  <r>
    <n v="63"/>
    <n v="406"/>
    <m/>
    <x v="7"/>
    <x v="86"/>
    <x v="45"/>
    <x v="62"/>
    <x v="41"/>
  </r>
  <r>
    <n v="64"/>
    <n v="436"/>
    <d v="2011-11-30T00:00:00"/>
    <x v="45"/>
    <x v="89"/>
    <x v="46"/>
    <x v="63"/>
    <x v="42"/>
  </r>
  <r>
    <n v="65"/>
    <n v="436"/>
    <m/>
    <x v="7"/>
    <x v="64"/>
    <x v="46"/>
    <x v="64"/>
    <x v="43"/>
  </r>
  <r>
    <n v="66"/>
    <n v="437"/>
    <d v="2011-03-19T00:00:00"/>
    <x v="22"/>
    <x v="1"/>
    <x v="47"/>
    <x v="65"/>
    <x v="2"/>
  </r>
  <r>
    <n v="67"/>
    <n v="441"/>
    <d v="2011-08-02T00:00:00"/>
    <x v="8"/>
    <x v="90"/>
    <x v="48"/>
    <x v="66"/>
    <x v="2"/>
  </r>
  <r>
    <n v="67"/>
    <n v="441"/>
    <d v="2011-02-28T00:00:00"/>
    <x v="22"/>
    <x v="91"/>
    <x v="48"/>
    <x v="66"/>
    <x v="2"/>
  </r>
  <r>
    <n v="68"/>
    <n v="441"/>
    <d v="2011-03-17T00:00:00"/>
    <x v="2"/>
    <x v="92"/>
    <x v="48"/>
    <x v="67"/>
    <x v="2"/>
  </r>
  <r>
    <n v="69"/>
    <n v="442"/>
    <d v="2011-01-01T00:00:00"/>
    <x v="46"/>
    <x v="93"/>
    <x v="49"/>
    <x v="68"/>
    <x v="1"/>
  </r>
  <r>
    <n v="69"/>
    <n v="456"/>
    <d v="2011-01-20T00:00:00"/>
    <x v="1"/>
    <x v="1"/>
    <x v="50"/>
    <x v="68"/>
    <x v="1"/>
  </r>
  <r>
    <n v="70"/>
    <n v="456"/>
    <d v="2011-07-20T00:00:00"/>
    <x v="32"/>
    <x v="43"/>
    <x v="50"/>
    <x v="69"/>
    <x v="44"/>
  </r>
  <r>
    <n v="70"/>
    <n v="456"/>
    <d v="2011-08-17T00:00:00"/>
    <x v="32"/>
    <x v="43"/>
    <x v="50"/>
    <x v="69"/>
    <x v="44"/>
  </r>
  <r>
    <n v="70"/>
    <n v="456"/>
    <d v="2011-09-21T00:00:00"/>
    <x v="32"/>
    <x v="43"/>
    <x v="50"/>
    <x v="69"/>
    <x v="44"/>
  </r>
  <r>
    <n v="71"/>
    <n v="456"/>
    <d v="2011-01-19T00:00:00"/>
    <x v="32"/>
    <x v="43"/>
    <x v="50"/>
    <x v="70"/>
    <x v="44"/>
  </r>
  <r>
    <n v="71"/>
    <n v="456"/>
    <d v="2011-02-16T00:00:00"/>
    <x v="32"/>
    <x v="43"/>
    <x v="50"/>
    <x v="70"/>
    <x v="44"/>
  </r>
  <r>
    <n v="71"/>
    <n v="456"/>
    <d v="2011-03-16T00:00:00"/>
    <x v="32"/>
    <x v="43"/>
    <x v="50"/>
    <x v="70"/>
    <x v="44"/>
  </r>
  <r>
    <n v="70"/>
    <n v="456"/>
    <d v="2011-10-19T00:00:00"/>
    <x v="32"/>
    <x v="43"/>
    <x v="50"/>
    <x v="69"/>
    <x v="44"/>
  </r>
  <r>
    <n v="70"/>
    <n v="456"/>
    <d v="2011-11-16T00:00:00"/>
    <x v="32"/>
    <x v="43"/>
    <x v="50"/>
    <x v="69"/>
    <x v="44"/>
  </r>
  <r>
    <n v="72"/>
    <n v="456"/>
    <d v="2011-04-20T00:00:00"/>
    <x v="32"/>
    <x v="43"/>
    <x v="50"/>
    <x v="71"/>
    <x v="44"/>
  </r>
  <r>
    <n v="72"/>
    <n v="456"/>
    <d v="2011-05-18T00:00:00"/>
    <x v="12"/>
    <x v="43"/>
    <x v="50"/>
    <x v="71"/>
    <x v="44"/>
  </r>
  <r>
    <n v="72"/>
    <n v="456"/>
    <d v="2011-06-15T00:00:00"/>
    <x v="32"/>
    <x v="43"/>
    <x v="50"/>
    <x v="71"/>
    <x v="44"/>
  </r>
  <r>
    <n v="73"/>
    <n v="458"/>
    <d v="2011-09-16T00:00:00"/>
    <x v="35"/>
    <x v="94"/>
    <x v="51"/>
    <x v="72"/>
    <x v="45"/>
  </r>
  <r>
    <n v="73"/>
    <n v="458"/>
    <d v="2011-12-22T00:00:00"/>
    <x v="1"/>
    <x v="95"/>
    <x v="51"/>
    <x v="72"/>
    <x v="45"/>
  </r>
  <r>
    <n v="74"/>
    <n v="459"/>
    <d v="2011-01-18T00:00:00"/>
    <x v="47"/>
    <x v="96"/>
    <x v="52"/>
    <x v="73"/>
    <x v="13"/>
  </r>
  <r>
    <n v="75"/>
    <n v="464"/>
    <d v="2011-08-12T00:00:00"/>
    <x v="48"/>
    <x v="97"/>
    <x v="53"/>
    <x v="74"/>
    <x v="2"/>
  </r>
  <r>
    <n v="76"/>
    <n v="466"/>
    <d v="2011-11-30T00:00:00"/>
    <x v="49"/>
    <x v="98"/>
    <x v="54"/>
    <x v="75"/>
    <x v="10"/>
  </r>
  <r>
    <n v="77"/>
    <n v="466"/>
    <d v="2011-05-09T00:00:00"/>
    <x v="14"/>
    <x v="99"/>
    <x v="54"/>
    <x v="76"/>
    <x v="46"/>
  </r>
  <r>
    <n v="77"/>
    <n v="466"/>
    <m/>
    <x v="7"/>
    <x v="100"/>
    <x v="54"/>
    <x v="76"/>
    <x v="46"/>
  </r>
  <r>
    <n v="77"/>
    <n v="466"/>
    <m/>
    <x v="7"/>
    <x v="101"/>
    <x v="54"/>
    <x v="76"/>
    <x v="46"/>
  </r>
  <r>
    <n v="78"/>
    <n v="466"/>
    <d v="2011-01-13T00:00:00"/>
    <x v="14"/>
    <x v="102"/>
    <x v="54"/>
    <x v="77"/>
    <x v="2"/>
  </r>
  <r>
    <n v="78"/>
    <n v="466"/>
    <m/>
    <x v="7"/>
    <x v="103"/>
    <x v="54"/>
    <x v="77"/>
    <x v="2"/>
  </r>
  <r>
    <n v="78"/>
    <n v="466"/>
    <m/>
    <x v="7"/>
    <x v="104"/>
    <x v="54"/>
    <x v="77"/>
    <x v="2"/>
  </r>
  <r>
    <n v="79"/>
    <n v="466"/>
    <d v="2011-12-08T00:00:00"/>
    <x v="14"/>
    <x v="105"/>
    <x v="54"/>
    <x v="78"/>
    <x v="47"/>
  </r>
  <r>
    <n v="79"/>
    <n v="466"/>
    <m/>
    <x v="7"/>
    <x v="106"/>
    <x v="54"/>
    <x v="78"/>
    <x v="47"/>
  </r>
  <r>
    <n v="80"/>
    <n v="472"/>
    <d v="2011-10-15T00:00:00"/>
    <x v="46"/>
    <x v="107"/>
    <x v="55"/>
    <x v="79"/>
    <x v="48"/>
  </r>
  <r>
    <n v="80"/>
    <n v="472"/>
    <m/>
    <x v="7"/>
    <x v="108"/>
    <x v="55"/>
    <x v="79"/>
    <x v="48"/>
  </r>
  <r>
    <n v="80"/>
    <n v="472"/>
    <m/>
    <x v="7"/>
    <x v="109"/>
    <x v="55"/>
    <x v="79"/>
    <x v="48"/>
  </r>
  <r>
    <n v="81"/>
    <n v="484"/>
    <d v="2011-01-15T00:00:00"/>
    <x v="35"/>
    <x v="110"/>
    <x v="56"/>
    <x v="80"/>
    <x v="49"/>
  </r>
  <r>
    <n v="82"/>
    <n v="489"/>
    <s v="06/-/11"/>
    <x v="1"/>
    <x v="111"/>
    <x v="57"/>
    <x v="81"/>
    <x v="50"/>
  </r>
  <r>
    <n v="82"/>
    <n v="489"/>
    <s v="12/ /11"/>
    <x v="1"/>
    <x v="112"/>
    <x v="57"/>
    <x v="81"/>
    <x v="50"/>
  </r>
  <r>
    <n v="83"/>
    <n v="489"/>
    <d v="2011-06-01T00:00:00"/>
    <x v="2"/>
    <x v="113"/>
    <x v="57"/>
    <x v="82"/>
    <x v="51"/>
  </r>
  <r>
    <n v="83"/>
    <n v="489"/>
    <d v="2011-12-01T00:00:00"/>
    <x v="2"/>
    <x v="114"/>
    <x v="57"/>
    <x v="82"/>
    <x v="51"/>
  </r>
  <r>
    <n v="84"/>
    <n v="495"/>
    <d v="2011-04-01T00:00:00"/>
    <x v="22"/>
    <x v="115"/>
    <x v="58"/>
    <x v="83"/>
    <x v="10"/>
  </r>
  <r>
    <n v="84"/>
    <n v="495"/>
    <m/>
    <x v="7"/>
    <x v="116"/>
    <x v="58"/>
    <x v="83"/>
    <x v="10"/>
  </r>
  <r>
    <n v="84"/>
    <n v="495"/>
    <d v="2011-06-18T00:00:00"/>
    <x v="35"/>
    <x v="117"/>
    <x v="58"/>
    <x v="83"/>
    <x v="10"/>
  </r>
  <r>
    <n v="84"/>
    <n v="495"/>
    <m/>
    <x v="7"/>
    <x v="116"/>
    <x v="58"/>
    <x v="83"/>
    <x v="10"/>
  </r>
  <r>
    <n v="8"/>
    <n v="495"/>
    <d v="2011-11-30T00:00:00"/>
    <x v="11"/>
    <x v="117"/>
    <x v="58"/>
    <x v="7"/>
    <x v="1"/>
  </r>
  <r>
    <n v="8"/>
    <n v="495"/>
    <m/>
    <x v="7"/>
    <x v="116"/>
    <x v="58"/>
    <x v="7"/>
    <x v="1"/>
  </r>
  <r>
    <n v="85"/>
    <n v="498"/>
    <d v="2011-05-19T00:00:00"/>
    <x v="2"/>
    <x v="111"/>
    <x v="59"/>
    <x v="84"/>
    <x v="52"/>
  </r>
  <r>
    <n v="25"/>
    <n v="499"/>
    <d v="2011-04-01T00:00:00"/>
    <x v="22"/>
    <x v="24"/>
    <x v="60"/>
    <x v="24"/>
    <x v="16"/>
  </r>
  <r>
    <n v="25"/>
    <n v="499"/>
    <d v="2011-09-28T00:00:00"/>
    <x v="14"/>
    <x v="118"/>
    <x v="60"/>
    <x v="24"/>
    <x v="16"/>
  </r>
  <r>
    <n v="86"/>
    <n v="510"/>
    <m/>
    <x v="7"/>
    <x v="119"/>
    <x v="61"/>
    <x v="85"/>
    <x v="53"/>
  </r>
  <r>
    <n v="87"/>
    <n v="520"/>
    <d v="2011-01-07T00:00:00"/>
    <x v="13"/>
    <x v="18"/>
    <x v="62"/>
    <x v="86"/>
    <x v="54"/>
  </r>
  <r>
    <n v="87"/>
    <n v="520"/>
    <d v="2011-03-04T00:00:00"/>
    <x v="14"/>
    <x v="18"/>
    <x v="62"/>
    <x v="86"/>
    <x v="54"/>
  </r>
  <r>
    <n v="87"/>
    <n v="520"/>
    <d v="2011-04-08T00:00:00"/>
    <x v="15"/>
    <x v="18"/>
    <x v="62"/>
    <x v="86"/>
    <x v="54"/>
  </r>
  <r>
    <n v="54"/>
    <n v="520"/>
    <d v="2011-06-07T00:00:00"/>
    <x v="50"/>
    <x v="120"/>
    <x v="62"/>
    <x v="53"/>
    <x v="36"/>
  </r>
  <r>
    <n v="54"/>
    <n v="520"/>
    <d v="2011-06-06T00:00:00"/>
    <x v="51"/>
    <x v="121"/>
    <x v="62"/>
    <x v="53"/>
    <x v="36"/>
  </r>
  <r>
    <n v="54"/>
    <n v="520"/>
    <d v="2011-09-15T00:00:00"/>
    <x v="52"/>
    <x v="122"/>
    <x v="62"/>
    <x v="53"/>
    <x v="36"/>
  </r>
  <r>
    <n v="87"/>
    <n v="520"/>
    <d v="2011-09-18T00:00:00"/>
    <x v="9"/>
    <x v="18"/>
    <x v="62"/>
    <x v="86"/>
    <x v="54"/>
  </r>
  <r>
    <n v="87"/>
    <n v="520"/>
    <d v="2011-11-04T00:00:00"/>
    <x v="53"/>
    <x v="18"/>
    <x v="62"/>
    <x v="86"/>
    <x v="54"/>
  </r>
  <r>
    <n v="88"/>
    <n v="532"/>
    <d v="2011-06-09T00:00:00"/>
    <x v="30"/>
    <x v="123"/>
    <x v="63"/>
    <x v="87"/>
    <x v="55"/>
  </r>
  <r>
    <n v="88"/>
    <n v="532"/>
    <d v="2011-09-27T00:00:00"/>
    <x v="2"/>
    <x v="43"/>
    <x v="63"/>
    <x v="87"/>
    <x v="55"/>
  </r>
  <r>
    <n v="88"/>
    <n v="532"/>
    <d v="2011-12-06T00:00:00"/>
    <x v="2"/>
    <x v="43"/>
    <x v="63"/>
    <x v="87"/>
    <x v="55"/>
  </r>
  <r>
    <n v="89"/>
    <n v="532"/>
    <d v="2011-12-16T00:00:00"/>
    <x v="2"/>
    <x v="124"/>
    <x v="63"/>
    <x v="88"/>
    <x v="12"/>
  </r>
  <r>
    <n v="90"/>
    <n v="541"/>
    <d v="2011-12-09T00:00:00"/>
    <x v="10"/>
    <x v="125"/>
    <x v="64"/>
    <x v="89"/>
    <x v="10"/>
  </r>
  <r>
    <n v="90"/>
    <n v="541"/>
    <m/>
    <x v="7"/>
    <x v="126"/>
    <x v="64"/>
    <x v="89"/>
    <x v="10"/>
  </r>
  <r>
    <n v="91"/>
    <n v="541"/>
    <d v="2011-12-04T00:00:00"/>
    <x v="1"/>
    <x v="127"/>
    <x v="64"/>
    <x v="90"/>
    <x v="10"/>
  </r>
  <r>
    <n v="91"/>
    <n v="541"/>
    <m/>
    <x v="7"/>
    <x v="128"/>
    <x v="64"/>
    <x v="90"/>
    <x v="10"/>
  </r>
  <r>
    <n v="92"/>
    <n v="543"/>
    <d v="2011-01-22T00:00:00"/>
    <x v="47"/>
    <x v="129"/>
    <x v="65"/>
    <x v="91"/>
    <x v="56"/>
  </r>
  <r>
    <n v="92"/>
    <n v="543"/>
    <d v="2011-08-07T00:00:00"/>
    <x v="47"/>
    <x v="129"/>
    <x v="65"/>
    <x v="91"/>
    <x v="56"/>
  </r>
  <r>
    <n v="93"/>
    <n v="545"/>
    <d v="2011-10-22T00:00:00"/>
    <x v="33"/>
    <x v="130"/>
    <x v="66"/>
    <x v="92"/>
    <x v="1"/>
  </r>
  <r>
    <n v="93"/>
    <n v="545"/>
    <m/>
    <x v="7"/>
    <x v="131"/>
    <x v="66"/>
    <x v="92"/>
    <x v="1"/>
  </r>
  <r>
    <n v="94"/>
    <n v="545"/>
    <d v="2011-01-26T00:00:00"/>
    <x v="10"/>
    <x v="132"/>
    <x v="66"/>
    <x v="93"/>
    <x v="1"/>
  </r>
  <r>
    <n v="94"/>
    <n v="545"/>
    <m/>
    <x v="7"/>
    <x v="133"/>
    <x v="66"/>
    <x v="93"/>
    <x v="1"/>
  </r>
  <r>
    <n v="95"/>
    <n v="555"/>
    <d v="2011-01-20T00:00:00"/>
    <x v="1"/>
    <x v="1"/>
    <x v="67"/>
    <x v="94"/>
    <x v="57"/>
  </r>
  <r>
    <n v="96"/>
    <n v="555"/>
    <d v="2011-08-25T00:00:00"/>
    <x v="54"/>
    <x v="134"/>
    <x v="67"/>
    <x v="95"/>
    <x v="58"/>
  </r>
  <r>
    <n v="97"/>
    <n v="556"/>
    <d v="2011-01-01T00:00:00"/>
    <x v="1"/>
    <x v="135"/>
    <x v="68"/>
    <x v="96"/>
    <x v="59"/>
  </r>
  <r>
    <n v="98"/>
    <n v="561"/>
    <d v="2011-04-27T00:00:00"/>
    <x v="10"/>
    <x v="136"/>
    <x v="69"/>
    <x v="97"/>
    <x v="60"/>
  </r>
  <r>
    <n v="98"/>
    <n v="561"/>
    <m/>
    <x v="7"/>
    <x v="137"/>
    <x v="69"/>
    <x v="97"/>
    <x v="60"/>
  </r>
  <r>
    <n v="99"/>
    <n v="561"/>
    <d v="2011-06-09T00:00:00"/>
    <x v="22"/>
    <x v="138"/>
    <x v="69"/>
    <x v="98"/>
    <x v="23"/>
  </r>
  <r>
    <n v="99"/>
    <n v="561"/>
    <m/>
    <x v="7"/>
    <x v="139"/>
    <x v="69"/>
    <x v="98"/>
    <x v="23"/>
  </r>
  <r>
    <n v="100"/>
    <n v="561"/>
    <d v="2011-09-07T00:00:00"/>
    <x v="26"/>
    <x v="136"/>
    <x v="69"/>
    <x v="99"/>
    <x v="61"/>
  </r>
  <r>
    <n v="100"/>
    <n v="561"/>
    <m/>
    <x v="7"/>
    <x v="137"/>
    <x v="69"/>
    <x v="99"/>
    <x v="61"/>
  </r>
  <r>
    <n v="101"/>
    <n v="561"/>
    <d v="2012-09-30T00:00:00"/>
    <x v="22"/>
    <x v="140"/>
    <x v="69"/>
    <x v="100"/>
    <x v="34"/>
  </r>
  <r>
    <n v="101"/>
    <n v="561"/>
    <m/>
    <x v="7"/>
    <x v="1"/>
    <x v="69"/>
    <x v="100"/>
    <x v="34"/>
  </r>
  <r>
    <n v="102"/>
    <n v="561"/>
    <d v="2011-12-14T00:00:00"/>
    <x v="21"/>
    <x v="141"/>
    <x v="69"/>
    <x v="101"/>
    <x v="23"/>
  </r>
  <r>
    <n v="103"/>
    <n v="561"/>
    <d v="2011-01-10T00:00:00"/>
    <x v="30"/>
    <x v="142"/>
    <x v="69"/>
    <x v="102"/>
    <x v="23"/>
  </r>
  <r>
    <n v="104"/>
    <n v="561"/>
    <d v="2011-01-22T00:00:00"/>
    <x v="10"/>
    <x v="143"/>
    <x v="69"/>
    <x v="103"/>
    <x v="23"/>
  </r>
  <r>
    <n v="104"/>
    <n v="561"/>
    <m/>
    <x v="7"/>
    <x v="144"/>
    <x v="69"/>
    <x v="103"/>
    <x v="23"/>
  </r>
  <r>
    <n v="105"/>
    <n v="561"/>
    <d v="2011-01-26T00:00:00"/>
    <x v="8"/>
    <x v="142"/>
    <x v="69"/>
    <x v="104"/>
    <x v="23"/>
  </r>
  <r>
    <n v="106"/>
    <n v="561"/>
    <d v="2011-01-27T00:00:00"/>
    <x v="10"/>
    <x v="145"/>
    <x v="69"/>
    <x v="99"/>
    <x v="62"/>
  </r>
  <r>
    <n v="106"/>
    <n v="561"/>
    <m/>
    <x v="7"/>
    <x v="146"/>
    <x v="69"/>
    <x v="99"/>
    <x v="62"/>
  </r>
  <r>
    <n v="106"/>
    <n v="561"/>
    <m/>
    <x v="7"/>
    <x v="147"/>
    <x v="69"/>
    <x v="99"/>
    <x v="62"/>
  </r>
  <r>
    <n v="107"/>
    <n v="561"/>
    <d v="2011-03-25T00:00:00"/>
    <x v="33"/>
    <x v="148"/>
    <x v="69"/>
    <x v="105"/>
    <x v="23"/>
  </r>
  <r>
    <n v="107"/>
    <n v="561"/>
    <m/>
    <x v="7"/>
    <x v="149"/>
    <x v="69"/>
    <x v="105"/>
    <x v="23"/>
  </r>
  <r>
    <n v="8"/>
    <n v="561"/>
    <d v="2011-04-05T00:00:00"/>
    <x v="55"/>
    <x v="150"/>
    <x v="69"/>
    <x v="7"/>
    <x v="1"/>
  </r>
  <r>
    <n v="108"/>
    <n v="564"/>
    <d v="2011-02-15T00:00:00"/>
    <x v="10"/>
    <x v="151"/>
    <x v="70"/>
    <x v="106"/>
    <x v="63"/>
  </r>
  <r>
    <n v="109"/>
    <n v="564"/>
    <d v="2011-01-01T00:00:00"/>
    <x v="5"/>
    <x v="152"/>
    <x v="70"/>
    <x v="107"/>
    <x v="64"/>
  </r>
  <r>
    <n v="109"/>
    <n v="564"/>
    <d v="2011-11-01T00:00:00"/>
    <x v="7"/>
    <x v="153"/>
    <x v="70"/>
    <x v="107"/>
    <x v="64"/>
  </r>
  <r>
    <n v="110"/>
    <n v="564"/>
    <d v="2011-07-18T00:00:00"/>
    <x v="56"/>
    <x v="154"/>
    <x v="70"/>
    <x v="108"/>
    <x v="65"/>
  </r>
  <r>
    <n v="110"/>
    <n v="564"/>
    <m/>
    <x v="7"/>
    <x v="155"/>
    <x v="70"/>
    <x v="108"/>
    <x v="65"/>
  </r>
  <r>
    <n v="111"/>
    <n v="564"/>
    <m/>
    <x v="22"/>
    <x v="151"/>
    <x v="70"/>
    <x v="109"/>
    <x v="65"/>
  </r>
  <r>
    <n v="112"/>
    <n v="564"/>
    <d v="2011-02-03T00:00:00"/>
    <x v="4"/>
    <x v="156"/>
    <x v="70"/>
    <x v="110"/>
    <x v="65"/>
  </r>
  <r>
    <n v="113"/>
    <n v="564"/>
    <d v="2011-08-27T00:00:00"/>
    <x v="10"/>
    <x v="157"/>
    <x v="70"/>
    <x v="111"/>
    <x v="64"/>
  </r>
  <r>
    <n v="113"/>
    <n v="564"/>
    <m/>
    <x v="7"/>
    <x v="155"/>
    <x v="70"/>
    <x v="111"/>
    <x v="64"/>
  </r>
  <r>
    <n v="114"/>
    <n v="565"/>
    <d v="2011-12-08T00:00:00"/>
    <x v="42"/>
    <x v="158"/>
    <x v="71"/>
    <x v="112"/>
    <x v="12"/>
  </r>
  <r>
    <n v="91"/>
    <n v="565"/>
    <d v="2011-08-10T00:00:00"/>
    <x v="27"/>
    <x v="159"/>
    <x v="71"/>
    <x v="90"/>
    <x v="10"/>
  </r>
  <r>
    <n v="115"/>
    <n v="568"/>
    <d v="2011-04-15T00:00:00"/>
    <x v="2"/>
    <x v="1"/>
    <x v="72"/>
    <x v="113"/>
    <x v="66"/>
  </r>
  <r>
    <n v="116"/>
    <n v="568"/>
    <d v="2011-01-07T00:00:00"/>
    <x v="2"/>
    <x v="1"/>
    <x v="72"/>
    <x v="114"/>
    <x v="67"/>
  </r>
  <r>
    <n v="117"/>
    <n v="568"/>
    <d v="2011-01-02T00:00:00"/>
    <x v="47"/>
    <x v="160"/>
    <x v="72"/>
    <x v="115"/>
    <x v="12"/>
  </r>
  <r>
    <n v="118"/>
    <n v="568"/>
    <d v="2011-01-16T00:00:00"/>
    <x v="2"/>
    <x v="43"/>
    <x v="72"/>
    <x v="116"/>
    <x v="12"/>
  </r>
  <r>
    <n v="119"/>
    <n v="568"/>
    <d v="2011-02-13T00:00:00"/>
    <x v="57"/>
    <x v="161"/>
    <x v="72"/>
    <x v="117"/>
    <x v="67"/>
  </r>
  <r>
    <n v="120"/>
    <n v="568"/>
    <d v="2011-12-23T00:00:00"/>
    <x v="22"/>
    <x v="162"/>
    <x v="72"/>
    <x v="118"/>
    <x v="68"/>
  </r>
  <r>
    <n v="121"/>
    <n v="568"/>
    <d v="2011-06-17T00:00:00"/>
    <x v="58"/>
    <x v="163"/>
    <x v="72"/>
    <x v="119"/>
    <x v="69"/>
  </r>
  <r>
    <n v="63"/>
    <n v="570"/>
    <d v="2011-11-18T00:00:00"/>
    <x v="35"/>
    <x v="164"/>
    <x v="73"/>
    <x v="62"/>
    <x v="41"/>
  </r>
  <r>
    <n v="122"/>
    <n v="579"/>
    <d v="2011-02-11T00:00:00"/>
    <x v="59"/>
    <x v="165"/>
    <x v="74"/>
    <x v="120"/>
    <x v="70"/>
  </r>
  <r>
    <n v="123"/>
    <n v="583"/>
    <n v="11"/>
    <x v="10"/>
    <x v="166"/>
    <x v="75"/>
    <x v="121"/>
    <x v="65"/>
  </r>
  <r>
    <n v="124"/>
    <n v="583"/>
    <d v="2011-12-15T00:00:00"/>
    <x v="2"/>
    <x v="167"/>
    <x v="75"/>
    <x v="122"/>
    <x v="2"/>
  </r>
  <r>
    <n v="125"/>
    <n v="588"/>
    <m/>
    <x v="7"/>
    <x v="168"/>
    <x v="76"/>
    <x v="123"/>
    <x v="71"/>
  </r>
  <r>
    <n v="126"/>
    <n v="588"/>
    <m/>
    <x v="7"/>
    <x v="169"/>
    <x v="76"/>
    <x v="124"/>
    <x v="72"/>
  </r>
  <r>
    <n v="127"/>
    <n v="590"/>
    <d v="2011-09-14T00:00:00"/>
    <x v="60"/>
    <x v="170"/>
    <x v="77"/>
    <x v="125"/>
    <x v="73"/>
  </r>
  <r>
    <n v="128"/>
    <n v="593"/>
    <s v="4 8 10 11"/>
    <x v="61"/>
    <x v="171"/>
    <x v="78"/>
    <x v="126"/>
    <x v="74"/>
  </r>
  <r>
    <n v="128"/>
    <n v="593"/>
    <s v="4/8-10/11"/>
    <x v="61"/>
    <x v="172"/>
    <x v="78"/>
    <x v="126"/>
    <x v="74"/>
  </r>
  <r>
    <n v="128"/>
    <n v="593"/>
    <m/>
    <x v="7"/>
    <x v="173"/>
    <x v="78"/>
    <x v="126"/>
    <x v="74"/>
  </r>
  <r>
    <n v="129"/>
    <n v="593"/>
    <d v="2010-10-03T00:00:00"/>
    <x v="62"/>
    <x v="174"/>
    <x v="78"/>
    <x v="127"/>
    <x v="75"/>
  </r>
  <r>
    <n v="129"/>
    <n v="593"/>
    <m/>
    <x v="7"/>
    <x v="175"/>
    <x v="78"/>
    <x v="127"/>
    <x v="75"/>
  </r>
  <r>
    <n v="130"/>
    <n v="593"/>
    <s v="9/16-18/11"/>
    <x v="63"/>
    <x v="176"/>
    <x v="78"/>
    <x v="128"/>
    <x v="76"/>
  </r>
  <r>
    <n v="131"/>
    <n v="598"/>
    <d v="2011-08-27T00:00:00"/>
    <x v="10"/>
    <x v="177"/>
    <x v="79"/>
    <x v="129"/>
    <x v="77"/>
  </r>
  <r>
    <n v="132"/>
    <n v="598"/>
    <d v="2011-09-07T00:00:00"/>
    <x v="37"/>
    <x v="178"/>
    <x v="79"/>
    <x v="130"/>
    <x v="78"/>
  </r>
  <r>
    <n v="132"/>
    <n v="598"/>
    <d v="2011-10-28T00:00:00"/>
    <x v="64"/>
    <x v="179"/>
    <x v="79"/>
    <x v="130"/>
    <x v="78"/>
  </r>
  <r>
    <n v="132"/>
    <n v="598"/>
    <m/>
    <x v="7"/>
    <x v="180"/>
    <x v="79"/>
    <x v="130"/>
    <x v="78"/>
  </r>
  <r>
    <n v="133"/>
    <n v="598"/>
    <d v="2011-11-03T00:00:00"/>
    <x v="30"/>
    <x v="181"/>
    <x v="79"/>
    <x v="131"/>
    <x v="79"/>
  </r>
  <r>
    <n v="133"/>
    <n v="598"/>
    <d v="2011-09-27T00:00:00"/>
    <x v="30"/>
    <x v="182"/>
    <x v="79"/>
    <x v="131"/>
    <x v="79"/>
  </r>
  <r>
    <n v="133"/>
    <n v="598"/>
    <d v="2011-12-15T00:00:00"/>
    <x v="42"/>
    <x v="183"/>
    <x v="79"/>
    <x v="131"/>
    <x v="79"/>
  </r>
  <r>
    <n v="134"/>
    <n v="598"/>
    <d v="2011-07-28T00:00:00"/>
    <x v="65"/>
    <x v="184"/>
    <x v="79"/>
    <x v="132"/>
    <x v="80"/>
  </r>
  <r>
    <n v="135"/>
    <n v="599"/>
    <d v="2011-10-28T00:00:00"/>
    <x v="32"/>
    <x v="185"/>
    <x v="80"/>
    <x v="133"/>
    <x v="81"/>
  </r>
  <r>
    <n v="135"/>
    <n v="599"/>
    <d v="2011-12-08T00:00:00"/>
    <x v="32"/>
    <x v="185"/>
    <x v="80"/>
    <x v="133"/>
    <x v="81"/>
  </r>
  <r>
    <n v="136"/>
    <n v="289"/>
    <d v="2011-01-28T00:00:00"/>
    <x v="1"/>
    <x v="186"/>
    <x v="81"/>
    <x v="134"/>
    <x v="82"/>
  </r>
  <r>
    <n v="137"/>
    <n v="289"/>
    <d v="2011-03-25T00:00:00"/>
    <x v="1"/>
    <x v="187"/>
    <x v="81"/>
    <x v="135"/>
    <x v="83"/>
  </r>
  <r>
    <n v="137"/>
    <n v="289"/>
    <m/>
    <x v="7"/>
    <x v="1"/>
    <x v="81"/>
    <x v="135"/>
    <x v="83"/>
  </r>
  <r>
    <n v="138"/>
    <n v="289"/>
    <d v="2011-12-26T00:00:00"/>
    <x v="1"/>
    <x v="188"/>
    <x v="81"/>
    <x v="136"/>
    <x v="84"/>
  </r>
  <r>
    <n v="139"/>
    <n v="289"/>
    <s v="9 30 11"/>
    <x v="2"/>
    <x v="189"/>
    <x v="81"/>
    <x v="137"/>
    <x v="85"/>
  </r>
  <r>
    <n v="140"/>
    <n v="289"/>
    <d v="2011-10-18T00:00:00"/>
    <x v="39"/>
    <x v="190"/>
    <x v="81"/>
    <x v="138"/>
    <x v="86"/>
  </r>
  <r>
    <n v="141"/>
    <n v="289"/>
    <d v="2011-07-02T00:00:00"/>
    <x v="66"/>
    <x v="191"/>
    <x v="81"/>
    <x v="139"/>
    <x v="87"/>
  </r>
  <r>
    <n v="142"/>
    <n v="608"/>
    <d v="2011-01-22T00:00:00"/>
    <x v="1"/>
    <x v="192"/>
    <x v="82"/>
    <x v="140"/>
    <x v="88"/>
  </r>
  <r>
    <n v="143"/>
    <n v="608"/>
    <d v="2011-04-29T00:00:00"/>
    <x v="2"/>
    <x v="193"/>
    <x v="82"/>
    <x v="141"/>
    <x v="89"/>
  </r>
  <r>
    <n v="143"/>
    <n v="608"/>
    <m/>
    <x v="7"/>
    <x v="194"/>
    <x v="82"/>
    <x v="141"/>
    <x v="89"/>
  </r>
  <r>
    <n v="143"/>
    <n v="608"/>
    <m/>
    <x v="7"/>
    <x v="195"/>
    <x v="82"/>
    <x v="141"/>
    <x v="89"/>
  </r>
  <r>
    <n v="144"/>
    <n v="608"/>
    <d v="2011-12-13T00:00:00"/>
    <x v="22"/>
    <x v="196"/>
    <x v="82"/>
    <x v="142"/>
    <x v="90"/>
  </r>
  <r>
    <n v="144"/>
    <n v="608"/>
    <d v="2011-03-10T00:00:00"/>
    <x v="22"/>
    <x v="197"/>
    <x v="82"/>
    <x v="142"/>
    <x v="90"/>
  </r>
  <r>
    <n v="144"/>
    <n v="608"/>
    <d v="2011-03-11T00:00:00"/>
    <x v="22"/>
    <x v="198"/>
    <x v="82"/>
    <x v="142"/>
    <x v="90"/>
  </r>
  <r>
    <n v="145"/>
    <n v="608"/>
    <s v="11 8 11"/>
    <x v="2"/>
    <x v="199"/>
    <x v="82"/>
    <x v="143"/>
    <x v="89"/>
  </r>
  <r>
    <n v="146"/>
    <n v="608"/>
    <d v="2011-04-05T00:00:00"/>
    <x v="8"/>
    <x v="200"/>
    <x v="82"/>
    <x v="144"/>
    <x v="91"/>
  </r>
  <r>
    <n v="146"/>
    <n v="608"/>
    <d v="2011-01-28T00:00:00"/>
    <x v="55"/>
    <x v="201"/>
    <x v="82"/>
    <x v="144"/>
    <x v="91"/>
  </r>
  <r>
    <n v="147"/>
    <n v="608"/>
    <d v="2011-09-07T00:00:00"/>
    <x v="1"/>
    <x v="202"/>
    <x v="82"/>
    <x v="145"/>
    <x v="92"/>
  </r>
  <r>
    <n v="147"/>
    <n v="608"/>
    <d v="2011-04-27T00:00:00"/>
    <x v="67"/>
    <x v="203"/>
    <x v="82"/>
    <x v="145"/>
    <x v="92"/>
  </r>
  <r>
    <n v="147"/>
    <n v="608"/>
    <d v="2011-12-06T00:00:00"/>
    <x v="22"/>
    <x v="204"/>
    <x v="82"/>
    <x v="145"/>
    <x v="92"/>
  </r>
  <r>
    <n v="148"/>
    <n v="609"/>
    <d v="2011-01-25T00:00:00"/>
    <x v="4"/>
    <x v="205"/>
    <x v="83"/>
    <x v="146"/>
    <x v="93"/>
  </r>
  <r>
    <n v="148"/>
    <n v="609"/>
    <d v="2011-12-13T00:00:00"/>
    <x v="4"/>
    <x v="206"/>
    <x v="83"/>
    <x v="146"/>
    <x v="93"/>
  </r>
  <r>
    <n v="148"/>
    <n v="609"/>
    <m/>
    <x v="7"/>
    <x v="207"/>
    <x v="83"/>
    <x v="146"/>
    <x v="93"/>
  </r>
  <r>
    <n v="149"/>
    <n v="610"/>
    <s v="08 10"/>
    <x v="1"/>
    <x v="208"/>
    <x v="84"/>
    <x v="147"/>
    <x v="94"/>
  </r>
  <r>
    <n v="149"/>
    <n v="610"/>
    <m/>
    <x v="7"/>
    <x v="209"/>
    <x v="84"/>
    <x v="147"/>
    <x v="94"/>
  </r>
  <r>
    <n v="150"/>
    <n v="611"/>
    <d v="2011-01-01T00:00:00"/>
    <x v="5"/>
    <x v="210"/>
    <x v="85"/>
    <x v="148"/>
    <x v="95"/>
  </r>
  <r>
    <n v="150"/>
    <n v="611"/>
    <d v="2011-12-31T00:00:00"/>
    <x v="7"/>
    <x v="211"/>
    <x v="85"/>
    <x v="148"/>
    <x v="95"/>
  </r>
  <r>
    <n v="151"/>
    <n v="611"/>
    <s v="12/  /10"/>
    <x v="47"/>
    <x v="212"/>
    <x v="85"/>
    <x v="149"/>
    <x v="96"/>
  </r>
  <r>
    <n v="152"/>
    <n v="611"/>
    <d v="2011-01-01T00:00:00"/>
    <x v="10"/>
    <x v="213"/>
    <x v="85"/>
    <x v="150"/>
    <x v="97"/>
  </r>
  <r>
    <n v="152"/>
    <n v="611"/>
    <d v="2011-12-31T00:00:00"/>
    <x v="7"/>
    <x v="211"/>
    <x v="85"/>
    <x v="150"/>
    <x v="97"/>
  </r>
  <r>
    <n v="153"/>
    <n v="611"/>
    <s v="12/ /11"/>
    <x v="39"/>
    <x v="214"/>
    <x v="85"/>
    <x v="151"/>
    <x v="2"/>
  </r>
  <r>
    <n v="153"/>
    <n v="611"/>
    <m/>
    <x v="7"/>
    <x v="1"/>
    <x v="85"/>
    <x v="151"/>
    <x v="2"/>
  </r>
  <r>
    <n v="154"/>
    <n v="612"/>
    <d v="2011-01-01T00:00:00"/>
    <x v="28"/>
    <x v="215"/>
    <x v="86"/>
    <x v="152"/>
    <x v="98"/>
  </r>
  <r>
    <n v="155"/>
    <n v="612"/>
    <d v="2011-08-12T00:00:00"/>
    <x v="2"/>
    <x v="216"/>
    <x v="86"/>
    <x v="153"/>
    <x v="10"/>
  </r>
  <r>
    <n v="156"/>
    <n v="613"/>
    <m/>
    <x v="1"/>
    <x v="217"/>
    <x v="87"/>
    <x v="154"/>
    <x v="99"/>
  </r>
  <r>
    <n v="157"/>
    <n v="613"/>
    <d v="2011-12-06T00:00:00"/>
    <x v="5"/>
    <x v="218"/>
    <x v="87"/>
    <x v="155"/>
    <x v="100"/>
  </r>
  <r>
    <n v="157"/>
    <n v="613"/>
    <m/>
    <x v="7"/>
    <x v="219"/>
    <x v="87"/>
    <x v="155"/>
    <x v="100"/>
  </r>
  <r>
    <n v="157"/>
    <n v="613"/>
    <m/>
    <x v="7"/>
    <x v="220"/>
    <x v="87"/>
    <x v="155"/>
    <x v="100"/>
  </r>
  <r>
    <n v="158"/>
    <n v="622"/>
    <d v="2011-05-07T00:00:00"/>
    <x v="68"/>
    <x v="1"/>
    <x v="88"/>
    <x v="156"/>
    <x v="2"/>
  </r>
  <r>
    <n v="159"/>
    <n v="622"/>
    <d v="2011-05-19T00:00:00"/>
    <x v="26"/>
    <x v="1"/>
    <x v="88"/>
    <x v="157"/>
    <x v="2"/>
  </r>
  <r>
    <n v="63"/>
    <n v="635"/>
    <d v="2011-11-18T00:00:00"/>
    <x v="35"/>
    <x v="87"/>
    <x v="89"/>
    <x v="62"/>
    <x v="41"/>
  </r>
  <r>
    <n v="63"/>
    <n v="635"/>
    <m/>
    <x v="7"/>
    <x v="221"/>
    <x v="89"/>
    <x v="62"/>
    <x v="41"/>
  </r>
  <r>
    <n v="63"/>
    <n v="635"/>
    <m/>
    <x v="7"/>
    <x v="222"/>
    <x v="89"/>
    <x v="62"/>
    <x v="41"/>
  </r>
  <r>
    <n v="160"/>
    <n v="643"/>
    <s v="07 30 11"/>
    <x v="1"/>
    <x v="223"/>
    <x v="90"/>
    <x v="158"/>
    <x v="101"/>
  </r>
  <r>
    <n v="161"/>
    <n v="667"/>
    <d v="2011-12-17T00:00:00"/>
    <x v="33"/>
    <x v="224"/>
    <x v="91"/>
    <x v="159"/>
    <x v="2"/>
  </r>
  <r>
    <n v="162"/>
    <n v="667"/>
    <d v="2011-12-17T00:00:00"/>
    <x v="10"/>
    <x v="111"/>
    <x v="91"/>
    <x v="160"/>
    <x v="2"/>
  </r>
  <r>
    <n v="163"/>
    <n v="667"/>
    <d v="2011-12-17T00:00:00"/>
    <x v="1"/>
    <x v="111"/>
    <x v="91"/>
    <x v="161"/>
    <x v="2"/>
  </r>
  <r>
    <n v="164"/>
    <n v="667"/>
    <d v="2011-12-17T00:00:00"/>
    <x v="9"/>
    <x v="111"/>
    <x v="91"/>
    <x v="162"/>
    <x v="2"/>
  </r>
  <r>
    <n v="165"/>
    <n v="667"/>
    <s v="12 17 11"/>
    <x v="22"/>
    <x v="225"/>
    <x v="91"/>
    <x v="163"/>
    <x v="2"/>
  </r>
  <r>
    <n v="165"/>
    <n v="667"/>
    <d v="2011-12-17T00:00:00"/>
    <x v="9"/>
    <x v="226"/>
    <x v="91"/>
    <x v="163"/>
    <x v="2"/>
  </r>
  <r>
    <n v="166"/>
    <n v="667"/>
    <d v="2011-12-17T00:00:00"/>
    <x v="1"/>
    <x v="111"/>
    <x v="91"/>
    <x v="164"/>
    <x v="2"/>
  </r>
  <r>
    <n v="167"/>
    <n v="667"/>
    <d v="2011-12-17T00:00:00"/>
    <x v="1"/>
    <x v="227"/>
    <x v="91"/>
    <x v="165"/>
    <x v="2"/>
  </r>
  <r>
    <n v="167"/>
    <n v="667"/>
    <d v="2011-12-17T00:00:00"/>
    <x v="32"/>
    <x v="228"/>
    <x v="91"/>
    <x v="165"/>
    <x v="2"/>
  </r>
  <r>
    <n v="168"/>
    <n v="667"/>
    <d v="2011-12-17T00:00:00"/>
    <x v="65"/>
    <x v="111"/>
    <x v="91"/>
    <x v="166"/>
    <x v="2"/>
  </r>
  <r>
    <n v="169"/>
    <n v="667"/>
    <d v="2011-12-17T00:00:00"/>
    <x v="65"/>
    <x v="111"/>
    <x v="91"/>
    <x v="167"/>
    <x v="2"/>
  </r>
  <r>
    <n v="170"/>
    <n v="667"/>
    <d v="2011-12-17T00:00:00"/>
    <x v="38"/>
    <x v="111"/>
    <x v="91"/>
    <x v="168"/>
    <x v="2"/>
  </r>
  <r>
    <n v="171"/>
    <n v="667"/>
    <s v="12 17 11"/>
    <x v="2"/>
    <x v="111"/>
    <x v="91"/>
    <x v="169"/>
    <x v="2"/>
  </r>
  <r>
    <n v="172"/>
    <n v="667"/>
    <d v="2011-12-17T00:00:00"/>
    <x v="32"/>
    <x v="111"/>
    <x v="91"/>
    <x v="170"/>
    <x v="2"/>
  </r>
  <r>
    <n v="173"/>
    <n v="667"/>
    <d v="2011-12-17T00:00:00"/>
    <x v="2"/>
    <x v="111"/>
    <x v="91"/>
    <x v="171"/>
    <x v="2"/>
  </r>
  <r>
    <n v="174"/>
    <n v="667"/>
    <d v="2011-12-17T00:00:00"/>
    <x v="1"/>
    <x v="111"/>
    <x v="91"/>
    <x v="172"/>
    <x v="2"/>
  </r>
  <r>
    <n v="175"/>
    <n v="667"/>
    <d v="2011-12-17T00:00:00"/>
    <x v="22"/>
    <x v="111"/>
    <x v="91"/>
    <x v="173"/>
    <x v="2"/>
  </r>
  <r>
    <n v="176"/>
    <n v="667"/>
    <d v="2011-12-17T00:00:00"/>
    <x v="1"/>
    <x v="111"/>
    <x v="91"/>
    <x v="174"/>
    <x v="2"/>
  </r>
  <r>
    <n v="177"/>
    <n v="667"/>
    <s v="12 17 11"/>
    <x v="22"/>
    <x v="111"/>
    <x v="91"/>
    <x v="175"/>
    <x v="2"/>
  </r>
  <r>
    <n v="178"/>
    <n v="667"/>
    <d v="2011-12-17T00:00:00"/>
    <x v="69"/>
    <x v="111"/>
    <x v="91"/>
    <x v="176"/>
    <x v="2"/>
  </r>
  <r>
    <n v="179"/>
    <n v="667"/>
    <d v="2011-12-17T00:00:00"/>
    <x v="65"/>
    <x v="111"/>
    <x v="91"/>
    <x v="177"/>
    <x v="2"/>
  </r>
  <r>
    <n v="180"/>
    <n v="669"/>
    <d v="2011-02-10T00:00:00"/>
    <x v="11"/>
    <x v="229"/>
    <x v="92"/>
    <x v="178"/>
    <x v="102"/>
  </r>
  <r>
    <n v="181"/>
    <n v="681"/>
    <d v="2011-02-13T00:00:00"/>
    <x v="5"/>
    <x v="230"/>
    <x v="93"/>
    <x v="179"/>
    <x v="103"/>
  </r>
  <r>
    <n v="181"/>
    <n v="681"/>
    <d v="2011-03-20T00:00:00"/>
    <x v="5"/>
    <x v="230"/>
    <x v="93"/>
    <x v="179"/>
    <x v="103"/>
  </r>
  <r>
    <n v="182"/>
    <n v="689"/>
    <d v="2011-12-15T00:00:00"/>
    <x v="38"/>
    <x v="231"/>
    <x v="94"/>
    <x v="180"/>
    <x v="104"/>
  </r>
  <r>
    <n v="183"/>
    <n v="689"/>
    <d v="2011-12-08T00:00:00"/>
    <x v="10"/>
    <x v="232"/>
    <x v="94"/>
    <x v="181"/>
    <x v="105"/>
  </r>
  <r>
    <n v="184"/>
    <n v="692"/>
    <d v="2011-12-09T00:00:00"/>
    <x v="10"/>
    <x v="1"/>
    <x v="95"/>
    <x v="182"/>
    <x v="106"/>
  </r>
  <r>
    <n v="185"/>
    <n v="694"/>
    <d v="2011-09-17T00:00:00"/>
    <x v="5"/>
    <x v="233"/>
    <x v="96"/>
    <x v="183"/>
    <x v="107"/>
  </r>
  <r>
    <n v="185"/>
    <n v="694"/>
    <d v="2011-10-22T00:00:00"/>
    <x v="5"/>
    <x v="233"/>
    <x v="96"/>
    <x v="183"/>
    <x v="107"/>
  </r>
  <r>
    <n v="186"/>
    <n v="695"/>
    <d v="2011-09-08T00:00:00"/>
    <x v="70"/>
    <x v="234"/>
    <x v="97"/>
    <x v="184"/>
    <x v="2"/>
  </r>
  <r>
    <n v="186"/>
    <n v="695"/>
    <m/>
    <x v="7"/>
    <x v="235"/>
    <x v="97"/>
    <x v="184"/>
    <x v="2"/>
  </r>
  <r>
    <n v="69"/>
    <n v="696"/>
    <d v="2011-01-20T00:00:00"/>
    <x v="2"/>
    <x v="236"/>
    <x v="98"/>
    <x v="68"/>
    <x v="1"/>
  </r>
  <r>
    <n v="187"/>
    <n v="702"/>
    <d v="2012-11-01T00:00:00"/>
    <x v="71"/>
    <x v="237"/>
    <x v="99"/>
    <x v="185"/>
    <x v="108"/>
  </r>
  <r>
    <n v="188"/>
    <n v="704"/>
    <d v="2011-02-14T00:00:00"/>
    <x v="72"/>
    <x v="238"/>
    <x v="100"/>
    <x v="186"/>
    <x v="2"/>
  </r>
  <r>
    <n v="189"/>
    <n v="707"/>
    <d v="2011-01-29T00:00:00"/>
    <x v="25"/>
    <x v="239"/>
    <x v="101"/>
    <x v="187"/>
    <x v="109"/>
  </r>
  <r>
    <n v="13"/>
    <n v="710"/>
    <d v="2011-06-09T00:00:00"/>
    <x v="30"/>
    <x v="240"/>
    <x v="102"/>
    <x v="12"/>
    <x v="7"/>
  </r>
  <r>
    <n v="190"/>
    <n v="710"/>
    <d v="2011-12-10T00:00:00"/>
    <x v="2"/>
    <x v="241"/>
    <x v="102"/>
    <x v="188"/>
    <x v="12"/>
  </r>
  <r>
    <n v="191"/>
    <n v="710"/>
    <d v="2011-12-16T00:00:00"/>
    <x v="21"/>
    <x v="241"/>
    <x v="102"/>
    <x v="189"/>
    <x v="110"/>
  </r>
  <r>
    <n v="192"/>
    <n v="714"/>
    <d v="2011-01-18T00:00:00"/>
    <x v="1"/>
    <x v="19"/>
    <x v="103"/>
    <x v="190"/>
    <x v="1"/>
  </r>
  <r>
    <n v="193"/>
    <n v="715"/>
    <d v="2011-09-01T00:00:00"/>
    <x v="73"/>
    <x v="242"/>
    <x v="104"/>
    <x v="191"/>
    <x v="12"/>
  </r>
  <r>
    <n v="12"/>
    <n v="720"/>
    <d v="2011-09-15T00:00:00"/>
    <x v="52"/>
    <x v="122"/>
    <x v="105"/>
    <x v="11"/>
    <x v="6"/>
  </r>
  <r>
    <n v="12"/>
    <n v="720"/>
    <d v="2011-09-18T00:00:00"/>
    <x v="9"/>
    <x v="43"/>
    <x v="105"/>
    <x v="11"/>
    <x v="6"/>
  </r>
  <r>
    <n v="12"/>
    <n v="720"/>
    <d v="2011-11-04T00:00:00"/>
    <x v="53"/>
    <x v="243"/>
    <x v="105"/>
    <x v="11"/>
    <x v="6"/>
  </r>
  <r>
    <n v="194"/>
    <n v="733"/>
    <d v="2011-05-12T00:00:00"/>
    <x v="74"/>
    <x v="244"/>
    <x v="106"/>
    <x v="192"/>
    <x v="111"/>
  </r>
  <r>
    <n v="194"/>
    <n v="733"/>
    <m/>
    <x v="7"/>
    <x v="245"/>
    <x v="106"/>
    <x v="192"/>
    <x v="111"/>
  </r>
  <r>
    <n v="194"/>
    <n v="733"/>
    <m/>
    <x v="7"/>
    <x v="246"/>
    <x v="106"/>
    <x v="192"/>
    <x v="111"/>
  </r>
  <r>
    <n v="195"/>
    <n v="733"/>
    <d v="2011-08-06T00:00:00"/>
    <x v="27"/>
    <x v="247"/>
    <x v="106"/>
    <x v="193"/>
    <x v="65"/>
  </r>
  <r>
    <n v="195"/>
    <n v="733"/>
    <m/>
    <x v="7"/>
    <x v="248"/>
    <x v="106"/>
    <x v="193"/>
    <x v="65"/>
  </r>
  <r>
    <n v="195"/>
    <n v="733"/>
    <m/>
    <x v="7"/>
    <x v="249"/>
    <x v="106"/>
    <x v="193"/>
    <x v="65"/>
  </r>
  <r>
    <n v="196"/>
    <n v="736"/>
    <d v="2011-11-18T00:00:00"/>
    <x v="35"/>
    <x v="250"/>
    <x v="107"/>
    <x v="194"/>
    <x v="112"/>
  </r>
  <r>
    <n v="197"/>
    <n v="753"/>
    <d v="2011-12-17T00:00:00"/>
    <x v="65"/>
    <x v="251"/>
    <x v="108"/>
    <x v="195"/>
    <x v="2"/>
  </r>
  <r>
    <n v="198"/>
    <n v="763"/>
    <d v="2011-01-25T00:00:00"/>
    <x v="10"/>
    <x v="111"/>
    <x v="109"/>
    <x v="196"/>
    <x v="1"/>
  </r>
  <r>
    <n v="199"/>
    <n v="763"/>
    <d v="2011-05-28T00:00:00"/>
    <x v="1"/>
    <x v="252"/>
    <x v="109"/>
    <x v="197"/>
    <x v="2"/>
  </r>
  <r>
    <n v="200"/>
    <n v="764"/>
    <d v="2011-12-09T00:00:00"/>
    <x v="11"/>
    <x v="253"/>
    <x v="110"/>
    <x v="198"/>
    <x v="113"/>
  </r>
  <r>
    <n v="201"/>
    <n v="781"/>
    <d v="2011-10-30T00:00:00"/>
    <x v="38"/>
    <x v="254"/>
    <x v="111"/>
    <x v="199"/>
    <x v="114"/>
  </r>
  <r>
    <n v="201"/>
    <n v="781"/>
    <d v="2011-10-31T00:00:00"/>
    <x v="46"/>
    <x v="254"/>
    <x v="111"/>
    <x v="199"/>
    <x v="114"/>
  </r>
  <r>
    <n v="201"/>
    <n v="781"/>
    <m/>
    <x v="7"/>
    <x v="255"/>
    <x v="111"/>
    <x v="199"/>
    <x v="114"/>
  </r>
  <r>
    <n v="202"/>
    <n v="782"/>
    <d v="2011-09-17T00:00:00"/>
    <x v="37"/>
    <x v="256"/>
    <x v="112"/>
    <x v="200"/>
    <x v="115"/>
  </r>
  <r>
    <n v="203"/>
    <n v="782"/>
    <d v="2011-06-11T00:00:00"/>
    <x v="9"/>
    <x v="257"/>
    <x v="112"/>
    <x v="201"/>
    <x v="116"/>
  </r>
  <r>
    <n v="204"/>
    <n v="782"/>
    <d v="2011-05-10T00:00:00"/>
    <x v="2"/>
    <x v="258"/>
    <x v="112"/>
    <x v="202"/>
    <x v="117"/>
  </r>
  <r>
    <n v="204"/>
    <n v="782"/>
    <d v="2011-12-06T00:00:00"/>
    <x v="2"/>
    <x v="259"/>
    <x v="112"/>
    <x v="202"/>
    <x v="117"/>
  </r>
  <r>
    <n v="205"/>
    <n v="782"/>
    <d v="2011-09-20T00:00:00"/>
    <x v="32"/>
    <x v="260"/>
    <x v="112"/>
    <x v="203"/>
    <x v="117"/>
  </r>
  <r>
    <n v="205"/>
    <n v="782"/>
    <d v="2011-12-06T00:00:00"/>
    <x v="32"/>
    <x v="261"/>
    <x v="112"/>
    <x v="203"/>
    <x v="117"/>
  </r>
  <r>
    <n v="206"/>
    <n v="782"/>
    <d v="2011-09-27T00:00:00"/>
    <x v="2"/>
    <x v="262"/>
    <x v="112"/>
    <x v="204"/>
    <x v="117"/>
  </r>
  <r>
    <n v="207"/>
    <n v="782"/>
    <d v="2011-07-14T00:00:00"/>
    <x v="2"/>
    <x v="258"/>
    <x v="112"/>
    <x v="205"/>
    <x v="118"/>
  </r>
  <r>
    <n v="208"/>
    <n v="782"/>
    <d v="2011-07-27T00:00:00"/>
    <x v="22"/>
    <x v="6"/>
    <x v="112"/>
    <x v="206"/>
    <x v="119"/>
  </r>
  <r>
    <n v="209"/>
    <n v="782"/>
    <d v="2011-04-15T00:00:00"/>
    <x v="2"/>
    <x v="263"/>
    <x v="112"/>
    <x v="207"/>
    <x v="120"/>
  </r>
  <r>
    <n v="25"/>
    <n v="805"/>
    <d v="2011-04-01T00:00:00"/>
    <x v="22"/>
    <x v="24"/>
    <x v="113"/>
    <x v="24"/>
    <x v="16"/>
  </r>
  <r>
    <n v="25"/>
    <n v="805"/>
    <d v="2011-09-28T00:00:00"/>
    <x v="14"/>
    <x v="118"/>
    <x v="113"/>
    <x v="24"/>
    <x v="16"/>
  </r>
  <r>
    <n v="210"/>
    <n v="805"/>
    <d v="2011-03-16T00:00:00"/>
    <x v="22"/>
    <x v="37"/>
    <x v="113"/>
    <x v="208"/>
    <x v="1"/>
  </r>
  <r>
    <n v="210"/>
    <n v="805"/>
    <d v="2011-11-10T00:00:00"/>
    <x v="22"/>
    <x v="264"/>
    <x v="113"/>
    <x v="208"/>
    <x v="1"/>
  </r>
  <r>
    <n v="211"/>
    <n v="815"/>
    <d v="2011-01-22T00:00:00"/>
    <x v="1"/>
    <x v="265"/>
    <x v="114"/>
    <x v="209"/>
    <x v="1"/>
  </r>
  <r>
    <n v="212"/>
    <n v="815"/>
    <d v="2011-12-01T00:00:00"/>
    <x v="1"/>
    <x v="266"/>
    <x v="114"/>
    <x v="210"/>
    <x v="2"/>
  </r>
  <r>
    <n v="212"/>
    <n v="815"/>
    <d v="2011-09-22T00:00:00"/>
    <x v="65"/>
    <x v="266"/>
    <x v="114"/>
    <x v="210"/>
    <x v="2"/>
  </r>
  <r>
    <n v="213"/>
    <n v="815"/>
    <m/>
    <x v="38"/>
    <x v="267"/>
    <x v="114"/>
    <x v="211"/>
    <x v="1"/>
  </r>
  <r>
    <n v="213"/>
    <n v="815"/>
    <d v="2011-01-26T00:00:00"/>
    <x v="9"/>
    <x v="268"/>
    <x v="114"/>
    <x v="211"/>
    <x v="1"/>
  </r>
  <r>
    <n v="213"/>
    <n v="815"/>
    <d v="2011-06-04T00:00:00"/>
    <x v="21"/>
    <x v="269"/>
    <x v="114"/>
    <x v="211"/>
    <x v="1"/>
  </r>
  <r>
    <n v="214"/>
    <n v="815"/>
    <d v="2011-09-16T00:00:00"/>
    <x v="75"/>
    <x v="270"/>
    <x v="114"/>
    <x v="212"/>
    <x v="2"/>
  </r>
  <r>
    <n v="215"/>
    <n v="815"/>
    <d v="2011-03-11T00:00:00"/>
    <x v="5"/>
    <x v="271"/>
    <x v="114"/>
    <x v="213"/>
    <x v="121"/>
  </r>
  <r>
    <n v="215"/>
    <n v="815"/>
    <d v="2011-05-14T00:00:00"/>
    <x v="1"/>
    <x v="266"/>
    <x v="114"/>
    <x v="213"/>
    <x v="121"/>
  </r>
  <r>
    <n v="215"/>
    <n v="815"/>
    <d v="2011-09-21T00:00:00"/>
    <x v="2"/>
    <x v="272"/>
    <x v="114"/>
    <x v="213"/>
    <x v="121"/>
  </r>
  <r>
    <n v="216"/>
    <n v="823"/>
    <d v="2011-10-15T00:00:00"/>
    <x v="1"/>
    <x v="273"/>
    <x v="115"/>
    <x v="214"/>
    <x v="103"/>
  </r>
  <r>
    <n v="216"/>
    <n v="823"/>
    <d v="2011-11-02T00:00:00"/>
    <x v="1"/>
    <x v="273"/>
    <x v="115"/>
    <x v="214"/>
    <x v="103"/>
  </r>
  <r>
    <n v="217"/>
    <n v="823"/>
    <d v="2011-02-26T00:00:00"/>
    <x v="38"/>
    <x v="274"/>
    <x v="115"/>
    <x v="215"/>
    <x v="122"/>
  </r>
  <r>
    <n v="218"/>
    <n v="832"/>
    <d v="2011-05-05T00:00:00"/>
    <x v="2"/>
    <x v="275"/>
    <x v="116"/>
    <x v="216"/>
    <x v="123"/>
  </r>
  <r>
    <n v="8"/>
    <n v="832"/>
    <d v="2011-03-15T00:00:00"/>
    <x v="76"/>
    <x v="275"/>
    <x v="116"/>
    <x v="7"/>
    <x v="1"/>
  </r>
  <r>
    <n v="8"/>
    <n v="832"/>
    <d v="2011-06-14T00:00:00"/>
    <x v="76"/>
    <x v="275"/>
    <x v="116"/>
    <x v="7"/>
    <x v="1"/>
  </r>
  <r>
    <n v="8"/>
    <n v="832"/>
    <d v="2011-12-13T00:00:00"/>
    <x v="76"/>
    <x v="275"/>
    <x v="116"/>
    <x v="7"/>
    <x v="1"/>
  </r>
  <r>
    <n v="219"/>
    <n v="832"/>
    <d v="2011-06-11T00:00:00"/>
    <x v="1"/>
    <x v="276"/>
    <x v="116"/>
    <x v="217"/>
    <x v="124"/>
  </r>
  <r>
    <n v="220"/>
    <n v="832"/>
    <d v="2011-06-05T00:00:00"/>
    <x v="10"/>
    <x v="277"/>
    <x v="116"/>
    <x v="218"/>
    <x v="125"/>
  </r>
  <r>
    <n v="221"/>
    <n v="832"/>
    <d v="2011-10-22T00:00:00"/>
    <x v="21"/>
    <x v="278"/>
    <x v="116"/>
    <x v="219"/>
    <x v="126"/>
  </r>
  <r>
    <n v="222"/>
    <n v="832"/>
    <d v="2011-12-14T00:00:00"/>
    <x v="38"/>
    <x v="279"/>
    <x v="116"/>
    <x v="220"/>
    <x v="125"/>
  </r>
  <r>
    <n v="223"/>
    <n v="832"/>
    <d v="2011-09-03T00:00:00"/>
    <x v="38"/>
    <x v="280"/>
    <x v="116"/>
    <x v="221"/>
    <x v="127"/>
  </r>
  <r>
    <n v="224"/>
    <n v="832"/>
    <d v="2011-10-20T00:00:00"/>
    <x v="35"/>
    <x v="275"/>
    <x v="116"/>
    <x v="222"/>
    <x v="128"/>
  </r>
  <r>
    <n v="225"/>
    <n v="832"/>
    <d v="2011-03-31T00:00:00"/>
    <x v="11"/>
    <x v="275"/>
    <x v="116"/>
    <x v="223"/>
    <x v="129"/>
  </r>
  <r>
    <n v="226"/>
    <n v="838"/>
    <d v="2011-09-10T00:00:00"/>
    <x v="35"/>
    <x v="281"/>
    <x v="117"/>
    <x v="224"/>
    <x v="130"/>
  </r>
  <r>
    <n v="226"/>
    <n v="838"/>
    <m/>
    <x v="7"/>
    <x v="282"/>
    <x v="117"/>
    <x v="224"/>
    <x v="130"/>
  </r>
  <r>
    <n v="226"/>
    <n v="838"/>
    <m/>
    <x v="7"/>
    <x v="283"/>
    <x v="117"/>
    <x v="224"/>
    <x v="130"/>
  </r>
  <r>
    <n v="227"/>
    <n v="846"/>
    <d v="2010-12-09T00:00:00"/>
    <x v="33"/>
    <x v="284"/>
    <x v="118"/>
    <x v="225"/>
    <x v="10"/>
  </r>
  <r>
    <n v="5"/>
    <n v="849"/>
    <d v="2011-04-28T00:00:00"/>
    <x v="5"/>
    <x v="285"/>
    <x v="119"/>
    <x v="4"/>
    <x v="1"/>
  </r>
  <r>
    <n v="5"/>
    <n v="849"/>
    <d v="2011-10-14T00:00:00"/>
    <x v="0"/>
    <x v="150"/>
    <x v="119"/>
    <x v="4"/>
    <x v="1"/>
  </r>
  <r>
    <n v="5"/>
    <n v="849"/>
    <d v="2011-12-14T00:00:00"/>
    <x v="21"/>
    <x v="106"/>
    <x v="119"/>
    <x v="4"/>
    <x v="1"/>
  </r>
  <r>
    <n v="228"/>
    <n v="849"/>
    <d v="2011-12-09T00:00:00"/>
    <x v="21"/>
    <x v="106"/>
    <x v="119"/>
    <x v="226"/>
    <x v="44"/>
  </r>
  <r>
    <n v="229"/>
    <n v="849"/>
    <d v="2011-07-27T00:00:00"/>
    <x v="1"/>
    <x v="286"/>
    <x v="119"/>
    <x v="227"/>
    <x v="44"/>
  </r>
  <r>
    <n v="230"/>
    <n v="849"/>
    <d v="2011-03-25T00:00:00"/>
    <x v="2"/>
    <x v="101"/>
    <x v="119"/>
    <x v="228"/>
    <x v="2"/>
  </r>
  <r>
    <n v="231"/>
    <n v="849"/>
    <d v="2011-10-18T00:00:00"/>
    <x v="1"/>
    <x v="287"/>
    <x v="119"/>
    <x v="229"/>
    <x v="34"/>
  </r>
  <r>
    <n v="52"/>
    <n v="849"/>
    <d v="2011-12-01T00:00:00"/>
    <x v="5"/>
    <x v="212"/>
    <x v="119"/>
    <x v="51"/>
    <x v="34"/>
  </r>
  <r>
    <n v="69"/>
    <n v="853"/>
    <d v="2011-01-20T00:00:00"/>
    <x v="66"/>
    <x v="288"/>
    <x v="120"/>
    <x v="68"/>
    <x v="1"/>
  </r>
  <r>
    <n v="63"/>
    <n v="870"/>
    <m/>
    <x v="7"/>
    <x v="289"/>
    <x v="121"/>
    <x v="62"/>
    <x v="41"/>
  </r>
  <r>
    <n v="63"/>
    <n v="870"/>
    <m/>
    <x v="7"/>
    <x v="290"/>
    <x v="121"/>
    <x v="62"/>
    <x v="41"/>
  </r>
  <r>
    <n v="63"/>
    <n v="870"/>
    <m/>
    <x v="7"/>
    <x v="291"/>
    <x v="121"/>
    <x v="62"/>
    <x v="41"/>
  </r>
  <r>
    <n v="232"/>
    <n v="876"/>
    <d v="2011-04-29T00:00:00"/>
    <x v="77"/>
    <x v="292"/>
    <x v="122"/>
    <x v="230"/>
    <x v="2"/>
  </r>
  <r>
    <n v="233"/>
    <n v="876"/>
    <d v="2011-09-03T00:00:00"/>
    <x v="78"/>
    <x v="293"/>
    <x v="122"/>
    <x v="231"/>
    <x v="2"/>
  </r>
  <r>
    <n v="234"/>
    <n v="876"/>
    <d v="2011-07-24T00:00:00"/>
    <x v="77"/>
    <x v="292"/>
    <x v="122"/>
    <x v="232"/>
    <x v="2"/>
  </r>
  <r>
    <n v="235"/>
    <n v="876"/>
    <d v="2011-08-26T00:00:00"/>
    <x v="47"/>
    <x v="294"/>
    <x v="122"/>
    <x v="233"/>
    <x v="2"/>
  </r>
  <r>
    <n v="236"/>
    <n v="878"/>
    <d v="2011-01-10T00:00:00"/>
    <x v="5"/>
    <x v="295"/>
    <x v="123"/>
    <x v="234"/>
    <x v="131"/>
  </r>
  <r>
    <n v="237"/>
    <n v="878"/>
    <d v="2011-07-28T00:00:00"/>
    <x v="2"/>
    <x v="1"/>
    <x v="123"/>
    <x v="235"/>
    <x v="132"/>
  </r>
  <r>
    <n v="238"/>
    <n v="880"/>
    <d v="2011-11-24T00:00:00"/>
    <x v="10"/>
    <x v="296"/>
    <x v="124"/>
    <x v="236"/>
    <x v="2"/>
  </r>
  <r>
    <n v="239"/>
    <n v="880"/>
    <d v="2011-12-29T00:00:00"/>
    <x v="65"/>
    <x v="1"/>
    <x v="124"/>
    <x v="237"/>
    <x v="2"/>
  </r>
  <r>
    <n v="240"/>
    <n v="881"/>
    <d v="2011-03-01T00:00:00"/>
    <x v="73"/>
    <x v="160"/>
    <x v="125"/>
    <x v="238"/>
    <x v="10"/>
  </r>
  <r>
    <n v="241"/>
    <n v="887"/>
    <d v="2011-09-18T00:00:00"/>
    <x v="79"/>
    <x v="297"/>
    <x v="126"/>
    <x v="239"/>
    <x v="2"/>
  </r>
  <r>
    <n v="242"/>
    <n v="897"/>
    <d v="2011-01-25T00:00:00"/>
    <x v="22"/>
    <x v="1"/>
    <x v="127"/>
    <x v="240"/>
    <x v="133"/>
  </r>
  <r>
    <n v="242"/>
    <n v="897"/>
    <d v="2011-05-10T00:00:00"/>
    <x v="22"/>
    <x v="1"/>
    <x v="127"/>
    <x v="240"/>
    <x v="133"/>
  </r>
  <r>
    <n v="242"/>
    <n v="897"/>
    <d v="2011-12-31T00:00:00"/>
    <x v="22"/>
    <x v="298"/>
    <x v="127"/>
    <x v="240"/>
    <x v="133"/>
  </r>
  <r>
    <n v="243"/>
    <n v="897"/>
    <d v="2011-12-09T00:00:00"/>
    <x v="2"/>
    <x v="43"/>
    <x v="127"/>
    <x v="241"/>
    <x v="134"/>
  </r>
  <r>
    <n v="244"/>
    <n v="908"/>
    <d v="2011-09-14T00:00:00"/>
    <x v="35"/>
    <x v="163"/>
    <x v="128"/>
    <x v="242"/>
    <x v="135"/>
  </r>
  <r>
    <n v="245"/>
    <n v="908"/>
    <d v="2012-11-15T00:00:00"/>
    <x v="20"/>
    <x v="299"/>
    <x v="128"/>
    <x v="243"/>
    <x v="135"/>
  </r>
  <r>
    <n v="246"/>
    <n v="925"/>
    <d v="2012-09-11T00:00:00"/>
    <x v="28"/>
    <x v="300"/>
    <x v="129"/>
    <x v="244"/>
    <x v="2"/>
  </r>
  <r>
    <n v="247"/>
    <n v="927"/>
    <d v="2011-08-02T00:00:00"/>
    <x v="2"/>
    <x v="301"/>
    <x v="130"/>
    <x v="245"/>
    <x v="136"/>
  </r>
  <r>
    <n v="247"/>
    <n v="927"/>
    <s v="12 25 11"/>
    <x v="2"/>
    <x v="301"/>
    <x v="130"/>
    <x v="245"/>
    <x v="136"/>
  </r>
  <r>
    <n v="248"/>
    <n v="927"/>
    <d v="2011-09-22T00:00:00"/>
    <x v="80"/>
    <x v="170"/>
    <x v="130"/>
    <x v="246"/>
    <x v="137"/>
  </r>
  <r>
    <n v="249"/>
    <n v="932"/>
    <d v="2011-09-03T00:00:00"/>
    <x v="81"/>
    <x v="302"/>
    <x v="131"/>
    <x v="247"/>
    <x v="138"/>
  </r>
  <r>
    <n v="249"/>
    <n v="932"/>
    <d v="2011-10-29T00:00:00"/>
    <x v="81"/>
    <x v="302"/>
    <x v="131"/>
    <x v="247"/>
    <x v="138"/>
  </r>
  <r>
    <n v="69"/>
    <n v="933"/>
    <d v="2011-01-20T00:00:00"/>
    <x v="65"/>
    <x v="303"/>
    <x v="132"/>
    <x v="68"/>
    <x v="1"/>
  </r>
  <r>
    <n v="7"/>
    <n v="933"/>
    <d v="2011-10-06T00:00:00"/>
    <x v="4"/>
    <x v="303"/>
    <x v="132"/>
    <x v="6"/>
    <x v="1"/>
  </r>
  <r>
    <n v="242"/>
    <n v="933"/>
    <d v="2011-03-30T00:00:00"/>
    <x v="65"/>
    <x v="303"/>
    <x v="132"/>
    <x v="240"/>
    <x v="133"/>
  </r>
  <r>
    <n v="242"/>
    <n v="933"/>
    <d v="2011-06-08T00:00:00"/>
    <x v="65"/>
    <x v="303"/>
    <x v="132"/>
    <x v="240"/>
    <x v="133"/>
  </r>
  <r>
    <n v="242"/>
    <n v="933"/>
    <d v="2011-09-14T00:00:00"/>
    <x v="65"/>
    <x v="303"/>
    <x v="132"/>
    <x v="240"/>
    <x v="133"/>
  </r>
  <r>
    <n v="250"/>
    <n v="933"/>
    <d v="2011-06-29T00:00:00"/>
    <x v="11"/>
    <x v="304"/>
    <x v="132"/>
    <x v="248"/>
    <x v="139"/>
  </r>
  <r>
    <n v="250"/>
    <n v="933"/>
    <d v="2011-08-02T00:00:00"/>
    <x v="11"/>
    <x v="304"/>
    <x v="132"/>
    <x v="248"/>
    <x v="139"/>
  </r>
  <r>
    <n v="251"/>
    <n v="935"/>
    <d v="2011-01-01T00:00:00"/>
    <x v="38"/>
    <x v="305"/>
    <x v="133"/>
    <x v="249"/>
    <x v="140"/>
  </r>
  <r>
    <n v="252"/>
    <n v="939"/>
    <m/>
    <x v="1"/>
    <x v="306"/>
    <x v="134"/>
    <x v="250"/>
    <x v="141"/>
  </r>
  <r>
    <n v="253"/>
    <n v="939"/>
    <d v="2011-08-25T00:00:00"/>
    <x v="1"/>
    <x v="306"/>
    <x v="134"/>
    <x v="251"/>
    <x v="141"/>
  </r>
  <r>
    <n v="7"/>
    <n v="939"/>
    <d v="2011-10-06T00:00:00"/>
    <x v="22"/>
    <x v="306"/>
    <x v="134"/>
    <x v="6"/>
    <x v="1"/>
  </r>
  <r>
    <n v="254"/>
    <n v="939"/>
    <s v="3 14 11"/>
    <x v="39"/>
    <x v="306"/>
    <x v="134"/>
    <x v="252"/>
    <x v="10"/>
  </r>
  <r>
    <n v="255"/>
    <n v="939"/>
    <d v="2011-12-09T00:00:00"/>
    <x v="38"/>
    <x v="306"/>
    <x v="134"/>
    <x v="253"/>
    <x v="10"/>
  </r>
  <r>
    <n v="256"/>
    <n v="939"/>
    <d v="2011-01-20T00:00:00"/>
    <x v="30"/>
    <x v="1"/>
    <x v="134"/>
    <x v="254"/>
    <x v="141"/>
  </r>
  <r>
    <n v="257"/>
    <n v="939"/>
    <m/>
    <x v="10"/>
    <x v="306"/>
    <x v="134"/>
    <x v="255"/>
    <x v="141"/>
  </r>
  <r>
    <n v="258"/>
    <n v="939"/>
    <m/>
    <x v="10"/>
    <x v="306"/>
    <x v="134"/>
    <x v="256"/>
    <x v="141"/>
  </r>
  <r>
    <n v="259"/>
    <n v="939"/>
    <m/>
    <x v="1"/>
    <x v="306"/>
    <x v="134"/>
    <x v="257"/>
    <x v="141"/>
  </r>
  <r>
    <n v="260"/>
    <n v="939"/>
    <d v="2011-10-25T00:00:00"/>
    <x v="2"/>
    <x v="306"/>
    <x v="134"/>
    <x v="258"/>
    <x v="34"/>
  </r>
  <r>
    <n v="261"/>
    <n v="939"/>
    <m/>
    <x v="10"/>
    <x v="306"/>
    <x v="134"/>
    <x v="259"/>
    <x v="142"/>
  </r>
  <r>
    <n v="262"/>
    <n v="944"/>
    <d v="2011-09-16T00:00:00"/>
    <x v="1"/>
    <x v="307"/>
    <x v="135"/>
    <x v="260"/>
    <x v="143"/>
  </r>
  <r>
    <n v="263"/>
    <n v="944"/>
    <d v="2011-10-06T00:00:00"/>
    <x v="82"/>
    <x v="1"/>
    <x v="135"/>
    <x v="261"/>
    <x v="2"/>
  </r>
  <r>
    <n v="264"/>
    <n v="951"/>
    <d v="2011-08-24T00:00:00"/>
    <x v="10"/>
    <x v="1"/>
    <x v="136"/>
    <x v="262"/>
    <x v="144"/>
  </r>
  <r>
    <n v="265"/>
    <n v="951"/>
    <d v="2011-02-11T00:00:00"/>
    <x v="83"/>
    <x v="308"/>
    <x v="136"/>
    <x v="263"/>
    <x v="145"/>
  </r>
  <r>
    <n v="266"/>
    <n v="951"/>
    <d v="2011-12-15T00:00:00"/>
    <x v="25"/>
    <x v="309"/>
    <x v="136"/>
    <x v="264"/>
    <x v="146"/>
  </r>
  <r>
    <n v="266"/>
    <n v="951"/>
    <d v="2011-07-25T00:00:00"/>
    <x v="1"/>
    <x v="310"/>
    <x v="136"/>
    <x v="264"/>
    <x v="146"/>
  </r>
  <r>
    <n v="266"/>
    <n v="951"/>
    <d v="2011-01-20T00:00:00"/>
    <x v="26"/>
    <x v="311"/>
    <x v="136"/>
    <x v="264"/>
    <x v="146"/>
  </r>
  <r>
    <n v="267"/>
    <n v="951"/>
    <s v="8 23 11"/>
    <x v="84"/>
    <x v="312"/>
    <x v="136"/>
    <x v="265"/>
    <x v="147"/>
  </r>
  <r>
    <n v="268"/>
    <n v="951"/>
    <d v="2011-02-18T00:00:00"/>
    <x v="10"/>
    <x v="308"/>
    <x v="136"/>
    <x v="266"/>
    <x v="148"/>
  </r>
  <r>
    <n v="269"/>
    <n v="951"/>
    <d v="2011-08-23T00:00:00"/>
    <x v="2"/>
    <x v="313"/>
    <x v="136"/>
    <x v="267"/>
    <x v="149"/>
  </r>
  <r>
    <n v="63"/>
    <n v="953"/>
    <d v="2011-11-18T00:00:00"/>
    <x v="35"/>
    <x v="87"/>
    <x v="137"/>
    <x v="62"/>
    <x v="41"/>
  </r>
  <r>
    <n v="63"/>
    <n v="953"/>
    <m/>
    <x v="7"/>
    <x v="88"/>
    <x v="137"/>
    <x v="62"/>
    <x v="41"/>
  </r>
  <r>
    <n v="63"/>
    <n v="953"/>
    <m/>
    <x v="7"/>
    <x v="86"/>
    <x v="137"/>
    <x v="62"/>
    <x v="41"/>
  </r>
  <r>
    <n v="270"/>
    <n v="961"/>
    <d v="2012-06-11T00:00:00"/>
    <x v="30"/>
    <x v="1"/>
    <x v="138"/>
    <x v="268"/>
    <x v="1"/>
  </r>
  <r>
    <n v="271"/>
    <n v="974"/>
    <d v="2011-10-01T00:00:00"/>
    <x v="85"/>
    <x v="314"/>
    <x v="139"/>
    <x v="269"/>
    <x v="150"/>
  </r>
  <r>
    <n v="271"/>
    <n v="974"/>
    <m/>
    <x v="38"/>
    <x v="315"/>
    <x v="139"/>
    <x v="269"/>
    <x v="150"/>
  </r>
  <r>
    <n v="272"/>
    <n v="976"/>
    <d v="2011-03-31T00:00:00"/>
    <x v="86"/>
    <x v="1"/>
    <x v="140"/>
    <x v="270"/>
    <x v="34"/>
  </r>
  <r>
    <n v="272"/>
    <n v="976"/>
    <s v="03 31 11"/>
    <x v="87"/>
    <x v="316"/>
    <x v="140"/>
    <x v="270"/>
    <x v="34"/>
  </r>
  <r>
    <n v="272"/>
    <n v="976"/>
    <d v="2011-04-27T00:00:00"/>
    <x v="14"/>
    <x v="101"/>
    <x v="140"/>
    <x v="270"/>
    <x v="34"/>
  </r>
  <r>
    <n v="273"/>
    <n v="984"/>
    <d v="2011-11-03T00:00:00"/>
    <x v="55"/>
    <x v="317"/>
    <x v="141"/>
    <x v="271"/>
    <x v="2"/>
  </r>
  <r>
    <n v="274"/>
    <n v="984"/>
    <d v="2011-12-25T00:00:00"/>
    <x v="16"/>
    <x v="318"/>
    <x v="141"/>
    <x v="272"/>
    <x v="12"/>
  </r>
  <r>
    <n v="275"/>
    <n v="984"/>
    <d v="2011-12-25T00:00:00"/>
    <x v="16"/>
    <x v="319"/>
    <x v="141"/>
    <x v="273"/>
    <x v="151"/>
  </r>
  <r>
    <n v="276"/>
    <n v="984"/>
    <d v="2011-12-25T00:00:00"/>
    <x v="2"/>
    <x v="320"/>
    <x v="141"/>
    <x v="274"/>
    <x v="152"/>
  </r>
  <r>
    <n v="277"/>
    <n v="991"/>
    <d v="2011-06-17T00:00:00"/>
    <x v="1"/>
    <x v="321"/>
    <x v="142"/>
    <x v="275"/>
    <x v="34"/>
  </r>
  <r>
    <n v="278"/>
    <n v="991"/>
    <d v="2011-09-21T00:00:00"/>
    <x v="1"/>
    <x v="272"/>
    <x v="142"/>
    <x v="276"/>
    <x v="2"/>
  </r>
  <r>
    <n v="213"/>
    <n v="991"/>
    <d v="2011-06-04T00:00:00"/>
    <x v="21"/>
    <x v="322"/>
    <x v="142"/>
    <x v="211"/>
    <x v="1"/>
  </r>
  <r>
    <n v="213"/>
    <n v="991"/>
    <d v="2011-01-26T00:00:00"/>
    <x v="9"/>
    <x v="268"/>
    <x v="142"/>
    <x v="211"/>
    <x v="1"/>
  </r>
  <r>
    <n v="214"/>
    <n v="991"/>
    <d v="2011-09-16T00:00:00"/>
    <x v="75"/>
    <x v="270"/>
    <x v="142"/>
    <x v="212"/>
    <x v="2"/>
  </r>
  <r>
    <n v="215"/>
    <n v="991"/>
    <d v="2011-03-11T00:00:00"/>
    <x v="5"/>
    <x v="271"/>
    <x v="142"/>
    <x v="213"/>
    <x v="121"/>
  </r>
  <r>
    <n v="215"/>
    <n v="991"/>
    <d v="2011-05-14T00:00:00"/>
    <x v="1"/>
    <x v="323"/>
    <x v="142"/>
    <x v="213"/>
    <x v="121"/>
  </r>
  <r>
    <n v="215"/>
    <n v="991"/>
    <d v="2011-12-01T00:00:00"/>
    <x v="47"/>
    <x v="324"/>
    <x v="142"/>
    <x v="213"/>
    <x v="121"/>
  </r>
  <r>
    <n v="279"/>
    <n v="991"/>
    <d v="2011-03-17T00:00:00"/>
    <x v="65"/>
    <x v="325"/>
    <x v="142"/>
    <x v="277"/>
    <x v="153"/>
  </r>
  <r>
    <n v="280"/>
    <n v="993"/>
    <m/>
    <x v="22"/>
    <x v="306"/>
    <x v="143"/>
    <x v="278"/>
    <x v="154"/>
  </r>
  <r>
    <n v="8"/>
    <n v="995"/>
    <d v="2011-06-15T00:00:00"/>
    <x v="55"/>
    <x v="101"/>
    <x v="144"/>
    <x v="7"/>
    <x v="1"/>
  </r>
  <r>
    <n v="281"/>
    <n v="995"/>
    <d v="2011-07-27T00:00:00"/>
    <x v="55"/>
    <x v="101"/>
    <x v="144"/>
    <x v="279"/>
    <x v="23"/>
  </r>
  <r>
    <n v="282"/>
    <n v="997"/>
    <d v="2011-02-24T00:00:00"/>
    <x v="22"/>
    <x v="1"/>
    <x v="145"/>
    <x v="280"/>
    <x v="155"/>
  </r>
  <r>
    <n v="283"/>
    <n v="999"/>
    <d v="2011-06-09T00:00:00"/>
    <x v="10"/>
    <x v="1"/>
    <x v="146"/>
    <x v="281"/>
    <x v="156"/>
  </r>
  <r>
    <n v="284"/>
    <n v="1019"/>
    <d v="2011-10-08T00:00:00"/>
    <x v="35"/>
    <x v="254"/>
    <x v="147"/>
    <x v="282"/>
    <x v="110"/>
  </r>
  <r>
    <n v="69"/>
    <n v="1038"/>
    <d v="2012-01-11T00:00:00"/>
    <x v="2"/>
    <x v="326"/>
    <x v="148"/>
    <x v="68"/>
    <x v="1"/>
  </r>
  <r>
    <n v="285"/>
    <n v="1038"/>
    <s v="12 /  /11"/>
    <x v="10"/>
    <x v="327"/>
    <x v="148"/>
    <x v="283"/>
    <x v="1"/>
  </r>
  <r>
    <n v="285"/>
    <n v="1038"/>
    <m/>
    <x v="7"/>
    <x v="328"/>
    <x v="148"/>
    <x v="283"/>
    <x v="1"/>
  </r>
  <r>
    <n v="286"/>
    <n v="1038"/>
    <d v="2011-05-19T00:00:00"/>
    <x v="22"/>
    <x v="329"/>
    <x v="148"/>
    <x v="284"/>
    <x v="10"/>
  </r>
  <r>
    <n v="286"/>
    <n v="1038"/>
    <m/>
    <x v="7"/>
    <x v="330"/>
    <x v="148"/>
    <x v="284"/>
    <x v="10"/>
  </r>
  <r>
    <n v="158"/>
    <n v="1038"/>
    <d v="2011-11-17T00:00:00"/>
    <x v="2"/>
    <x v="331"/>
    <x v="148"/>
    <x v="156"/>
    <x v="2"/>
  </r>
  <r>
    <n v="287"/>
    <n v="1042"/>
    <d v="2011-12-18T00:00:00"/>
    <x v="88"/>
    <x v="332"/>
    <x v="149"/>
    <x v="285"/>
    <x v="12"/>
  </r>
  <r>
    <n v="288"/>
    <n v="1045"/>
    <d v="2011-02-10T00:00:00"/>
    <x v="89"/>
    <x v="333"/>
    <x v="150"/>
    <x v="286"/>
    <x v="12"/>
  </r>
  <r>
    <n v="288"/>
    <n v="1045"/>
    <s v="12 27 11"/>
    <x v="89"/>
    <x v="334"/>
    <x v="150"/>
    <x v="286"/>
    <x v="12"/>
  </r>
  <r>
    <n v="289"/>
    <n v="1045"/>
    <d v="2011-02-10T00:00:00"/>
    <x v="14"/>
    <x v="333"/>
    <x v="150"/>
    <x v="287"/>
    <x v="110"/>
  </r>
  <r>
    <n v="289"/>
    <n v="1045"/>
    <d v="2011-12-25T00:00:00"/>
    <x v="1"/>
    <x v="89"/>
    <x v="150"/>
    <x v="287"/>
    <x v="110"/>
  </r>
  <r>
    <n v="289"/>
    <n v="1045"/>
    <d v="2011-12-27T00:00:00"/>
    <x v="14"/>
    <x v="335"/>
    <x v="150"/>
    <x v="287"/>
    <x v="110"/>
  </r>
  <r>
    <n v="290"/>
    <n v="1045"/>
    <d v="2011-02-10T00:00:00"/>
    <x v="89"/>
    <x v="333"/>
    <x v="150"/>
    <x v="288"/>
    <x v="157"/>
  </r>
  <r>
    <n v="290"/>
    <n v="1045"/>
    <d v="2011-12-27T00:00:00"/>
    <x v="89"/>
    <x v="334"/>
    <x v="150"/>
    <x v="288"/>
    <x v="157"/>
  </r>
  <r>
    <n v="291"/>
    <n v="1045"/>
    <d v="2011-02-10T00:00:00"/>
    <x v="14"/>
    <x v="333"/>
    <x v="150"/>
    <x v="289"/>
    <x v="110"/>
  </r>
  <r>
    <n v="291"/>
    <n v="1045"/>
    <d v="2011-12-27T00:00:00"/>
    <x v="14"/>
    <x v="334"/>
    <x v="150"/>
    <x v="289"/>
    <x v="110"/>
  </r>
  <r>
    <n v="292"/>
    <n v="1047"/>
    <d v="2011-12-15T00:00:00"/>
    <x v="26"/>
    <x v="336"/>
    <x v="151"/>
    <x v="290"/>
    <x v="158"/>
  </r>
  <r>
    <n v="292"/>
    <n v="1047"/>
    <s v="8 22 11"/>
    <x v="1"/>
    <x v="337"/>
    <x v="151"/>
    <x v="290"/>
    <x v="158"/>
  </r>
  <r>
    <n v="292"/>
    <n v="1047"/>
    <m/>
    <x v="7"/>
    <x v="338"/>
    <x v="151"/>
    <x v="290"/>
    <x v="158"/>
  </r>
  <r>
    <n v="293"/>
    <n v="1051"/>
    <d v="2011-05-01T00:00:00"/>
    <x v="90"/>
    <x v="339"/>
    <x v="152"/>
    <x v="291"/>
    <x v="10"/>
  </r>
  <r>
    <n v="293"/>
    <n v="1051"/>
    <s v="03 25 11"/>
    <x v="33"/>
    <x v="340"/>
    <x v="152"/>
    <x v="291"/>
    <x v="10"/>
  </r>
  <r>
    <n v="294"/>
    <n v="1051"/>
    <d v="2011-12-01T00:00:00"/>
    <x v="65"/>
    <x v="1"/>
    <x v="152"/>
    <x v="292"/>
    <x v="159"/>
  </r>
  <r>
    <n v="295"/>
    <n v="1051"/>
    <d v="2011-12-13T00:00:00"/>
    <x v="1"/>
    <x v="341"/>
    <x v="152"/>
    <x v="293"/>
    <x v="160"/>
  </r>
  <r>
    <n v="296"/>
    <n v="1051"/>
    <d v="2011-04-04T00:00:00"/>
    <x v="10"/>
    <x v="1"/>
    <x v="152"/>
    <x v="294"/>
    <x v="161"/>
  </r>
  <r>
    <n v="297"/>
    <n v="1055"/>
    <d v="2011-12-20T00:00:00"/>
    <x v="22"/>
    <x v="342"/>
    <x v="153"/>
    <x v="295"/>
    <x v="162"/>
  </r>
  <r>
    <n v="298"/>
    <n v="1060"/>
    <d v="2011-06-25T00:00:00"/>
    <x v="91"/>
    <x v="343"/>
    <x v="154"/>
    <x v="296"/>
    <x v="2"/>
  </r>
  <r>
    <n v="299"/>
    <n v="1062"/>
    <d v="2011-09-21T00:00:00"/>
    <x v="92"/>
    <x v="344"/>
    <x v="155"/>
    <x v="297"/>
    <x v="163"/>
  </r>
  <r>
    <n v="300"/>
    <n v="1071"/>
    <s v="01/  / 11"/>
    <x v="38"/>
    <x v="345"/>
    <x v="156"/>
    <x v="298"/>
    <x v="125"/>
  </r>
  <r>
    <n v="300"/>
    <n v="1071"/>
    <s v="01 11"/>
    <x v="0"/>
    <x v="346"/>
    <x v="156"/>
    <x v="298"/>
    <x v="125"/>
  </r>
  <r>
    <n v="301"/>
    <n v="1071"/>
    <s v="01/ /11"/>
    <x v="11"/>
    <x v="89"/>
    <x v="156"/>
    <x v="299"/>
    <x v="164"/>
  </r>
  <r>
    <n v="302"/>
    <n v="1074"/>
    <s v="01/  /11"/>
    <x v="1"/>
    <x v="347"/>
    <x v="157"/>
    <x v="300"/>
    <x v="2"/>
  </r>
  <r>
    <n v="13"/>
    <n v="1083"/>
    <d v="2011-01-12T00:00:00"/>
    <x v="30"/>
    <x v="1"/>
    <x v="158"/>
    <x v="12"/>
    <x v="7"/>
  </r>
  <r>
    <n v="13"/>
    <n v="1083"/>
    <s v="06 09 11"/>
    <x v="30"/>
    <x v="1"/>
    <x v="158"/>
    <x v="12"/>
    <x v="7"/>
  </r>
  <r>
    <n v="13"/>
    <n v="1083"/>
    <d v="2011-09-27T00:00:00"/>
    <x v="30"/>
    <x v="43"/>
    <x v="158"/>
    <x v="12"/>
    <x v="7"/>
  </r>
  <r>
    <n v="13"/>
    <n v="1083"/>
    <d v="2011-12-06T00:00:00"/>
    <x v="16"/>
    <x v="43"/>
    <x v="158"/>
    <x v="12"/>
    <x v="7"/>
  </r>
  <r>
    <n v="303"/>
    <n v="1083"/>
    <d v="2011-08-27T00:00:00"/>
    <x v="1"/>
    <x v="348"/>
    <x v="158"/>
    <x v="301"/>
    <x v="165"/>
  </r>
  <r>
    <n v="303"/>
    <n v="1083"/>
    <m/>
    <x v="7"/>
    <x v="349"/>
    <x v="158"/>
    <x v="301"/>
    <x v="165"/>
  </r>
  <r>
    <n v="29"/>
    <n v="1083"/>
    <d v="2011-11-03T00:00:00"/>
    <x v="4"/>
    <x v="1"/>
    <x v="158"/>
    <x v="28"/>
    <x v="18"/>
  </r>
  <r>
    <n v="304"/>
    <n v="1084"/>
    <d v="2012-11-11T00:00:00"/>
    <x v="2"/>
    <x v="350"/>
    <x v="159"/>
    <x v="302"/>
    <x v="166"/>
  </r>
  <r>
    <n v="14"/>
    <n v="1088"/>
    <d v="2011-01-19T00:00:00"/>
    <x v="35"/>
    <x v="351"/>
    <x v="160"/>
    <x v="13"/>
    <x v="8"/>
  </r>
  <r>
    <n v="305"/>
    <n v="1089"/>
    <d v="2011-07-20T00:00:00"/>
    <x v="2"/>
    <x v="352"/>
    <x v="161"/>
    <x v="303"/>
    <x v="8"/>
  </r>
  <r>
    <n v="305"/>
    <n v="1089"/>
    <d v="2011-09-21T00:00:00"/>
    <x v="2"/>
    <x v="352"/>
    <x v="161"/>
    <x v="303"/>
    <x v="8"/>
  </r>
  <r>
    <n v="306"/>
    <n v="1089"/>
    <d v="2011-11-16T00:00:00"/>
    <x v="2"/>
    <x v="352"/>
    <x v="161"/>
    <x v="304"/>
    <x v="8"/>
  </r>
  <r>
    <n v="63"/>
    <n v="1106"/>
    <d v="2011-01-18T00:00:00"/>
    <x v="35"/>
    <x v="353"/>
    <x v="162"/>
    <x v="62"/>
    <x v="41"/>
  </r>
  <r>
    <n v="307"/>
    <n v="1124"/>
    <d v="2011-09-24T00:00:00"/>
    <x v="33"/>
    <x v="354"/>
    <x v="163"/>
    <x v="305"/>
    <x v="2"/>
  </r>
  <r>
    <n v="308"/>
    <n v="1129"/>
    <d v="2011-12-02T00:00:00"/>
    <x v="10"/>
    <x v="355"/>
    <x v="164"/>
    <x v="306"/>
    <x v="167"/>
  </r>
  <r>
    <n v="308"/>
    <n v="1130"/>
    <d v="2011-12-02T00:00:00"/>
    <x v="10"/>
    <x v="356"/>
    <x v="165"/>
    <x v="306"/>
    <x v="167"/>
  </r>
  <r>
    <n v="309"/>
    <n v="1150"/>
    <d v="2011-12-09T00:00:00"/>
    <x v="10"/>
    <x v="357"/>
    <x v="166"/>
    <x v="307"/>
    <x v="10"/>
  </r>
  <r>
    <n v="309"/>
    <n v="1150"/>
    <m/>
    <x v="7"/>
    <x v="358"/>
    <x v="166"/>
    <x v="307"/>
    <x v="10"/>
  </r>
  <r>
    <n v="310"/>
    <n v="1150"/>
    <d v="2011-11-20T00:00:00"/>
    <x v="1"/>
    <x v="359"/>
    <x v="166"/>
    <x v="308"/>
    <x v="150"/>
  </r>
  <r>
    <n v="310"/>
    <n v="1150"/>
    <m/>
    <x v="7"/>
    <x v="360"/>
    <x v="166"/>
    <x v="308"/>
    <x v="150"/>
  </r>
  <r>
    <n v="311"/>
    <n v="1150"/>
    <d v="2011-11-09T00:00:00"/>
    <x v="76"/>
    <x v="1"/>
    <x v="166"/>
    <x v="309"/>
    <x v="168"/>
  </r>
  <r>
    <n v="312"/>
    <n v="1160"/>
    <d v="2011-02-18T00:00:00"/>
    <x v="22"/>
    <x v="1"/>
    <x v="167"/>
    <x v="310"/>
    <x v="169"/>
  </r>
  <r>
    <n v="88"/>
    <n v="1160"/>
    <d v="2011-01-12T00:00:00"/>
    <x v="30"/>
    <x v="361"/>
    <x v="167"/>
    <x v="87"/>
    <x v="55"/>
  </r>
  <r>
    <n v="88"/>
    <n v="1160"/>
    <d v="2011-01-21T00:00:00"/>
    <x v="16"/>
    <x v="362"/>
    <x v="167"/>
    <x v="87"/>
    <x v="55"/>
  </r>
  <r>
    <n v="88"/>
    <n v="1160"/>
    <d v="2011-05-10T00:00:00"/>
    <x v="16"/>
    <x v="363"/>
    <x v="167"/>
    <x v="87"/>
    <x v="55"/>
  </r>
  <r>
    <n v="313"/>
    <n v="1160"/>
    <d v="2011-03-31T00:00:00"/>
    <x v="2"/>
    <x v="364"/>
    <x v="167"/>
    <x v="311"/>
    <x v="1"/>
  </r>
  <r>
    <n v="88"/>
    <n v="1160"/>
    <d v="2011-06-09T00:00:00"/>
    <x v="30"/>
    <x v="365"/>
    <x v="167"/>
    <x v="87"/>
    <x v="55"/>
  </r>
  <r>
    <n v="88"/>
    <n v="1160"/>
    <d v="2011-09-27T00:00:00"/>
    <x v="16"/>
    <x v="366"/>
    <x v="167"/>
    <x v="87"/>
    <x v="55"/>
  </r>
  <r>
    <n v="88"/>
    <n v="1160"/>
    <d v="2011-09-20T00:00:00"/>
    <x v="16"/>
    <x v="367"/>
    <x v="167"/>
    <x v="87"/>
    <x v="55"/>
  </r>
  <r>
    <n v="314"/>
    <n v="1160"/>
    <d v="2011-04-12T00:00:00"/>
    <x v="9"/>
    <x v="368"/>
    <x v="167"/>
    <x v="312"/>
    <x v="170"/>
  </r>
  <r>
    <n v="13"/>
    <n v="1160"/>
    <d v="2011-12-06T00:00:00"/>
    <x v="16"/>
    <x v="369"/>
    <x v="167"/>
    <x v="12"/>
    <x v="7"/>
  </r>
  <r>
    <n v="13"/>
    <n v="1160"/>
    <d v="2011-12-16T00:00:00"/>
    <x v="16"/>
    <x v="370"/>
    <x v="167"/>
    <x v="12"/>
    <x v="7"/>
  </r>
  <r>
    <n v="44"/>
    <n v="1160"/>
    <d v="2011-07-12T00:00:00"/>
    <x v="89"/>
    <x v="371"/>
    <x v="167"/>
    <x v="43"/>
    <x v="27"/>
  </r>
  <r>
    <n v="44"/>
    <n v="1160"/>
    <d v="2011-11-03T00:00:00"/>
    <x v="76"/>
    <x v="372"/>
    <x v="167"/>
    <x v="43"/>
    <x v="27"/>
  </r>
  <r>
    <n v="315"/>
    <n v="1161"/>
    <d v="2011-11-15T00:00:00"/>
    <x v="1"/>
    <x v="373"/>
    <x v="168"/>
    <x v="313"/>
    <x v="171"/>
  </r>
  <r>
    <n v="315"/>
    <n v="1161"/>
    <d v="2011-11-15T00:00:00"/>
    <x v="93"/>
    <x v="165"/>
    <x v="168"/>
    <x v="313"/>
    <x v="171"/>
  </r>
  <r>
    <n v="316"/>
    <n v="1161"/>
    <d v="2011-10-14T00:00:00"/>
    <x v="94"/>
    <x v="165"/>
    <x v="168"/>
    <x v="314"/>
    <x v="2"/>
  </r>
  <r>
    <n v="316"/>
    <n v="1161"/>
    <d v="2011-10-14T00:00:00"/>
    <x v="95"/>
    <x v="374"/>
    <x v="168"/>
    <x v="314"/>
    <x v="2"/>
  </r>
  <r>
    <n v="317"/>
    <n v="1162"/>
    <m/>
    <x v="7"/>
    <x v="375"/>
    <x v="169"/>
    <x v="315"/>
    <x v="172"/>
  </r>
  <r>
    <n v="318"/>
    <n v="1163"/>
    <d v="2011-01-20T00:00:00"/>
    <x v="33"/>
    <x v="376"/>
    <x v="170"/>
    <x v="316"/>
    <x v="2"/>
  </r>
  <r>
    <n v="319"/>
    <n v="1163"/>
    <d v="2011-08-03T00:00:00"/>
    <x v="96"/>
    <x v="377"/>
    <x v="170"/>
    <x v="317"/>
    <x v="2"/>
  </r>
  <r>
    <n v="320"/>
    <n v="1163"/>
    <d v="2011-03-08T00:00:00"/>
    <x v="1"/>
    <x v="1"/>
    <x v="170"/>
    <x v="318"/>
    <x v="2"/>
  </r>
  <r>
    <n v="321"/>
    <n v="1163"/>
    <d v="2011-11-16T00:00:00"/>
    <x v="39"/>
    <x v="378"/>
    <x v="170"/>
    <x v="319"/>
    <x v="2"/>
  </r>
  <r>
    <n v="322"/>
    <n v="1163"/>
    <d v="2011-06-27T00:00:00"/>
    <x v="97"/>
    <x v="377"/>
    <x v="170"/>
    <x v="320"/>
    <x v="2"/>
  </r>
  <r>
    <n v="323"/>
    <n v="1163"/>
    <m/>
    <x v="98"/>
    <x v="224"/>
    <x v="170"/>
    <x v="321"/>
    <x v="2"/>
  </r>
  <r>
    <n v="324"/>
    <n v="1168"/>
    <d v="2011-02-05T00:00:00"/>
    <x v="24"/>
    <x v="379"/>
    <x v="171"/>
    <x v="322"/>
    <x v="173"/>
  </r>
  <r>
    <n v="325"/>
    <n v="1168"/>
    <d v="2011-01-12T00:00:00"/>
    <x v="30"/>
    <x v="1"/>
    <x v="171"/>
    <x v="323"/>
    <x v="1"/>
  </r>
  <r>
    <n v="325"/>
    <n v="1168"/>
    <d v="2011-05-10T00:00:00"/>
    <x v="31"/>
    <x v="43"/>
    <x v="171"/>
    <x v="323"/>
    <x v="1"/>
  </r>
  <r>
    <n v="325"/>
    <n v="1168"/>
    <d v="2011-06-09T00:00:00"/>
    <x v="30"/>
    <x v="1"/>
    <x v="171"/>
    <x v="323"/>
    <x v="1"/>
  </r>
  <r>
    <n v="326"/>
    <n v="1168"/>
    <d v="2011-05-13T00:00:00"/>
    <x v="16"/>
    <x v="43"/>
    <x v="171"/>
    <x v="324"/>
    <x v="2"/>
  </r>
  <r>
    <n v="326"/>
    <n v="1168"/>
    <d v="2011-05-06T00:00:00"/>
    <x v="26"/>
    <x v="43"/>
    <x v="171"/>
    <x v="324"/>
    <x v="2"/>
  </r>
  <r>
    <n v="326"/>
    <n v="1168"/>
    <d v="2011-09-27T00:00:00"/>
    <x v="30"/>
    <x v="43"/>
    <x v="171"/>
    <x v="324"/>
    <x v="2"/>
  </r>
  <r>
    <n v="326"/>
    <n v="1168"/>
    <d v="2011-09-20T00:00:00"/>
    <x v="2"/>
    <x v="43"/>
    <x v="171"/>
    <x v="324"/>
    <x v="2"/>
  </r>
  <r>
    <n v="327"/>
    <n v="1168"/>
    <d v="2011-11-03T00:00:00"/>
    <x v="1"/>
    <x v="1"/>
    <x v="171"/>
    <x v="325"/>
    <x v="174"/>
  </r>
  <r>
    <n v="326"/>
    <n v="1168"/>
    <d v="2011-12-06T00:00:00"/>
    <x v="16"/>
    <x v="43"/>
    <x v="171"/>
    <x v="324"/>
    <x v="2"/>
  </r>
  <r>
    <n v="326"/>
    <n v="1168"/>
    <d v="2011-12-06T00:00:00"/>
    <x v="39"/>
    <x v="380"/>
    <x v="171"/>
    <x v="324"/>
    <x v="2"/>
  </r>
  <r>
    <n v="326"/>
    <n v="1168"/>
    <d v="2011-12-16T00:00:00"/>
    <x v="22"/>
    <x v="43"/>
    <x v="171"/>
    <x v="324"/>
    <x v="2"/>
  </r>
  <r>
    <n v="328"/>
    <n v="1168"/>
    <d v="2011-02-16T00:00:00"/>
    <x v="1"/>
    <x v="1"/>
    <x v="171"/>
    <x v="326"/>
    <x v="174"/>
  </r>
  <r>
    <n v="329"/>
    <n v="1174"/>
    <d v="2011-08-27T00:00:00"/>
    <x v="33"/>
    <x v="381"/>
    <x v="172"/>
    <x v="327"/>
    <x v="175"/>
  </r>
  <r>
    <n v="132"/>
    <n v="1174"/>
    <d v="2011-09-07T00:00:00"/>
    <x v="76"/>
    <x v="382"/>
    <x v="172"/>
    <x v="130"/>
    <x v="78"/>
  </r>
  <r>
    <n v="132"/>
    <n v="1174"/>
    <m/>
    <x v="7"/>
    <x v="383"/>
    <x v="172"/>
    <x v="130"/>
    <x v="78"/>
  </r>
  <r>
    <n v="132"/>
    <n v="1174"/>
    <m/>
    <x v="7"/>
    <x v="384"/>
    <x v="172"/>
    <x v="130"/>
    <x v="78"/>
  </r>
  <r>
    <n v="330"/>
    <n v="1174"/>
    <d v="2011-09-27T00:00:00"/>
    <x v="30"/>
    <x v="385"/>
    <x v="172"/>
    <x v="328"/>
    <x v="176"/>
  </r>
  <r>
    <n v="329"/>
    <n v="1178"/>
    <d v="2011-09-01T00:00:00"/>
    <x v="38"/>
    <x v="386"/>
    <x v="173"/>
    <x v="327"/>
    <x v="175"/>
  </r>
  <r>
    <n v="13"/>
    <n v="1178"/>
    <d v="2011-01-12T00:00:00"/>
    <x v="30"/>
    <x v="387"/>
    <x v="173"/>
    <x v="12"/>
    <x v="7"/>
  </r>
  <r>
    <n v="13"/>
    <n v="1178"/>
    <d v="2011-06-09T00:00:00"/>
    <x v="30"/>
    <x v="240"/>
    <x v="173"/>
    <x v="12"/>
    <x v="7"/>
  </r>
  <r>
    <n v="13"/>
    <n v="1178"/>
    <d v="2011-12-16T00:00:00"/>
    <x v="30"/>
    <x v="388"/>
    <x v="173"/>
    <x v="12"/>
    <x v="7"/>
  </r>
  <r>
    <n v="330"/>
    <n v="1178"/>
    <d v="2011-09-27T00:00:00"/>
    <x v="30"/>
    <x v="389"/>
    <x v="173"/>
    <x v="328"/>
    <x v="176"/>
  </r>
  <r>
    <n v="331"/>
    <n v="1178"/>
    <d v="2011-11-03T00:00:00"/>
    <x v="4"/>
    <x v="390"/>
    <x v="173"/>
    <x v="329"/>
    <x v="177"/>
  </r>
  <r>
    <n v="332"/>
    <n v="1178"/>
    <d v="2011-12-06T00:00:00"/>
    <x v="16"/>
    <x v="389"/>
    <x v="173"/>
    <x v="330"/>
    <x v="178"/>
  </r>
  <r>
    <n v="333"/>
    <n v="1185"/>
    <d v="2011-02-23T00:00:00"/>
    <x v="2"/>
    <x v="1"/>
    <x v="174"/>
    <x v="331"/>
    <x v="53"/>
  </r>
  <r>
    <n v="333"/>
    <n v="1185"/>
    <d v="2011-09-20T00:00:00"/>
    <x v="2"/>
    <x v="391"/>
    <x v="174"/>
    <x v="331"/>
    <x v="53"/>
  </r>
  <r>
    <n v="334"/>
    <n v="1185"/>
    <d v="2011-02-28T00:00:00"/>
    <x v="2"/>
    <x v="392"/>
    <x v="174"/>
    <x v="332"/>
    <x v="179"/>
  </r>
  <r>
    <n v="334"/>
    <n v="1185"/>
    <d v="2011-05-02T00:00:00"/>
    <x v="2"/>
    <x v="392"/>
    <x v="174"/>
    <x v="332"/>
    <x v="179"/>
  </r>
  <r>
    <n v="334"/>
    <n v="1185"/>
    <d v="2011-10-24T00:00:00"/>
    <x v="2"/>
    <x v="392"/>
    <x v="174"/>
    <x v="332"/>
    <x v="179"/>
  </r>
  <r>
    <n v="335"/>
    <n v="1185"/>
    <d v="2011-05-07T00:00:00"/>
    <x v="1"/>
    <x v="393"/>
    <x v="174"/>
    <x v="333"/>
    <x v="65"/>
  </r>
  <r>
    <n v="336"/>
    <n v="1185"/>
    <d v="2011-11-04T00:00:00"/>
    <x v="38"/>
    <x v="394"/>
    <x v="174"/>
    <x v="334"/>
    <x v="65"/>
  </r>
  <r>
    <n v="337"/>
    <n v="1185"/>
    <d v="2011-11-15T00:00:00"/>
    <x v="10"/>
    <x v="395"/>
    <x v="174"/>
    <x v="335"/>
    <x v="180"/>
  </r>
  <r>
    <n v="13"/>
    <n v="1224"/>
    <d v="2011-01-12T00:00:00"/>
    <x v="22"/>
    <x v="396"/>
    <x v="175"/>
    <x v="12"/>
    <x v="7"/>
  </r>
  <r>
    <n v="29"/>
    <n v="1224"/>
    <d v="2011-11-03T00:00:00"/>
    <x v="22"/>
    <x v="24"/>
    <x v="175"/>
    <x v="28"/>
    <x v="18"/>
  </r>
  <r>
    <n v="338"/>
    <n v="1224"/>
    <d v="2011-06-09T00:00:00"/>
    <x v="1"/>
    <x v="397"/>
    <x v="175"/>
    <x v="336"/>
    <x v="181"/>
  </r>
  <r>
    <n v="339"/>
    <n v="1224"/>
    <d v="2011-11-05T00:00:00"/>
    <x v="37"/>
    <x v="398"/>
    <x v="175"/>
    <x v="337"/>
    <x v="150"/>
  </r>
  <r>
    <n v="13"/>
    <n v="1224"/>
    <d v="2011-06-06T00:00:00"/>
    <x v="22"/>
    <x v="399"/>
    <x v="175"/>
    <x v="12"/>
    <x v="7"/>
  </r>
  <r>
    <n v="340"/>
    <n v="1224"/>
    <d v="2011-05-27T00:00:00"/>
    <x v="22"/>
    <x v="24"/>
    <x v="175"/>
    <x v="338"/>
    <x v="182"/>
  </r>
  <r>
    <n v="13"/>
    <n v="1224"/>
    <d v="2011-01-12T00:00:00"/>
    <x v="22"/>
    <x v="396"/>
    <x v="175"/>
    <x v="12"/>
    <x v="7"/>
  </r>
  <r>
    <n v="29"/>
    <n v="1224"/>
    <d v="2011-11-03T00:00:00"/>
    <x v="22"/>
    <x v="24"/>
    <x v="175"/>
    <x v="28"/>
    <x v="18"/>
  </r>
  <r>
    <n v="338"/>
    <n v="1224"/>
    <d v="2011-06-09T00:00:00"/>
    <x v="1"/>
    <x v="397"/>
    <x v="175"/>
    <x v="336"/>
    <x v="181"/>
  </r>
  <r>
    <n v="339"/>
    <n v="1224"/>
    <d v="2011-11-05T00:00:00"/>
    <x v="37"/>
    <x v="398"/>
    <x v="175"/>
    <x v="337"/>
    <x v="150"/>
  </r>
  <r>
    <n v="13"/>
    <n v="1224"/>
    <d v="2011-06-06T00:00:00"/>
    <x v="22"/>
    <x v="399"/>
    <x v="175"/>
    <x v="12"/>
    <x v="7"/>
  </r>
  <r>
    <n v="340"/>
    <n v="1224"/>
    <d v="2011-05-27T00:00:00"/>
    <x v="22"/>
    <x v="24"/>
    <x v="175"/>
    <x v="338"/>
    <x v="182"/>
  </r>
  <r>
    <n v="341"/>
    <n v="1232"/>
    <d v="2011-12-16T00:00:00"/>
    <x v="33"/>
    <x v="400"/>
    <x v="176"/>
    <x v="339"/>
    <x v="10"/>
  </r>
  <r>
    <n v="342"/>
    <n v="1234"/>
    <d v="2012-01-11T00:00:00"/>
    <x v="1"/>
    <x v="24"/>
    <x v="177"/>
    <x v="340"/>
    <x v="1"/>
  </r>
  <r>
    <n v="343"/>
    <n v="1252"/>
    <d v="2011-08-06T00:00:00"/>
    <x v="10"/>
    <x v="401"/>
    <x v="178"/>
    <x v="341"/>
    <x v="10"/>
  </r>
  <r>
    <n v="344"/>
    <n v="1252"/>
    <d v="2010-11-05T00:00:00"/>
    <x v="35"/>
    <x v="401"/>
    <x v="178"/>
    <x v="342"/>
    <x v="183"/>
  </r>
  <r>
    <n v="345"/>
    <n v="1252"/>
    <d v="2011-10-13T00:00:00"/>
    <x v="11"/>
    <x v="401"/>
    <x v="178"/>
    <x v="343"/>
    <x v="184"/>
  </r>
  <r>
    <n v="346"/>
    <n v="1255"/>
    <d v="2011-05-07T00:00:00"/>
    <x v="10"/>
    <x v="402"/>
    <x v="179"/>
    <x v="344"/>
    <x v="185"/>
  </r>
  <r>
    <n v="346"/>
    <n v="1255"/>
    <m/>
    <x v="7"/>
    <x v="403"/>
    <x v="179"/>
    <x v="344"/>
    <x v="185"/>
  </r>
  <r>
    <n v="346"/>
    <n v="1255"/>
    <m/>
    <x v="7"/>
    <x v="404"/>
    <x v="179"/>
    <x v="344"/>
    <x v="185"/>
  </r>
  <r>
    <n v="347"/>
    <n v="1259"/>
    <m/>
    <x v="35"/>
    <x v="405"/>
    <x v="180"/>
    <x v="345"/>
    <x v="186"/>
  </r>
  <r>
    <n v="347"/>
    <n v="1259"/>
    <m/>
    <x v="7"/>
    <x v="406"/>
    <x v="180"/>
    <x v="345"/>
    <x v="186"/>
  </r>
  <r>
    <n v="348"/>
    <n v="1259"/>
    <m/>
    <x v="35"/>
    <x v="407"/>
    <x v="180"/>
    <x v="346"/>
    <x v="186"/>
  </r>
  <r>
    <n v="348"/>
    <n v="1259"/>
    <m/>
    <x v="7"/>
    <x v="408"/>
    <x v="180"/>
    <x v="346"/>
    <x v="186"/>
  </r>
  <r>
    <n v="348"/>
    <n v="1259"/>
    <m/>
    <x v="7"/>
    <x v="409"/>
    <x v="180"/>
    <x v="346"/>
    <x v="186"/>
  </r>
  <r>
    <n v="7"/>
    <n v="1291"/>
    <d v="2011-10-06T00:00:00"/>
    <x v="26"/>
    <x v="410"/>
    <x v="181"/>
    <x v="6"/>
    <x v="1"/>
  </r>
  <r>
    <n v="7"/>
    <n v="1291"/>
    <m/>
    <x v="7"/>
    <x v="411"/>
    <x v="181"/>
    <x v="6"/>
    <x v="1"/>
  </r>
  <r>
    <n v="349"/>
    <n v="1291"/>
    <d v="2011-06-20T00:00:00"/>
    <x v="21"/>
    <x v="412"/>
    <x v="181"/>
    <x v="347"/>
    <x v="187"/>
  </r>
  <r>
    <n v="350"/>
    <n v="1291"/>
    <m/>
    <x v="65"/>
    <x v="413"/>
    <x v="181"/>
    <x v="348"/>
    <x v="188"/>
  </r>
  <r>
    <n v="351"/>
    <n v="1291"/>
    <d v="2011-12-02T00:00:00"/>
    <x v="11"/>
    <x v="241"/>
    <x v="181"/>
    <x v="349"/>
    <x v="189"/>
  </r>
  <r>
    <n v="352"/>
    <n v="1291"/>
    <d v="2011-12-09T00:00:00"/>
    <x v="66"/>
    <x v="241"/>
    <x v="181"/>
    <x v="350"/>
    <x v="190"/>
  </r>
  <r>
    <n v="353"/>
    <n v="1291"/>
    <d v="2011-01-20T00:00:00"/>
    <x v="1"/>
    <x v="414"/>
    <x v="181"/>
    <x v="351"/>
    <x v="191"/>
  </r>
  <r>
    <n v="353"/>
    <n v="1291"/>
    <m/>
    <x v="7"/>
    <x v="415"/>
    <x v="181"/>
    <x v="351"/>
    <x v="191"/>
  </r>
  <r>
    <n v="354"/>
    <n v="1291"/>
    <m/>
    <x v="66"/>
    <x v="416"/>
    <x v="181"/>
    <x v="352"/>
    <x v="192"/>
  </r>
  <r>
    <n v="354"/>
    <n v="1291"/>
    <m/>
    <x v="7"/>
    <x v="417"/>
    <x v="181"/>
    <x v="352"/>
    <x v="192"/>
  </r>
  <r>
    <n v="354"/>
    <n v="1291"/>
    <m/>
    <x v="7"/>
    <x v="418"/>
    <x v="181"/>
    <x v="352"/>
    <x v="192"/>
  </r>
  <r>
    <n v="355"/>
    <n v="1291"/>
    <d v="2011-06-09T00:00:00"/>
    <x v="16"/>
    <x v="419"/>
    <x v="181"/>
    <x v="353"/>
    <x v="193"/>
  </r>
  <r>
    <n v="355"/>
    <n v="1291"/>
    <s v="meetings"/>
    <x v="4"/>
    <x v="420"/>
    <x v="181"/>
    <x v="353"/>
    <x v="193"/>
  </r>
  <r>
    <n v="91"/>
    <n v="1291"/>
    <d v="2011-04-20T00:00:00"/>
    <x v="33"/>
    <x v="421"/>
    <x v="181"/>
    <x v="90"/>
    <x v="10"/>
  </r>
  <r>
    <n v="91"/>
    <n v="1291"/>
    <d v="2011-03-14T00:00:00"/>
    <x v="32"/>
    <x v="422"/>
    <x v="181"/>
    <x v="90"/>
    <x v="10"/>
  </r>
  <r>
    <n v="356"/>
    <n v="1294"/>
    <d v="2011-04-09T00:00:00"/>
    <x v="38"/>
    <x v="423"/>
    <x v="182"/>
    <x v="354"/>
    <x v="194"/>
  </r>
  <r>
    <n v="356"/>
    <n v="1294"/>
    <m/>
    <x v="7"/>
    <x v="424"/>
    <x v="182"/>
    <x v="354"/>
    <x v="194"/>
  </r>
  <r>
    <n v="357"/>
    <n v="1294"/>
    <d v="2011-05-07T00:00:00"/>
    <x v="38"/>
    <x v="185"/>
    <x v="182"/>
    <x v="355"/>
    <x v="10"/>
  </r>
  <r>
    <n v="357"/>
    <n v="1294"/>
    <d v="2011-05-19T00:00:00"/>
    <x v="10"/>
    <x v="424"/>
    <x v="182"/>
    <x v="355"/>
    <x v="10"/>
  </r>
  <r>
    <n v="358"/>
    <n v="1298"/>
    <d v="2011-11-18T00:00:00"/>
    <x v="99"/>
    <x v="425"/>
    <x v="183"/>
    <x v="356"/>
    <x v="2"/>
  </r>
  <r>
    <n v="25"/>
    <n v="1299"/>
    <d v="2011-04-01T00:00:00"/>
    <x v="22"/>
    <x v="24"/>
    <x v="184"/>
    <x v="24"/>
    <x v="16"/>
  </r>
  <r>
    <n v="359"/>
    <n v="1299"/>
    <d v="2011-03-16T00:00:00"/>
    <x v="22"/>
    <x v="37"/>
    <x v="184"/>
    <x v="357"/>
    <x v="1"/>
  </r>
  <r>
    <n v="359"/>
    <n v="1299"/>
    <d v="2011-11-10T00:00:00"/>
    <x v="22"/>
    <x v="264"/>
    <x v="184"/>
    <x v="357"/>
    <x v="1"/>
  </r>
  <r>
    <n v="59"/>
    <n v="1299"/>
    <d v="2011-04-30T00:00:00"/>
    <x v="1"/>
    <x v="426"/>
    <x v="184"/>
    <x v="58"/>
    <x v="40"/>
  </r>
  <r>
    <n v="360"/>
    <n v="1299"/>
    <d v="2011-11-19T00:00:00"/>
    <x v="9"/>
    <x v="24"/>
    <x v="184"/>
    <x v="358"/>
    <x v="195"/>
  </r>
  <r>
    <n v="361"/>
    <n v="1308"/>
    <d v="2011-12-29T00:00:00"/>
    <x v="10"/>
    <x v="427"/>
    <x v="185"/>
    <x v="359"/>
    <x v="196"/>
  </r>
  <r>
    <n v="361"/>
    <n v="1308"/>
    <m/>
    <x v="7"/>
    <x v="428"/>
    <x v="185"/>
    <x v="359"/>
    <x v="196"/>
  </r>
  <r>
    <n v="362"/>
    <n v="1315"/>
    <d v="2011-01-12T00:00:00"/>
    <x v="30"/>
    <x v="1"/>
    <x v="186"/>
    <x v="360"/>
    <x v="197"/>
  </r>
  <r>
    <n v="362"/>
    <n v="1315"/>
    <d v="2011-09-27T00:00:00"/>
    <x v="2"/>
    <x v="43"/>
    <x v="186"/>
    <x v="360"/>
    <x v="197"/>
  </r>
  <r>
    <n v="362"/>
    <n v="1315"/>
    <d v="2011-11-03T00:00:00"/>
    <x v="30"/>
    <x v="1"/>
    <x v="186"/>
    <x v="360"/>
    <x v="197"/>
  </r>
  <r>
    <n v="13"/>
    <n v="1315"/>
    <d v="2011-12-06T00:00:00"/>
    <x v="2"/>
    <x v="380"/>
    <x v="186"/>
    <x v="12"/>
    <x v="7"/>
  </r>
  <r>
    <n v="363"/>
    <n v="1342"/>
    <d v="2012-05-11T00:00:00"/>
    <x v="24"/>
    <x v="429"/>
    <x v="187"/>
    <x v="361"/>
    <x v="198"/>
  </r>
  <r>
    <n v="364"/>
    <n v="1350"/>
    <d v="2011-01-07T00:00:00"/>
    <x v="2"/>
    <x v="430"/>
    <x v="188"/>
    <x v="362"/>
    <x v="199"/>
  </r>
  <r>
    <n v="365"/>
    <n v="1350"/>
    <d v="2011-01-07T00:00:00"/>
    <x v="1"/>
    <x v="431"/>
    <x v="188"/>
    <x v="363"/>
    <x v="67"/>
  </r>
  <r>
    <n v="366"/>
    <n v="1350"/>
    <d v="2011-01-07T00:00:00"/>
    <x v="1"/>
    <x v="89"/>
    <x v="188"/>
    <x v="364"/>
    <x v="67"/>
  </r>
  <r>
    <n v="367"/>
    <n v="1350"/>
    <d v="2011-01-07T00:00:00"/>
    <x v="2"/>
    <x v="432"/>
    <x v="188"/>
    <x v="365"/>
    <x v="200"/>
  </r>
  <r>
    <n v="368"/>
    <n v="1350"/>
    <d v="2011-01-07T00:00:00"/>
    <x v="1"/>
    <x v="433"/>
    <x v="188"/>
    <x v="366"/>
    <x v="201"/>
  </r>
  <r>
    <n v="369"/>
    <n v="1350"/>
    <d v="2011-01-07T00:00:00"/>
    <x v="2"/>
    <x v="434"/>
    <x v="188"/>
    <x v="367"/>
    <x v="200"/>
  </r>
  <r>
    <n v="369"/>
    <n v="1350"/>
    <m/>
    <x v="7"/>
    <x v="435"/>
    <x v="188"/>
    <x v="367"/>
    <x v="200"/>
  </r>
  <r>
    <n v="370"/>
    <n v="1350"/>
    <s v="01 07 11"/>
    <x v="1"/>
    <x v="318"/>
    <x v="188"/>
    <x v="368"/>
    <x v="202"/>
  </r>
  <r>
    <n v="371"/>
    <n v="1350"/>
    <d v="2011-01-07T00:00:00"/>
    <x v="33"/>
    <x v="436"/>
    <x v="188"/>
    <x v="369"/>
    <x v="203"/>
  </r>
  <r>
    <n v="372"/>
    <n v="1350"/>
    <d v="2011-01-07T00:00:00"/>
    <x v="2"/>
    <x v="437"/>
    <x v="188"/>
    <x v="370"/>
    <x v="67"/>
  </r>
  <r>
    <n v="373"/>
    <n v="1350"/>
    <d v="2011-01-07T00:00:00"/>
    <x v="1"/>
    <x v="318"/>
    <x v="188"/>
    <x v="371"/>
    <x v="196"/>
  </r>
  <r>
    <n v="374"/>
    <n v="1350"/>
    <d v="2011-01-07T00:00:00"/>
    <x v="1"/>
    <x v="438"/>
    <x v="188"/>
    <x v="372"/>
    <x v="204"/>
  </r>
  <r>
    <n v="375"/>
    <n v="1350"/>
    <d v="2011-01-07T00:00:00"/>
    <x v="2"/>
    <x v="439"/>
    <x v="188"/>
    <x v="373"/>
    <x v="205"/>
  </r>
  <r>
    <n v="376"/>
    <n v="1350"/>
    <d v="2011-01-07T00:00:00"/>
    <x v="1"/>
    <x v="89"/>
    <x v="188"/>
    <x v="374"/>
    <x v="206"/>
  </r>
  <r>
    <n v="377"/>
    <n v="1350"/>
    <d v="2011-01-07T00:00:00"/>
    <x v="33"/>
    <x v="413"/>
    <x v="188"/>
    <x v="375"/>
    <x v="207"/>
  </r>
  <r>
    <n v="378"/>
    <n v="1350"/>
    <d v="2011-01-07T00:00:00"/>
    <x v="1"/>
    <x v="440"/>
    <x v="188"/>
    <x v="376"/>
    <x v="208"/>
  </r>
  <r>
    <n v="379"/>
    <n v="1350"/>
    <d v="2011-01-07T00:00:00"/>
    <x v="38"/>
    <x v="441"/>
    <x v="188"/>
    <x v="377"/>
    <x v="67"/>
  </r>
  <r>
    <n v="380"/>
    <n v="1350"/>
    <d v="2011-01-07T00:00:00"/>
    <x v="38"/>
    <x v="442"/>
    <x v="188"/>
    <x v="378"/>
    <x v="209"/>
  </r>
  <r>
    <n v="381"/>
    <n v="1350"/>
    <d v="2011-01-07T00:00:00"/>
    <x v="2"/>
    <x v="443"/>
    <x v="188"/>
    <x v="379"/>
    <x v="205"/>
  </r>
  <r>
    <n v="382"/>
    <n v="1350"/>
    <d v="2011-01-07T00:00:00"/>
    <x v="100"/>
    <x v="444"/>
    <x v="188"/>
    <x v="380"/>
    <x v="210"/>
  </r>
  <r>
    <n v="383"/>
    <n v="1350"/>
    <d v="2011-01-07T00:00:00"/>
    <x v="33"/>
    <x v="445"/>
    <x v="188"/>
    <x v="381"/>
    <x v="67"/>
  </r>
  <r>
    <n v="383"/>
    <n v="1350"/>
    <d v="2011-01-07T00:00:00"/>
    <x v="2"/>
    <x v="228"/>
    <x v="188"/>
    <x v="381"/>
    <x v="67"/>
  </r>
  <r>
    <n v="383"/>
    <n v="1350"/>
    <d v="2011-01-07T00:00:00"/>
    <x v="38"/>
    <x v="446"/>
    <x v="188"/>
    <x v="381"/>
    <x v="67"/>
  </r>
  <r>
    <n v="384"/>
    <n v="1350"/>
    <d v="2011-01-07T00:00:00"/>
    <x v="1"/>
    <x v="89"/>
    <x v="188"/>
    <x v="382"/>
    <x v="67"/>
  </r>
  <r>
    <n v="385"/>
    <n v="1350"/>
    <d v="2011-01-07T00:00:00"/>
    <x v="2"/>
    <x v="431"/>
    <x v="188"/>
    <x v="383"/>
    <x v="200"/>
  </r>
  <r>
    <n v="386"/>
    <n v="1350"/>
    <d v="2011-01-07T00:00:00"/>
    <x v="2"/>
    <x v="447"/>
    <x v="188"/>
    <x v="384"/>
    <x v="211"/>
  </r>
  <r>
    <n v="387"/>
    <n v="1350"/>
    <d v="2011-01-07T00:00:00"/>
    <x v="38"/>
    <x v="448"/>
    <x v="188"/>
    <x v="385"/>
    <x v="67"/>
  </r>
  <r>
    <n v="388"/>
    <n v="1350"/>
    <d v="2011-01-07T00:00:00"/>
    <x v="32"/>
    <x v="449"/>
    <x v="188"/>
    <x v="386"/>
    <x v="67"/>
  </r>
  <r>
    <n v="389"/>
    <n v="1350"/>
    <d v="2011-01-07T00:00:00"/>
    <x v="8"/>
    <x v="450"/>
    <x v="188"/>
    <x v="387"/>
    <x v="12"/>
  </r>
  <r>
    <n v="390"/>
    <n v="1350"/>
    <d v="2011-01-07T00:00:00"/>
    <x v="30"/>
    <x v="227"/>
    <x v="188"/>
    <x v="388"/>
    <x v="200"/>
  </r>
  <r>
    <n v="391"/>
    <n v="1363"/>
    <d v="2011-03-20T00:00:00"/>
    <x v="1"/>
    <x v="451"/>
    <x v="189"/>
    <x v="389"/>
    <x v="2"/>
  </r>
  <r>
    <n v="392"/>
    <n v="1375"/>
    <d v="2011-04-25T00:00:00"/>
    <x v="11"/>
    <x v="452"/>
    <x v="190"/>
    <x v="390"/>
    <x v="212"/>
  </r>
  <r>
    <n v="393"/>
    <n v="1375"/>
    <d v="2011-05-26T00:00:00"/>
    <x v="2"/>
    <x v="453"/>
    <x v="190"/>
    <x v="391"/>
    <x v="2"/>
  </r>
  <r>
    <n v="393"/>
    <n v="1375"/>
    <m/>
    <x v="7"/>
    <x v="454"/>
    <x v="190"/>
    <x v="391"/>
    <x v="2"/>
  </r>
  <r>
    <n v="114"/>
    <n v="1375"/>
    <d v="2011-09-06T00:00:00"/>
    <x v="22"/>
    <x v="455"/>
    <x v="190"/>
    <x v="112"/>
    <x v="12"/>
  </r>
  <r>
    <n v="394"/>
    <n v="1375"/>
    <d v="2011-09-29T00:00:00"/>
    <x v="11"/>
    <x v="163"/>
    <x v="190"/>
    <x v="392"/>
    <x v="213"/>
  </r>
  <r>
    <n v="393"/>
    <n v="1375"/>
    <d v="2011-06-09T00:00:00"/>
    <x v="2"/>
    <x v="456"/>
    <x v="190"/>
    <x v="391"/>
    <x v="2"/>
  </r>
  <r>
    <n v="393"/>
    <n v="1375"/>
    <m/>
    <x v="7"/>
    <x v="457"/>
    <x v="190"/>
    <x v="391"/>
    <x v="2"/>
  </r>
  <r>
    <n v="395"/>
    <n v="1375"/>
    <d v="2011-12-09T00:00:00"/>
    <x v="38"/>
    <x v="458"/>
    <x v="190"/>
    <x v="393"/>
    <x v="10"/>
  </r>
  <r>
    <n v="395"/>
    <n v="1375"/>
    <m/>
    <x v="7"/>
    <x v="458"/>
    <x v="190"/>
    <x v="393"/>
    <x v="10"/>
  </r>
  <r>
    <n v="396"/>
    <n v="1385"/>
    <d v="2011-01-20T00:00:00"/>
    <x v="101"/>
    <x v="459"/>
    <x v="191"/>
    <x v="394"/>
    <x v="10"/>
  </r>
  <r>
    <n v="396"/>
    <n v="1385"/>
    <d v="2011-03-13T00:00:00"/>
    <x v="22"/>
    <x v="460"/>
    <x v="191"/>
    <x v="394"/>
    <x v="10"/>
  </r>
  <r>
    <n v="69"/>
    <n v="1393"/>
    <d v="2011-01-20T00:00:00"/>
    <x v="102"/>
    <x v="461"/>
    <x v="192"/>
    <x v="68"/>
    <x v="1"/>
  </r>
  <r>
    <n v="69"/>
    <n v="1393"/>
    <m/>
    <x v="7"/>
    <x v="462"/>
    <x v="192"/>
    <x v="68"/>
    <x v="1"/>
  </r>
  <r>
    <n v="69"/>
    <n v="1393"/>
    <m/>
    <x v="7"/>
    <x v="463"/>
    <x v="192"/>
    <x v="68"/>
    <x v="1"/>
  </r>
  <r>
    <n v="397"/>
    <n v="1397"/>
    <d v="2011-12-25T00:00:00"/>
    <x v="38"/>
    <x v="165"/>
    <x v="193"/>
    <x v="395"/>
    <x v="70"/>
  </r>
  <r>
    <n v="398"/>
    <n v="1402"/>
    <d v="2011-09-17T00:00:00"/>
    <x v="65"/>
    <x v="464"/>
    <x v="194"/>
    <x v="396"/>
    <x v="10"/>
  </r>
  <r>
    <n v="398"/>
    <n v="1402"/>
    <d v="2011-10-05T00:00:00"/>
    <x v="14"/>
    <x v="465"/>
    <x v="194"/>
    <x v="396"/>
    <x v="10"/>
  </r>
  <r>
    <n v="63"/>
    <n v="1430"/>
    <d v="2011-11-18T00:00:00"/>
    <x v="35"/>
    <x v="87"/>
    <x v="195"/>
    <x v="62"/>
    <x v="41"/>
  </r>
  <r>
    <n v="63"/>
    <n v="1430"/>
    <m/>
    <x v="7"/>
    <x v="88"/>
    <x v="195"/>
    <x v="62"/>
    <x v="41"/>
  </r>
  <r>
    <n v="63"/>
    <n v="1430"/>
    <m/>
    <x v="7"/>
    <x v="86"/>
    <x v="195"/>
    <x v="62"/>
    <x v="41"/>
  </r>
  <r>
    <n v="12"/>
    <n v="1432"/>
    <d v="2011-05-18T00:00:00"/>
    <x v="103"/>
    <x v="466"/>
    <x v="196"/>
    <x v="11"/>
    <x v="6"/>
  </r>
  <r>
    <n v="12"/>
    <n v="1432"/>
    <m/>
    <x v="7"/>
    <x v="467"/>
    <x v="196"/>
    <x v="11"/>
    <x v="6"/>
  </r>
  <r>
    <n v="399"/>
    <n v="1432"/>
    <d v="2011-09-12T00:00:00"/>
    <x v="24"/>
    <x v="468"/>
    <x v="196"/>
    <x v="397"/>
    <x v="214"/>
  </r>
  <r>
    <n v="399"/>
    <n v="1432"/>
    <d v="2011-09-13T00:00:00"/>
    <x v="7"/>
    <x v="469"/>
    <x v="196"/>
    <x v="397"/>
    <x v="214"/>
  </r>
  <r>
    <n v="399"/>
    <n v="1432"/>
    <d v="2011-09-14T00:00:00"/>
    <x v="7"/>
    <x v="470"/>
    <x v="196"/>
    <x v="397"/>
    <x v="214"/>
  </r>
  <r>
    <n v="400"/>
    <n v="1436"/>
    <s v="5/ /11"/>
    <x v="1"/>
    <x v="345"/>
    <x v="197"/>
    <x v="398"/>
    <x v="2"/>
  </r>
  <r>
    <n v="401"/>
    <n v="1436"/>
    <m/>
    <x v="1"/>
    <x v="471"/>
    <x v="197"/>
    <x v="399"/>
    <x v="2"/>
  </r>
  <r>
    <n v="402"/>
    <n v="1436"/>
    <s v="4//11"/>
    <x v="1"/>
    <x v="472"/>
    <x v="197"/>
    <x v="400"/>
    <x v="2"/>
  </r>
  <r>
    <n v="402"/>
    <n v="1436"/>
    <d v="2012-11-11T00:00:00"/>
    <x v="2"/>
    <x v="473"/>
    <x v="197"/>
    <x v="400"/>
    <x v="2"/>
  </r>
  <r>
    <n v="403"/>
    <n v="1436"/>
    <m/>
    <x v="2"/>
    <x v="43"/>
    <x v="197"/>
    <x v="401"/>
    <x v="2"/>
  </r>
  <r>
    <n v="404"/>
    <n v="1436"/>
    <s v="12/ /11"/>
    <x v="0"/>
    <x v="474"/>
    <x v="197"/>
    <x v="402"/>
    <x v="2"/>
  </r>
  <r>
    <n v="405"/>
    <n v="1440"/>
    <d v="2012-08-01T00:00:00"/>
    <x v="104"/>
    <x v="475"/>
    <x v="198"/>
    <x v="403"/>
    <x v="215"/>
  </r>
  <r>
    <n v="405"/>
    <n v="1440"/>
    <d v="2012-10-05T00:00:00"/>
    <x v="104"/>
    <x v="476"/>
    <x v="198"/>
    <x v="403"/>
    <x v="215"/>
  </r>
  <r>
    <n v="406"/>
    <n v="1443"/>
    <d v="2011-03-26T00:00:00"/>
    <x v="105"/>
    <x v="477"/>
    <x v="199"/>
    <x v="404"/>
    <x v="10"/>
  </r>
  <r>
    <n v="407"/>
    <n v="1446"/>
    <d v="2011-05-13T00:00:00"/>
    <x v="100"/>
    <x v="478"/>
    <x v="200"/>
    <x v="405"/>
    <x v="10"/>
  </r>
  <r>
    <n v="25"/>
    <n v="1448"/>
    <d v="2011-04-01T00:00:00"/>
    <x v="2"/>
    <x v="1"/>
    <x v="201"/>
    <x v="24"/>
    <x v="16"/>
  </r>
  <r>
    <n v="8"/>
    <n v="1448"/>
    <d v="2011-11-10T00:00:00"/>
    <x v="2"/>
    <x v="1"/>
    <x v="201"/>
    <x v="7"/>
    <x v="1"/>
  </r>
  <r>
    <n v="150"/>
    <n v="1459"/>
    <d v="2011-01-02T00:00:00"/>
    <x v="22"/>
    <x v="479"/>
    <x v="202"/>
    <x v="148"/>
    <x v="95"/>
  </r>
  <r>
    <n v="150"/>
    <n v="1459"/>
    <d v="2011-09-13T00:00:00"/>
    <x v="22"/>
    <x v="1"/>
    <x v="202"/>
    <x v="148"/>
    <x v="95"/>
  </r>
  <r>
    <n v="150"/>
    <n v="1459"/>
    <d v="2011-12-13T00:00:00"/>
    <x v="22"/>
    <x v="1"/>
    <x v="202"/>
    <x v="148"/>
    <x v="95"/>
  </r>
  <r>
    <n v="408"/>
    <n v="1477"/>
    <d v="2011-04-01T00:00:00"/>
    <x v="75"/>
    <x v="480"/>
    <x v="203"/>
    <x v="406"/>
    <x v="216"/>
  </r>
  <r>
    <n v="409"/>
    <n v="1477"/>
    <d v="2011-11-01T00:00:00"/>
    <x v="1"/>
    <x v="1"/>
    <x v="203"/>
    <x v="407"/>
    <x v="217"/>
  </r>
  <r>
    <n v="410"/>
    <n v="1489"/>
    <d v="2011-07-21T00:00:00"/>
    <x v="22"/>
    <x v="481"/>
    <x v="204"/>
    <x v="408"/>
    <x v="218"/>
  </r>
  <r>
    <n v="411"/>
    <n v="1489"/>
    <d v="2011-01-24T00:00:00"/>
    <x v="26"/>
    <x v="482"/>
    <x v="204"/>
    <x v="409"/>
    <x v="219"/>
  </r>
  <r>
    <n v="411"/>
    <n v="1489"/>
    <d v="2011-03-15T00:00:00"/>
    <x v="26"/>
    <x v="482"/>
    <x v="204"/>
    <x v="409"/>
    <x v="219"/>
  </r>
  <r>
    <n v="411"/>
    <n v="1489"/>
    <d v="2011-05-10T00:00:00"/>
    <x v="26"/>
    <x v="482"/>
    <x v="204"/>
    <x v="409"/>
    <x v="219"/>
  </r>
  <r>
    <n v="412"/>
    <n v="1489"/>
    <d v="2011-01-18T00:00:00"/>
    <x v="1"/>
    <x v="483"/>
    <x v="204"/>
    <x v="410"/>
    <x v="220"/>
  </r>
  <r>
    <n v="413"/>
    <n v="1489"/>
    <d v="2011-09-13T00:00:00"/>
    <x v="26"/>
    <x v="482"/>
    <x v="204"/>
    <x v="411"/>
    <x v="2"/>
  </r>
  <r>
    <n v="413"/>
    <n v="1489"/>
    <s v="4/ 8&amp;9 /11"/>
    <x v="38"/>
    <x v="484"/>
    <x v="204"/>
    <x v="411"/>
    <x v="2"/>
  </r>
  <r>
    <n v="413"/>
    <n v="1489"/>
    <d v="2011-07-19T00:00:00"/>
    <x v="36"/>
    <x v="485"/>
    <x v="204"/>
    <x v="411"/>
    <x v="2"/>
  </r>
  <r>
    <n v="414"/>
    <n v="1489"/>
    <s v="1/28-29/11"/>
    <x v="1"/>
    <x v="486"/>
    <x v="204"/>
    <x v="412"/>
    <x v="220"/>
  </r>
  <r>
    <n v="414"/>
    <n v="1489"/>
    <d v="2011-09-20T00:00:00"/>
    <x v="1"/>
    <x v="487"/>
    <x v="204"/>
    <x v="412"/>
    <x v="220"/>
  </r>
  <r>
    <n v="415"/>
    <n v="1489"/>
    <s v="10/14-16/11"/>
    <x v="106"/>
    <x v="488"/>
    <x v="204"/>
    <x v="413"/>
    <x v="2"/>
  </r>
  <r>
    <n v="416"/>
    <n v="1489"/>
    <s v="6/26&amp;27/11"/>
    <x v="107"/>
    <x v="489"/>
    <x v="204"/>
    <x v="414"/>
    <x v="221"/>
  </r>
  <r>
    <n v="417"/>
    <n v="1507"/>
    <d v="2011-08-14T00:00:00"/>
    <x v="47"/>
    <x v="490"/>
    <x v="205"/>
    <x v="415"/>
    <x v="222"/>
  </r>
  <r>
    <n v="417"/>
    <n v="1507"/>
    <d v="2011-08-14T00:00:00"/>
    <x v="89"/>
    <x v="491"/>
    <x v="205"/>
    <x v="415"/>
    <x v="222"/>
  </r>
  <r>
    <n v="417"/>
    <n v="1507"/>
    <d v="2011-08-17T00:00:00"/>
    <x v="108"/>
    <x v="492"/>
    <x v="205"/>
    <x v="415"/>
    <x v="222"/>
  </r>
  <r>
    <n v="418"/>
    <n v="1507"/>
    <d v="2011-08-18T00:00:00"/>
    <x v="8"/>
    <x v="493"/>
    <x v="205"/>
    <x v="416"/>
    <x v="223"/>
  </r>
  <r>
    <n v="418"/>
    <n v="1507"/>
    <d v="2011-08-18T00:00:00"/>
    <x v="109"/>
    <x v="494"/>
    <x v="205"/>
    <x v="416"/>
    <x v="223"/>
  </r>
  <r>
    <n v="418"/>
    <n v="1507"/>
    <d v="2011-08-20T00:00:00"/>
    <x v="39"/>
    <x v="495"/>
    <x v="205"/>
    <x v="416"/>
    <x v="223"/>
  </r>
  <r>
    <n v="419"/>
    <n v="1507"/>
    <d v="2011-05-25T00:00:00"/>
    <x v="38"/>
    <x v="496"/>
    <x v="205"/>
    <x v="417"/>
    <x v="224"/>
  </r>
  <r>
    <n v="419"/>
    <n v="1507"/>
    <m/>
    <x v="7"/>
    <x v="497"/>
    <x v="205"/>
    <x v="417"/>
    <x v="224"/>
  </r>
  <r>
    <n v="419"/>
    <n v="1507"/>
    <m/>
    <x v="7"/>
    <x v="498"/>
    <x v="205"/>
    <x v="417"/>
    <x v="224"/>
  </r>
  <r>
    <n v="420"/>
    <n v="1511"/>
    <s v="09/ /11"/>
    <x v="104"/>
    <x v="499"/>
    <x v="206"/>
    <x v="418"/>
    <x v="225"/>
  </r>
  <r>
    <n v="420"/>
    <n v="1511"/>
    <m/>
    <x v="7"/>
    <x v="500"/>
    <x v="206"/>
    <x v="418"/>
    <x v="225"/>
  </r>
  <r>
    <n v="421"/>
    <n v="1511"/>
    <d v="2012-09-11T00:00:00"/>
    <x v="2"/>
    <x v="501"/>
    <x v="206"/>
    <x v="419"/>
    <x v="226"/>
  </r>
  <r>
    <n v="421"/>
    <n v="1511"/>
    <m/>
    <x v="7"/>
    <x v="502"/>
    <x v="206"/>
    <x v="419"/>
    <x v="226"/>
  </r>
  <r>
    <n v="422"/>
    <n v="1517"/>
    <d v="2011-12-04T00:00:00"/>
    <x v="35"/>
    <x v="503"/>
    <x v="207"/>
    <x v="420"/>
    <x v="227"/>
  </r>
  <r>
    <n v="422"/>
    <n v="1517"/>
    <m/>
    <x v="7"/>
    <x v="504"/>
    <x v="207"/>
    <x v="420"/>
    <x v="227"/>
  </r>
  <r>
    <n v="422"/>
    <n v="1517"/>
    <m/>
    <x v="7"/>
    <x v="505"/>
    <x v="207"/>
    <x v="420"/>
    <x v="227"/>
  </r>
  <r>
    <n v="423"/>
    <n v="1517"/>
    <d v="2011-12-30T00:00:00"/>
    <x v="14"/>
    <x v="228"/>
    <x v="207"/>
    <x v="421"/>
    <x v="2"/>
  </r>
  <r>
    <n v="423"/>
    <n v="1517"/>
    <d v="2011-12-30T00:00:00"/>
    <x v="14"/>
    <x v="506"/>
    <x v="207"/>
    <x v="421"/>
    <x v="2"/>
  </r>
  <r>
    <n v="424"/>
    <n v="1517"/>
    <d v="2011-02-17T00:00:00"/>
    <x v="32"/>
    <x v="507"/>
    <x v="207"/>
    <x v="422"/>
    <x v="2"/>
  </r>
  <r>
    <n v="424"/>
    <n v="1517"/>
    <m/>
    <x v="7"/>
    <x v="345"/>
    <x v="207"/>
    <x v="422"/>
    <x v="2"/>
  </r>
  <r>
    <n v="425"/>
    <n v="1517"/>
    <d v="2011-04-29T00:00:00"/>
    <x v="32"/>
    <x v="508"/>
    <x v="207"/>
    <x v="423"/>
    <x v="2"/>
  </r>
  <r>
    <n v="425"/>
    <n v="1517"/>
    <m/>
    <x v="7"/>
    <x v="509"/>
    <x v="207"/>
    <x v="423"/>
    <x v="2"/>
  </r>
  <r>
    <n v="426"/>
    <n v="1517"/>
    <d v="2011-12-15T00:00:00"/>
    <x v="9"/>
    <x v="510"/>
    <x v="207"/>
    <x v="424"/>
    <x v="2"/>
  </r>
  <r>
    <n v="426"/>
    <n v="1517"/>
    <m/>
    <x v="7"/>
    <x v="511"/>
    <x v="207"/>
    <x v="424"/>
    <x v="2"/>
  </r>
  <r>
    <n v="427"/>
    <n v="1517"/>
    <d v="2011-12-18T00:00:00"/>
    <x v="36"/>
    <x v="512"/>
    <x v="207"/>
    <x v="425"/>
    <x v="228"/>
  </r>
  <r>
    <n v="428"/>
    <n v="1517"/>
    <d v="2011-12-04T00:00:00"/>
    <x v="36"/>
    <x v="513"/>
    <x v="207"/>
    <x v="426"/>
    <x v="228"/>
  </r>
  <r>
    <n v="428"/>
    <n v="1517"/>
    <m/>
    <x v="7"/>
    <x v="514"/>
    <x v="207"/>
    <x v="426"/>
    <x v="228"/>
  </r>
  <r>
    <n v="429"/>
    <n v="1517"/>
    <d v="2011-12-04T00:00:00"/>
    <x v="32"/>
    <x v="515"/>
    <x v="207"/>
    <x v="427"/>
    <x v="229"/>
  </r>
  <r>
    <n v="430"/>
    <n v="1517"/>
    <d v="2011-12-12T00:00:00"/>
    <x v="39"/>
    <x v="516"/>
    <x v="207"/>
    <x v="428"/>
    <x v="228"/>
  </r>
  <r>
    <n v="430"/>
    <n v="1517"/>
    <m/>
    <x v="7"/>
    <x v="517"/>
    <x v="207"/>
    <x v="428"/>
    <x v="228"/>
  </r>
  <r>
    <n v="431"/>
    <n v="1517"/>
    <d v="2011-12-04T00:00:00"/>
    <x v="35"/>
    <x v="518"/>
    <x v="207"/>
    <x v="429"/>
    <x v="230"/>
  </r>
  <r>
    <n v="431"/>
    <n v="1517"/>
    <m/>
    <x v="7"/>
    <x v="519"/>
    <x v="207"/>
    <x v="429"/>
    <x v="230"/>
  </r>
  <r>
    <n v="432"/>
    <n v="1540"/>
    <d v="2011-02-10T00:00:00"/>
    <x v="26"/>
    <x v="520"/>
    <x v="208"/>
    <x v="430"/>
    <x v="231"/>
  </r>
  <r>
    <n v="433"/>
    <n v="1543"/>
    <s v="03/  /11"/>
    <x v="110"/>
    <x v="43"/>
    <x v="209"/>
    <x v="431"/>
    <x v="10"/>
  </r>
  <r>
    <n v="433"/>
    <n v="1543"/>
    <d v="2011-06-18T00:00:00"/>
    <x v="111"/>
    <x v="163"/>
    <x v="209"/>
    <x v="431"/>
    <x v="10"/>
  </r>
  <r>
    <n v="434"/>
    <n v="1543"/>
    <d v="2011-03-05T00:00:00"/>
    <x v="39"/>
    <x v="1"/>
    <x v="209"/>
    <x v="432"/>
    <x v="2"/>
  </r>
  <r>
    <n v="435"/>
    <n v="1543"/>
    <d v="2011-11-15T00:00:00"/>
    <x v="112"/>
    <x v="521"/>
    <x v="209"/>
    <x v="433"/>
    <x v="232"/>
  </r>
  <r>
    <n v="436"/>
    <n v="1549"/>
    <d v="2011-11-07T00:00:00"/>
    <x v="4"/>
    <x v="522"/>
    <x v="210"/>
    <x v="434"/>
    <x v="233"/>
  </r>
  <r>
    <n v="436"/>
    <n v="1549"/>
    <m/>
    <x v="7"/>
    <x v="523"/>
    <x v="210"/>
    <x v="434"/>
    <x v="233"/>
  </r>
  <r>
    <n v="325"/>
    <n v="1549"/>
    <d v="2011-11-12T00:00:00"/>
    <x v="2"/>
    <x v="524"/>
    <x v="210"/>
    <x v="323"/>
    <x v="1"/>
  </r>
  <r>
    <n v="325"/>
    <n v="1549"/>
    <d v="2011-06-09T00:00:00"/>
    <x v="2"/>
    <x v="525"/>
    <x v="210"/>
    <x v="323"/>
    <x v="1"/>
  </r>
  <r>
    <n v="325"/>
    <n v="1549"/>
    <d v="2011-09-27T00:00:00"/>
    <x v="2"/>
    <x v="526"/>
    <x v="210"/>
    <x v="323"/>
    <x v="1"/>
  </r>
  <r>
    <n v="437"/>
    <n v="1549"/>
    <d v="2011-11-03T00:00:00"/>
    <x v="22"/>
    <x v="527"/>
    <x v="210"/>
    <x v="435"/>
    <x v="27"/>
  </r>
  <r>
    <n v="63"/>
    <n v="1551"/>
    <d v="2011-11-18T00:00:00"/>
    <x v="35"/>
    <x v="87"/>
    <x v="211"/>
    <x v="62"/>
    <x v="41"/>
  </r>
  <r>
    <n v="63"/>
    <n v="1551"/>
    <m/>
    <x v="7"/>
    <x v="88"/>
    <x v="211"/>
    <x v="62"/>
    <x v="41"/>
  </r>
  <r>
    <n v="63"/>
    <n v="1551"/>
    <m/>
    <x v="7"/>
    <x v="86"/>
    <x v="211"/>
    <x v="62"/>
    <x v="41"/>
  </r>
  <r>
    <n v="438"/>
    <n v="1553"/>
    <d v="2012-03-11T00:00:00"/>
    <x v="113"/>
    <x v="528"/>
    <x v="212"/>
    <x v="436"/>
    <x v="234"/>
  </r>
  <r>
    <n v="438"/>
    <n v="1553"/>
    <s v="3 11"/>
    <x v="76"/>
    <x v="529"/>
    <x v="212"/>
    <x v="436"/>
    <x v="234"/>
  </r>
  <r>
    <n v="439"/>
    <n v="1553"/>
    <d v="2011-05-08T00:00:00"/>
    <x v="114"/>
    <x v="469"/>
    <x v="212"/>
    <x v="437"/>
    <x v="2"/>
  </r>
  <r>
    <n v="440"/>
    <n v="1561"/>
    <d v="2011-09-25T00:00:00"/>
    <x v="5"/>
    <x v="530"/>
    <x v="213"/>
    <x v="438"/>
    <x v="235"/>
  </r>
  <r>
    <n v="440"/>
    <n v="1561"/>
    <m/>
    <x v="7"/>
    <x v="531"/>
    <x v="213"/>
    <x v="438"/>
    <x v="235"/>
  </r>
  <r>
    <n v="441"/>
    <n v="1561"/>
    <d v="2012-01-26T00:00:00"/>
    <x v="55"/>
    <x v="532"/>
    <x v="213"/>
    <x v="439"/>
    <x v="236"/>
  </r>
  <r>
    <n v="442"/>
    <n v="1561"/>
    <d v="2011-02-10T00:00:00"/>
    <x v="24"/>
    <x v="533"/>
    <x v="213"/>
    <x v="440"/>
    <x v="237"/>
  </r>
  <r>
    <n v="442"/>
    <n v="1561"/>
    <m/>
    <x v="7"/>
    <x v="534"/>
    <x v="213"/>
    <x v="440"/>
    <x v="237"/>
  </r>
  <r>
    <n v="443"/>
    <n v="1561"/>
    <d v="2011-04-27T00:00:00"/>
    <x v="55"/>
    <x v="535"/>
    <x v="213"/>
    <x v="441"/>
    <x v="238"/>
  </r>
  <r>
    <n v="443"/>
    <n v="1561"/>
    <m/>
    <x v="7"/>
    <x v="536"/>
    <x v="213"/>
    <x v="441"/>
    <x v="238"/>
  </r>
  <r>
    <n v="444"/>
    <n v="1565"/>
    <d v="2011-02-05T00:00:00"/>
    <x v="44"/>
    <x v="537"/>
    <x v="214"/>
    <x v="442"/>
    <x v="239"/>
  </r>
  <r>
    <n v="445"/>
    <n v="1565"/>
    <d v="2011-03-31T00:00:00"/>
    <x v="76"/>
    <x v="538"/>
    <x v="214"/>
    <x v="443"/>
    <x v="12"/>
  </r>
  <r>
    <n v="446"/>
    <n v="1565"/>
    <d v="2011-02-21T00:00:00"/>
    <x v="115"/>
    <x v="538"/>
    <x v="214"/>
    <x v="444"/>
    <x v="240"/>
  </r>
  <r>
    <n v="447"/>
    <n v="1565"/>
    <d v="2011-11-19T00:00:00"/>
    <x v="116"/>
    <x v="539"/>
    <x v="214"/>
    <x v="445"/>
    <x v="241"/>
  </r>
  <r>
    <n v="448"/>
    <n v="1565"/>
    <d v="2011-05-29T00:00:00"/>
    <x v="10"/>
    <x v="538"/>
    <x v="214"/>
    <x v="446"/>
    <x v="242"/>
  </r>
  <r>
    <n v="449"/>
    <n v="1565"/>
    <d v="2011-09-23T00:00:00"/>
    <x v="35"/>
    <x v="540"/>
    <x v="214"/>
    <x v="447"/>
    <x v="2"/>
  </r>
  <r>
    <n v="114"/>
    <n v="1565"/>
    <d v="2011-12-09T00:00:00"/>
    <x v="38"/>
    <x v="241"/>
    <x v="214"/>
    <x v="112"/>
    <x v="12"/>
  </r>
  <r>
    <n v="450"/>
    <n v="1565"/>
    <d v="2011-12-28T00:00:00"/>
    <x v="117"/>
    <x v="541"/>
    <x v="214"/>
    <x v="448"/>
    <x v="243"/>
  </r>
  <r>
    <n v="451"/>
    <n v="1565"/>
    <d v="2011-01-15T00:00:00"/>
    <x v="1"/>
    <x v="538"/>
    <x v="214"/>
    <x v="449"/>
    <x v="12"/>
  </r>
  <r>
    <n v="451"/>
    <n v="1565"/>
    <d v="2011-03-25T00:00:00"/>
    <x v="1"/>
    <x v="538"/>
    <x v="214"/>
    <x v="449"/>
    <x v="12"/>
  </r>
  <r>
    <n v="213"/>
    <n v="1579"/>
    <m/>
    <x v="100"/>
    <x v="542"/>
    <x v="215"/>
    <x v="211"/>
    <x v="1"/>
  </r>
  <r>
    <n v="94"/>
    <n v="1579"/>
    <m/>
    <x v="100"/>
    <x v="542"/>
    <x v="215"/>
    <x v="93"/>
    <x v="1"/>
  </r>
  <r>
    <n v="25"/>
    <n v="1584"/>
    <d v="2011-04-01T00:00:00"/>
    <x v="22"/>
    <x v="24"/>
    <x v="216"/>
    <x v="24"/>
    <x v="16"/>
  </r>
  <r>
    <n v="452"/>
    <n v="1584"/>
    <d v="2011-12-15T00:00:00"/>
    <x v="2"/>
    <x v="543"/>
    <x v="216"/>
    <x v="450"/>
    <x v="1"/>
  </r>
  <r>
    <n v="453"/>
    <n v="1584"/>
    <d v="2011-04-30T00:00:00"/>
    <x v="1"/>
    <x v="426"/>
    <x v="216"/>
    <x v="451"/>
    <x v="1"/>
  </r>
  <r>
    <n v="452"/>
    <n v="1584"/>
    <d v="2011-11-10T00:00:00"/>
    <x v="22"/>
    <x v="544"/>
    <x v="216"/>
    <x v="450"/>
    <x v="1"/>
  </r>
  <r>
    <n v="454"/>
    <n v="1588"/>
    <d v="2011-12-09T00:00:00"/>
    <x v="1"/>
    <x v="545"/>
    <x v="217"/>
    <x v="452"/>
    <x v="10"/>
  </r>
  <r>
    <n v="454"/>
    <n v="1588"/>
    <m/>
    <x v="7"/>
    <x v="126"/>
    <x v="217"/>
    <x v="452"/>
    <x v="10"/>
  </r>
  <r>
    <n v="455"/>
    <n v="1595"/>
    <d v="2011-01-22T00:00:00"/>
    <x v="2"/>
    <x v="546"/>
    <x v="218"/>
    <x v="453"/>
    <x v="12"/>
  </r>
  <r>
    <n v="455"/>
    <n v="1595"/>
    <s v="09 25 11"/>
    <x v="118"/>
    <x v="547"/>
    <x v="218"/>
    <x v="453"/>
    <x v="12"/>
  </r>
  <r>
    <n v="456"/>
    <n v="1595"/>
    <d v="2011-09-25T00:00:00"/>
    <x v="65"/>
    <x v="548"/>
    <x v="218"/>
    <x v="454"/>
    <x v="244"/>
  </r>
  <r>
    <n v="457"/>
    <n v="1595"/>
    <d v="2011-03-19T00:00:00"/>
    <x v="1"/>
    <x v="549"/>
    <x v="218"/>
    <x v="455"/>
    <x v="34"/>
  </r>
  <r>
    <n v="458"/>
    <n v="1595"/>
    <d v="2011-03-25T00:00:00"/>
    <x v="32"/>
    <x v="550"/>
    <x v="218"/>
    <x v="456"/>
    <x v="245"/>
  </r>
  <r>
    <n v="459"/>
    <n v="1595"/>
    <d v="2011-01-29T00:00:00"/>
    <x v="38"/>
    <x v="551"/>
    <x v="218"/>
    <x v="457"/>
    <x v="246"/>
  </r>
  <r>
    <n v="460"/>
    <n v="1598"/>
    <d v="2011-07-23T00:00:00"/>
    <x v="10"/>
    <x v="315"/>
    <x v="219"/>
    <x v="458"/>
    <x v="0"/>
  </r>
  <r>
    <n v="461"/>
    <n v="1598"/>
    <d v="2011-11-13T00:00:00"/>
    <x v="38"/>
    <x v="315"/>
    <x v="219"/>
    <x v="459"/>
    <x v="0"/>
  </r>
  <r>
    <n v="462"/>
    <n v="1598"/>
    <d v="2011-07-27T00:00:00"/>
    <x v="119"/>
    <x v="315"/>
    <x v="219"/>
    <x v="460"/>
    <x v="2"/>
  </r>
  <r>
    <n v="463"/>
    <n v="1598"/>
    <d v="2011-07-29T00:00:00"/>
    <x v="66"/>
    <x v="315"/>
    <x v="219"/>
    <x v="461"/>
    <x v="2"/>
  </r>
  <r>
    <n v="464"/>
    <n v="1599"/>
    <d v="2011-09-10T00:00:00"/>
    <x v="11"/>
    <x v="552"/>
    <x v="220"/>
    <x v="462"/>
    <x v="12"/>
  </r>
  <r>
    <n v="464"/>
    <n v="1599"/>
    <d v="2011-12-04T00:00:00"/>
    <x v="1"/>
    <x v="553"/>
    <x v="220"/>
    <x v="462"/>
    <x v="12"/>
  </r>
  <r>
    <n v="465"/>
    <n v="1601"/>
    <d v="2011-05-10T00:00:00"/>
    <x v="2"/>
    <x v="43"/>
    <x v="221"/>
    <x v="463"/>
    <x v="8"/>
  </r>
  <r>
    <n v="465"/>
    <n v="1601"/>
    <s v="06 09 11"/>
    <x v="2"/>
    <x v="101"/>
    <x v="221"/>
    <x v="463"/>
    <x v="8"/>
  </r>
  <r>
    <n v="465"/>
    <n v="1601"/>
    <d v="2011-09-20T00:00:00"/>
    <x v="2"/>
    <x v="101"/>
    <x v="221"/>
    <x v="463"/>
    <x v="8"/>
  </r>
  <r>
    <n v="466"/>
    <n v="1601"/>
    <d v="2011-09-27T00:00:00"/>
    <x v="2"/>
    <x v="43"/>
    <x v="221"/>
    <x v="464"/>
    <x v="2"/>
  </r>
  <r>
    <n v="466"/>
    <n v="1601"/>
    <d v="2011-12-06T00:00:00"/>
    <x v="2"/>
    <x v="43"/>
    <x v="221"/>
    <x v="464"/>
    <x v="2"/>
  </r>
  <r>
    <n v="132"/>
    <n v="1601"/>
    <d v="2011-09-07T00:00:00"/>
    <x v="0"/>
    <x v="1"/>
    <x v="221"/>
    <x v="130"/>
    <x v="78"/>
  </r>
  <r>
    <n v="467"/>
    <n v="1601"/>
    <s v="11 03 11"/>
    <x v="21"/>
    <x v="1"/>
    <x v="221"/>
    <x v="465"/>
    <x v="8"/>
  </r>
  <r>
    <n v="468"/>
    <n v="1614"/>
    <d v="2011-12-20T00:00:00"/>
    <x v="120"/>
    <x v="165"/>
    <x v="222"/>
    <x v="466"/>
    <x v="247"/>
  </r>
  <r>
    <n v="69"/>
    <n v="1622"/>
    <n v="11"/>
    <x v="10"/>
    <x v="554"/>
    <x v="223"/>
    <x v="68"/>
    <x v="1"/>
  </r>
  <r>
    <n v="469"/>
    <n v="1622"/>
    <m/>
    <x v="1"/>
    <x v="554"/>
    <x v="223"/>
    <x v="467"/>
    <x v="1"/>
  </r>
  <r>
    <n v="470"/>
    <n v="1645"/>
    <d v="2011-03-04T00:00:00"/>
    <x v="33"/>
    <x v="555"/>
    <x v="224"/>
    <x v="468"/>
    <x v="13"/>
  </r>
  <r>
    <n v="471"/>
    <n v="1645"/>
    <d v="2011-09-10T00:00:00"/>
    <x v="20"/>
    <x v="556"/>
    <x v="224"/>
    <x v="469"/>
    <x v="13"/>
  </r>
  <r>
    <n v="471"/>
    <n v="1645"/>
    <m/>
    <x v="7"/>
    <x v="557"/>
    <x v="224"/>
    <x v="469"/>
    <x v="13"/>
  </r>
  <r>
    <n v="471"/>
    <n v="1645"/>
    <m/>
    <x v="7"/>
    <x v="558"/>
    <x v="224"/>
    <x v="469"/>
    <x v="13"/>
  </r>
  <r>
    <n v="472"/>
    <n v="1645"/>
    <d v="2011-05-10T00:00:00"/>
    <x v="1"/>
    <x v="559"/>
    <x v="224"/>
    <x v="470"/>
    <x v="13"/>
  </r>
  <r>
    <n v="472"/>
    <n v="1645"/>
    <m/>
    <x v="7"/>
    <x v="560"/>
    <x v="224"/>
    <x v="470"/>
    <x v="13"/>
  </r>
  <r>
    <n v="472"/>
    <n v="1645"/>
    <m/>
    <x v="7"/>
    <x v="155"/>
    <x v="224"/>
    <x v="470"/>
    <x v="13"/>
  </r>
  <r>
    <n v="473"/>
    <n v="1645"/>
    <s v="10 20 11"/>
    <x v="35"/>
    <x v="561"/>
    <x v="224"/>
    <x v="471"/>
    <x v="13"/>
  </r>
  <r>
    <n v="473"/>
    <n v="1645"/>
    <m/>
    <x v="7"/>
    <x v="562"/>
    <x v="224"/>
    <x v="471"/>
    <x v="13"/>
  </r>
  <r>
    <n v="473"/>
    <n v="1645"/>
    <m/>
    <x v="7"/>
    <x v="563"/>
    <x v="224"/>
    <x v="471"/>
    <x v="13"/>
  </r>
  <r>
    <n v="474"/>
    <n v="1645"/>
    <d v="2011-08-25T00:00:00"/>
    <x v="24"/>
    <x v="564"/>
    <x v="224"/>
    <x v="472"/>
    <x v="248"/>
  </r>
  <r>
    <n v="474"/>
    <n v="1645"/>
    <m/>
    <x v="7"/>
    <x v="315"/>
    <x v="224"/>
    <x v="472"/>
    <x v="248"/>
  </r>
  <r>
    <n v="475"/>
    <n v="1651"/>
    <d v="2010-09-01T00:00:00"/>
    <x v="5"/>
    <x v="565"/>
    <x v="225"/>
    <x v="473"/>
    <x v="249"/>
  </r>
  <r>
    <m/>
    <m/>
    <m/>
    <x v="121"/>
    <x v="566"/>
    <x v="226"/>
    <x v="474"/>
    <x v="2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4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C236" firstHeaderRow="1" firstDataRow="2" firstDataCol="1"/>
  <pivotFields count="8">
    <pivotField showAll="0"/>
    <pivotField showAll="0"/>
    <pivotField showAll="0"/>
    <pivotField dataField="1" showAll="0"/>
    <pivotField axis="axisRow" showAll="0">
      <items count="568">
        <item x="119"/>
        <item x="53"/>
        <item x="4"/>
        <item x="67"/>
        <item x="133"/>
        <item x="428"/>
        <item x="175"/>
        <item x="518"/>
        <item x="294"/>
        <item x="336"/>
        <item x="115"/>
        <item x="187"/>
        <item x="503"/>
        <item x="348"/>
        <item x="251"/>
        <item x="107"/>
        <item x="476"/>
        <item x="561"/>
        <item x="555"/>
        <item x="30"/>
        <item x="425"/>
        <item x="381"/>
        <item x="61"/>
        <item x="257"/>
        <item x="327"/>
        <item x="5"/>
        <item x="129"/>
        <item x="256"/>
        <item x="186"/>
        <item x="8"/>
        <item x="564"/>
        <item x="394"/>
        <item x="342"/>
        <item x="292"/>
        <item x="475"/>
        <item x="47"/>
        <item x="293"/>
        <item x="238"/>
        <item x="237"/>
        <item x="210"/>
        <item x="213"/>
        <item x="231"/>
        <item x="154"/>
        <item x="157"/>
        <item x="409"/>
        <item x="249"/>
        <item x="184"/>
        <item x="219"/>
        <item x="100"/>
        <item x="474"/>
        <item x="254"/>
        <item x="300"/>
        <item x="174"/>
        <item x="220"/>
        <item x="517"/>
        <item x="444"/>
        <item x="144"/>
        <item x="403"/>
        <item x="255"/>
        <item x="559"/>
        <item x="470"/>
        <item x="24"/>
        <item x="169"/>
        <item x="143"/>
        <item x="145"/>
        <item x="6"/>
        <item x="483"/>
        <item x="14"/>
        <item x="481"/>
        <item x="488"/>
        <item x="51"/>
        <item x="519"/>
        <item x="504"/>
        <item x="118"/>
        <item x="442"/>
        <item x="176"/>
        <item x="353"/>
        <item x="376"/>
        <item x="52"/>
        <item x="76"/>
        <item x="424"/>
        <item x="16"/>
        <item x="74"/>
        <item x="199"/>
        <item x="321"/>
        <item x="465"/>
        <item x="265"/>
        <item x="71"/>
        <item x="202"/>
        <item x="204"/>
        <item x="325"/>
        <item x="464"/>
        <item x="203"/>
        <item x="68"/>
        <item x="478"/>
        <item x="217"/>
        <item x="166"/>
        <item x="23"/>
        <item x="328"/>
        <item x="96"/>
        <item x="258"/>
        <item x="411"/>
        <item x="182"/>
        <item x="312"/>
        <item x="412"/>
        <item x="387"/>
        <item x="366"/>
        <item x="549"/>
        <item x="60"/>
        <item x="560"/>
        <item x="304"/>
        <item x="455"/>
        <item x="163"/>
        <item x="452"/>
        <item x="159"/>
        <item x="378"/>
        <item x="520"/>
        <item x="153"/>
        <item x="160"/>
        <item x="492"/>
        <item x="142"/>
        <item x="141"/>
        <item x="268"/>
        <item x="227"/>
        <item x="112"/>
        <item x="416"/>
        <item x="228"/>
        <item x="432"/>
        <item x="245"/>
        <item x="466"/>
        <item x="507"/>
        <item x="494"/>
        <item x="86"/>
        <item x="233"/>
        <item x="430"/>
        <item x="433"/>
        <item x="64"/>
        <item x="450"/>
        <item x="42"/>
        <item x="548"/>
        <item x="224"/>
        <item x="283"/>
        <item x="89"/>
        <item x="140"/>
        <item x="332"/>
        <item x="395"/>
        <item x="340"/>
        <item x="511"/>
        <item x="440"/>
        <item x="479"/>
        <item x="441"/>
        <item x="296"/>
        <item x="123"/>
        <item x="391"/>
        <item x="196"/>
        <item x="197"/>
        <item x="338"/>
        <item x="547"/>
        <item x="44"/>
        <item x="244"/>
        <item x="10"/>
        <item x="344"/>
        <item x="270"/>
        <item x="97"/>
        <item x="243"/>
        <item x="320"/>
        <item x="374"/>
        <item x="290"/>
        <item x="531"/>
        <item x="70"/>
        <item x="291"/>
        <item x="88"/>
        <item x="221"/>
        <item x="490"/>
        <item x="550"/>
        <item x="436"/>
        <item x="509"/>
        <item x="334"/>
        <item x="335"/>
        <item x="533"/>
        <item x="167"/>
        <item x="1"/>
        <item x="311"/>
        <item x="393"/>
        <item x="276"/>
        <item x="12"/>
        <item x="285"/>
        <item x="161"/>
        <item x="286"/>
        <item x="146"/>
        <item x="136"/>
        <item x="49"/>
        <item x="324"/>
        <item x="545"/>
        <item x="357"/>
        <item x="359"/>
        <item x="200"/>
        <item x="192"/>
        <item x="92"/>
        <item x="65"/>
        <item x="31"/>
        <item x="501"/>
        <item x="552"/>
        <item x="462"/>
        <item x="402"/>
        <item x="156"/>
        <item x="151"/>
        <item x="390"/>
        <item x="181"/>
        <item x="205"/>
        <item x="82"/>
        <item x="326"/>
        <item x="279"/>
        <item x="303"/>
        <item x="482"/>
        <item x="329"/>
        <item x="150"/>
        <item x="148"/>
        <item x="453"/>
        <item x="275"/>
        <item x="81"/>
        <item x="383"/>
        <item x="218"/>
        <item x="83"/>
        <item x="208"/>
        <item x="313"/>
        <item x="189"/>
        <item x="277"/>
        <item x="456"/>
        <item x="454"/>
        <item x="190"/>
        <item x="66"/>
        <item x="281"/>
        <item x="211"/>
        <item x="542"/>
        <item x="405"/>
        <item x="78"/>
        <item x="75"/>
        <item x="537"/>
        <item x="539"/>
        <item x="384"/>
        <item x="367"/>
        <item x="170"/>
        <item x="525"/>
        <item x="250"/>
        <item x="544"/>
        <item x="37"/>
        <item x="264"/>
        <item x="48"/>
        <item x="201"/>
        <item x="513"/>
        <item x="486"/>
        <item x="449"/>
        <item x="459"/>
        <item x="147"/>
        <item x="528"/>
        <item x="73"/>
        <item x="116"/>
        <item x="179"/>
        <item x="94"/>
        <item x="269"/>
        <item x="229"/>
        <item x="379"/>
        <item x="39"/>
        <item x="209"/>
        <item x="388"/>
        <item x="370"/>
        <item x="134"/>
        <item x="306"/>
        <item x="99"/>
        <item x="102"/>
        <item x="105"/>
        <item x="127"/>
        <item x="554"/>
        <item x="185"/>
        <item x="135"/>
        <item x="423"/>
        <item x="502"/>
        <item x="302"/>
        <item x="278"/>
        <item x="553"/>
        <item x="26"/>
        <item x="41"/>
        <item x="248"/>
        <item x="25"/>
        <item x="506"/>
        <item x="263"/>
        <item x="180"/>
        <item x="34"/>
        <item x="487"/>
        <item x="155"/>
        <item x="500"/>
        <item x="318"/>
        <item x="397"/>
        <item x="345"/>
        <item x="3"/>
        <item x="111"/>
        <item x="373"/>
        <item x="234"/>
        <item x="540"/>
        <item x="207"/>
        <item x="28"/>
        <item x="401"/>
        <item x="15"/>
        <item x="138"/>
        <item x="496"/>
        <item x="563"/>
        <item x="214"/>
        <item x="212"/>
        <item x="458"/>
        <item x="259"/>
        <item x="241"/>
        <item x="341"/>
        <item x="543"/>
        <item x="106"/>
        <item x="380"/>
        <item x="121"/>
        <item x="273"/>
        <item x="477"/>
        <item x="35"/>
        <item x="301"/>
        <item x="556"/>
        <item x="54"/>
        <item x="109"/>
        <item x="262"/>
        <item x="58"/>
        <item x="361"/>
        <item x="131"/>
        <item x="415"/>
        <item x="396"/>
        <item x="524"/>
        <item x="104"/>
        <item x="282"/>
        <item x="110"/>
        <item x="222"/>
        <item x="527"/>
        <item x="103"/>
        <item x="484"/>
        <item x="372"/>
        <item x="347"/>
        <item x="385"/>
        <item x="240"/>
        <item x="365"/>
        <item x="57"/>
        <item x="410"/>
        <item x="414"/>
        <item x="399"/>
        <item x="526"/>
        <item x="446"/>
        <item x="226"/>
        <item x="529"/>
        <item x="188"/>
        <item x="551"/>
        <item x="421"/>
        <item x="339"/>
        <item x="330"/>
        <item x="498"/>
        <item x="316"/>
        <item x="32"/>
        <item x="447"/>
        <item x="80"/>
        <item x="322"/>
        <item x="471"/>
        <item x="79"/>
        <item x="56"/>
        <item x="43"/>
        <item x="36"/>
        <item x="193"/>
        <item x="298"/>
        <item x="389"/>
        <item x="485"/>
        <item x="69"/>
        <item x="521"/>
        <item x="392"/>
        <item x="352"/>
        <item x="198"/>
        <item x="407"/>
        <item x="267"/>
        <item x="516"/>
        <item x="362"/>
        <item x="19"/>
        <item x="236"/>
        <item x="272"/>
        <item x="125"/>
        <item x="22"/>
        <item x="18"/>
        <item x="13"/>
        <item x="375"/>
        <item x="120"/>
        <item x="84"/>
        <item x="266"/>
        <item x="271"/>
        <item x="323"/>
        <item x="20"/>
        <item x="173"/>
        <item x="21"/>
        <item x="72"/>
        <item x="95"/>
        <item x="132"/>
        <item x="172"/>
        <item x="7"/>
        <item x="307"/>
        <item x="235"/>
        <item x="93"/>
        <item x="50"/>
        <item x="546"/>
        <item x="46"/>
        <item x="495"/>
        <item x="463"/>
        <item x="55"/>
        <item x="354"/>
        <item x="63"/>
        <item x="87"/>
        <item x="289"/>
        <item x="85"/>
        <item x="194"/>
        <item x="0"/>
        <item x="11"/>
        <item x="437"/>
        <item x="514"/>
        <item x="558"/>
        <item x="177"/>
        <item x="216"/>
        <item x="429"/>
        <item x="377"/>
        <item x="2"/>
        <item x="230"/>
        <item x="152"/>
        <item x="418"/>
        <item x="126"/>
        <item x="400"/>
        <item x="128"/>
        <item x="419"/>
        <item x="90"/>
        <item x="512"/>
        <item x="346"/>
        <item x="305"/>
        <item x="288"/>
        <item x="443"/>
        <item x="113"/>
        <item x="439"/>
        <item x="351"/>
        <item x="398"/>
        <item x="467"/>
        <item x="435"/>
        <item x="457"/>
        <item x="164"/>
        <item x="461"/>
        <item x="309"/>
        <item x="183"/>
        <item x="360"/>
        <item x="139"/>
        <item x="287"/>
        <item x="417"/>
        <item x="406"/>
        <item x="451"/>
        <item x="246"/>
        <item x="101"/>
        <item x="261"/>
        <item x="260"/>
        <item x="408"/>
        <item x="122"/>
        <item x="469"/>
        <item x="434"/>
        <item x="431"/>
        <item x="280"/>
        <item x="480"/>
        <item x="223"/>
        <item x="45"/>
        <item x="252"/>
        <item x="534"/>
        <item x="343"/>
        <item x="538"/>
        <item x="508"/>
        <item x="77"/>
        <item x="382"/>
        <item x="356"/>
        <item x="355"/>
        <item x="350"/>
        <item x="468"/>
        <item x="274"/>
        <item x="308"/>
        <item x="420"/>
        <item x="310"/>
        <item x="162"/>
        <item x="522"/>
        <item x="114"/>
        <item x="91"/>
        <item x="98"/>
        <item x="333"/>
        <item x="149"/>
        <item x="371"/>
        <item x="364"/>
        <item x="368"/>
        <item x="422"/>
        <item x="445"/>
        <item x="515"/>
        <item x="448"/>
        <item x="497"/>
        <item x="536"/>
        <item x="9"/>
        <item x="491"/>
        <item x="137"/>
        <item x="171"/>
        <item x="33"/>
        <item x="523"/>
        <item x="530"/>
        <item x="317"/>
        <item x="117"/>
        <item x="535"/>
        <item x="62"/>
        <item x="532"/>
        <item x="253"/>
        <item x="349"/>
        <item x="315"/>
        <item x="215"/>
        <item x="130"/>
        <item x="297"/>
        <item x="386"/>
        <item x="29"/>
        <item x="562"/>
        <item x="541"/>
        <item x="178"/>
        <item x="108"/>
        <item x="413"/>
        <item x="17"/>
        <item x="191"/>
        <item x="557"/>
        <item x="225"/>
        <item x="460"/>
        <item x="319"/>
        <item x="295"/>
        <item x="489"/>
        <item x="27"/>
        <item x="505"/>
        <item x="239"/>
        <item x="331"/>
        <item x="510"/>
        <item x="232"/>
        <item x="499"/>
        <item x="438"/>
        <item x="314"/>
        <item x="472"/>
        <item x="473"/>
        <item x="242"/>
        <item x="299"/>
        <item x="38"/>
        <item x="337"/>
        <item x="426"/>
        <item x="493"/>
        <item x="168"/>
        <item x="195"/>
        <item x="404"/>
        <item x="165"/>
        <item x="427"/>
        <item x="247"/>
        <item x="358"/>
        <item x="206"/>
        <item x="59"/>
        <item x="363"/>
        <item x="369"/>
        <item x="40"/>
        <item x="565"/>
        <item x="284"/>
        <item x="158"/>
        <item x="124"/>
        <item x="566"/>
        <item t="default"/>
      </items>
    </pivotField>
    <pivotField axis="axisRow" showAll="0">
      <items count="228">
        <item sd="0" x="191"/>
        <item sd="0" x="170"/>
        <item sd="0" x="214"/>
        <item sd="0" x="20"/>
        <item sd="0" x="188"/>
        <item sd="0" x="204"/>
        <item sd="0" x="50"/>
        <item sd="0" x="40"/>
        <item sd="0" x="78"/>
        <item x="8"/>
        <item sd="0" x="139"/>
        <item sd="0" x="91"/>
        <item sd="0" x="43"/>
        <item sd="0" x="152"/>
        <item sd="0" x="224"/>
        <item sd="0" x="125"/>
        <item sd="0" x="104"/>
        <item sd="0" x="116"/>
        <item sd="0" x="9"/>
        <item sd="0" x="136"/>
        <item sd="0" x="69"/>
        <item sd="0" x="122"/>
        <item sd="0" x="181"/>
        <item sd="0" x="134"/>
        <item sd="0" x="171"/>
        <item sd="0" x="175"/>
        <item sd="0" x="4"/>
        <item sd="0" x="86"/>
        <item sd="0" x="129"/>
        <item sd="0" x="154"/>
        <item sd="0" x="114"/>
        <item sd="0" x="219"/>
        <item sd="0" x="67"/>
        <item sd="0" x="215"/>
        <item sd="0" x="82"/>
        <item sd="0" x="119"/>
        <item sd="0" x="142"/>
        <item sd="0" x="62"/>
        <item sd="0" x="207"/>
        <item sd="0" x="128"/>
        <item sd="0" x="213"/>
        <item sd="0" x="72"/>
        <item sd="0" x="174"/>
        <item sd="0" x="70"/>
        <item sd="0" x="79"/>
        <item sd="0" x="167"/>
        <item sd="0" x="132"/>
        <item sd="0" x="212"/>
        <item sd="0" x="190"/>
        <item sd="0" x="173"/>
        <item sd="0" x="112"/>
        <item sd="0" x="16"/>
        <item sd="0" x="183"/>
        <item sd="0" x="197"/>
        <item sd="0" x="10"/>
        <item sd="0" x="81"/>
        <item sd="0" x="182"/>
        <item sd="0" x="196"/>
        <item sd="0" x="178"/>
        <item sd="0" x="97"/>
        <item sd="0" x="180"/>
        <item sd="0" x="156"/>
        <item sd="0" x="218"/>
        <item sd="0" x="221"/>
        <item sd="0" x="205"/>
        <item sd="0" x="32"/>
        <item sd="0" x="66"/>
        <item sd="0" x="172"/>
        <item sd="0" x="58"/>
        <item sd="0" x="111"/>
        <item sd="0" x="158"/>
        <item sd="0" x="22"/>
        <item sd="0" x="200"/>
        <item sd="0" x="115"/>
        <item sd="0" x="187"/>
        <item sd="0" x="15"/>
        <item sd="0" x="39"/>
        <item sd="0" x="130"/>
        <item sd="0" x="85"/>
        <item sd="0" x="184"/>
        <item sd="0" x="77"/>
        <item sd="0" x="106"/>
        <item sd="0" x="51"/>
        <item sd="0" x="94"/>
        <item sd="0" x="101"/>
        <item sd="0" x="166"/>
        <item sd="0" x="148"/>
        <item sd="0" x="198"/>
        <item sd="0" x="210"/>
        <item sd="0" x="57"/>
        <item sd="0" x="176"/>
        <item sd="0" x="163"/>
        <item sd="0" x="19"/>
        <item sd="0" x="30"/>
        <item sd="0" x="118"/>
        <item sd="0" x="216"/>
        <item sd="0" x="199"/>
        <item sd="0" x="100"/>
        <item sd="0" x="126"/>
        <item sd="0" x="127"/>
        <item sd="0" x="71"/>
        <item sd="0" x="21"/>
        <item sd="0" x="160"/>
        <item sd="0" x="44"/>
        <item sd="0" x="223"/>
        <item sd="0" x="31"/>
        <item sd="0" x="45"/>
        <item sd="0" x="137"/>
        <item sd="0" x="64"/>
        <item sd="0" x="107"/>
        <item sd="0" x="147"/>
        <item sd="0" x="109"/>
        <item sd="0" x="195"/>
        <item sd="0" x="117"/>
        <item sd="0" x="162"/>
        <item sd="0" x="89"/>
        <item sd="0" x="211"/>
        <item sd="0" x="33"/>
        <item sd="0" x="73"/>
        <item sd="0" x="56"/>
        <item sd="0" x="113"/>
        <item sd="0" x="150"/>
        <item sd="0" x="49"/>
        <item sd="0" x="96"/>
        <item sd="0" x="55"/>
        <item sd="0" x="93"/>
        <item sd="0" x="141"/>
        <item sd="0" x="48"/>
        <item sd="0" x="124"/>
        <item sd="0" x="186"/>
        <item sd="0" x="6"/>
        <item sd="0" x="11"/>
        <item sd="0" x="202"/>
        <item sd="0" x="220"/>
        <item sd="0" x="87"/>
        <item sd="0" x="88"/>
        <item sd="0" x="53"/>
        <item sd="0" x="203"/>
        <item sd="0" x="63"/>
        <item sd="0" x="37"/>
        <item sd="0" x="222"/>
        <item sd="0" x="206"/>
        <item sd="0" x="133"/>
        <item sd="0" x="75"/>
        <item sd="0" x="34"/>
        <item sd="0" x="193"/>
        <item sd="0" x="26"/>
        <item sd="0" x="168"/>
        <item sd="0" x="46"/>
        <item sd="0" x="41"/>
        <item sd="0" x="144"/>
        <item sd="0" x="155"/>
        <item sd="0" x="120"/>
        <item sd="0" x="83"/>
        <item sd="0" x="99"/>
        <item sd="0" x="102"/>
        <item sd="0" x="28"/>
        <item sd="0" x="0"/>
        <item sd="0" x="123"/>
        <item sd="0" x="74"/>
        <item sd="0" x="151"/>
        <item sd="0" x="161"/>
        <item sd="0" x="1"/>
        <item sd="0" x="146"/>
        <item sd="0" x="165"/>
        <item sd="0" x="38"/>
        <item sd="0" x="12"/>
        <item sd="0" x="95"/>
        <item sd="0" x="185"/>
        <item sd="0" x="42"/>
        <item sd="0" x="35"/>
        <item sd="0" x="179"/>
        <item sd="0" x="164"/>
        <item sd="0" x="65"/>
        <item sd="0" x="17"/>
        <item sd="0" x="92"/>
        <item sd="0" x="110"/>
        <item sd="0" x="27"/>
        <item sd="0" x="7"/>
        <item sd="0" x="225"/>
        <item sd="0" x="24"/>
        <item sd="0" x="5"/>
        <item sd="0" x="135"/>
        <item sd="0" x="13"/>
        <item sd="0" x="217"/>
        <item sd="0" x="103"/>
        <item sd="0" x="157"/>
        <item sd="0" x="3"/>
        <item sd="0" x="90"/>
        <item sd="0" x="84"/>
        <item sd="0" x="25"/>
        <item sd="0" x="177"/>
        <item sd="0" x="14"/>
        <item sd="0" x="189"/>
        <item sd="0" x="23"/>
        <item sd="0" x="201"/>
        <item sd="0" x="68"/>
        <item sd="0" x="194"/>
        <item sd="0" x="149"/>
        <item sd="0" x="60"/>
        <item sd="0" x="54"/>
        <item sd="0" x="108"/>
        <item sd="0" x="192"/>
        <item sd="0" x="105"/>
        <item sd="0" x="209"/>
        <item sd="0" x="29"/>
        <item sd="0" x="47"/>
        <item sd="0" x="153"/>
        <item sd="0" x="143"/>
        <item sd="0" x="145"/>
        <item sd="0" x="52"/>
        <item sd="0" x="138"/>
        <item sd="0" x="208"/>
        <item sd="0" x="140"/>
        <item sd="0" x="98"/>
        <item sd="0" x="59"/>
        <item sd="0" x="159"/>
        <item sd="0" x="80"/>
        <item sd="0" x="2"/>
        <item sd="0" x="36"/>
        <item sd="0" x="121"/>
        <item sd="0" x="131"/>
        <item sd="0" x="169"/>
        <item sd="0" x="61"/>
        <item sd="0" x="18"/>
        <item sd="0" x="76"/>
        <item sd="0" x="226"/>
        <item t="default" sd="0"/>
      </items>
    </pivotField>
    <pivotField axis="axisRow" dataField="1" showAll="0">
      <items count="476">
        <item x="402"/>
        <item x="450"/>
        <item x="208"/>
        <item x="451"/>
        <item x="25"/>
        <item x="357"/>
        <item x="61"/>
        <item x="262"/>
        <item x="278"/>
        <item x="76"/>
        <item x="315"/>
        <item x="413"/>
        <item x="251"/>
        <item x="50"/>
        <item x="354"/>
        <item x="343"/>
        <item x="263"/>
        <item x="252"/>
        <item x="410"/>
        <item x="73"/>
        <item x="300"/>
        <item x="190"/>
        <item x="115"/>
        <item x="111"/>
        <item x="110"/>
        <item x="291"/>
        <item x="348"/>
        <item x="344"/>
        <item x="96"/>
        <item x="261"/>
        <item x="13"/>
        <item x="326"/>
        <item x="147"/>
        <item x="6"/>
        <item x="58"/>
        <item x="101"/>
        <item x="279"/>
        <item x="352"/>
        <item x="342"/>
        <item x="397"/>
        <item x="183"/>
        <item x="207"/>
        <item x="121"/>
        <item x="127"/>
        <item x="389"/>
        <item x="49"/>
        <item x="316"/>
        <item x="193"/>
        <item x="144"/>
        <item x="98"/>
        <item x="411"/>
        <item x="148"/>
        <item x="409"/>
        <item x="142"/>
        <item x="345"/>
        <item x="257"/>
        <item x="240"/>
        <item x="124"/>
        <item x="33"/>
        <item x="310"/>
        <item x="7"/>
        <item x="146"/>
        <item x="105"/>
        <item x="135"/>
        <item x="266"/>
        <item x="322"/>
        <item x="332"/>
        <item x="233"/>
        <item x="273"/>
        <item x="412"/>
        <item x="52"/>
        <item x="400"/>
        <item x="93"/>
        <item x="320"/>
        <item x="269"/>
        <item x="299"/>
        <item x="472"/>
        <item x="242"/>
        <item x="267"/>
        <item x="453"/>
        <item x="319"/>
        <item x="186"/>
        <item x="160"/>
        <item x="181"/>
        <item x="84"/>
        <item x="248"/>
        <item x="85"/>
        <item x="22"/>
        <item x="141"/>
        <item x="86"/>
        <item x="53"/>
        <item x="126"/>
        <item x="11"/>
        <item x="128"/>
        <item x="78"/>
        <item x="23"/>
        <item x="457"/>
        <item x="420"/>
        <item x="195"/>
        <item x="256"/>
        <item x="102"/>
        <item x="272"/>
        <item x="429"/>
        <item x="390"/>
        <item x="224"/>
        <item x="2"/>
        <item x="213"/>
        <item x="210"/>
        <item x="276"/>
        <item x="444"/>
        <item x="209"/>
        <item x="103"/>
        <item x="34"/>
        <item x="134"/>
        <item x="140"/>
        <item x="46"/>
        <item x="54"/>
        <item x="340"/>
        <item x="81"/>
        <item x="56"/>
        <item x="228"/>
        <item x="337"/>
        <item x="176"/>
        <item x="306"/>
        <item x="19"/>
        <item x="219"/>
        <item x="180"/>
        <item x="55"/>
        <item x="72"/>
        <item x="458"/>
        <item x="178"/>
        <item x="66"/>
        <item x="290"/>
        <item x="57"/>
        <item x="171"/>
        <item x="20"/>
        <item x="295"/>
        <item x="185"/>
        <item x="268"/>
        <item x="152"/>
        <item x="305"/>
        <item x="419"/>
        <item x="294"/>
        <item x="44"/>
        <item x="177"/>
        <item x="247"/>
        <item x="371"/>
        <item x="382"/>
        <item x="369"/>
        <item x="422"/>
        <item x="425"/>
        <item x="468"/>
        <item x="246"/>
        <item x="281"/>
        <item x="238"/>
        <item x="275"/>
        <item x="470"/>
        <item x="109"/>
        <item x="31"/>
        <item x="456"/>
        <item x="313"/>
        <item x="130"/>
        <item x="399"/>
        <item x="335"/>
        <item x="154"/>
        <item x="113"/>
        <item x="442"/>
        <item x="223"/>
        <item x="443"/>
        <item x="60"/>
        <item x="199"/>
        <item x="394"/>
        <item x="35"/>
        <item x="99"/>
        <item x="234"/>
        <item x="424"/>
        <item x="229"/>
        <item x="289"/>
        <item x="97"/>
        <item x="285"/>
        <item x="414"/>
        <item x="51"/>
        <item x="122"/>
        <item x="108"/>
        <item x="308"/>
        <item x="161"/>
        <item x="164"/>
        <item x="260"/>
        <item x="165"/>
        <item x="138"/>
        <item x="432"/>
        <item x="405"/>
        <item x="47"/>
        <item x="338"/>
        <item x="404"/>
        <item x="29"/>
        <item x="241"/>
        <item x="145"/>
        <item x="415"/>
        <item x="416"/>
        <item x="21"/>
        <item x="239"/>
        <item x="317"/>
        <item x="236"/>
        <item x="167"/>
        <item x="172"/>
        <item x="26"/>
        <item x="123"/>
        <item x="163"/>
        <item x="243"/>
        <item x="118"/>
        <item x="446"/>
        <item x="428"/>
        <item x="427"/>
        <item x="430"/>
        <item x="466"/>
        <item x="136"/>
        <item x="79"/>
        <item x="448"/>
        <item x="438"/>
        <item x="293"/>
        <item x="83"/>
        <item x="462"/>
        <item x="297"/>
        <item x="88"/>
        <item x="189"/>
        <item x="212"/>
        <item x="237"/>
        <item x="392"/>
        <item x="80"/>
        <item x="395"/>
        <item x="132"/>
        <item x="169"/>
        <item x="423"/>
        <item x="16"/>
        <item x="284"/>
        <item x="95"/>
        <item x="196"/>
        <item x="45"/>
        <item x="24"/>
        <item x="312"/>
        <item x="17"/>
        <item x="143"/>
        <item x="214"/>
        <item x="159"/>
        <item x="321"/>
        <item x="211"/>
        <item x="436"/>
        <item x="441"/>
        <item x="439"/>
        <item x="168"/>
        <item x="64"/>
        <item x="408"/>
        <item x="205"/>
        <item x="114"/>
        <item x="460"/>
        <item x="455"/>
        <item x="162"/>
        <item x="461"/>
        <item x="92"/>
        <item x="104"/>
        <item x="41"/>
        <item x="157"/>
        <item x="100"/>
        <item x="188"/>
        <item x="149"/>
        <item x="112"/>
        <item x="334"/>
        <item x="156"/>
        <item x="40"/>
        <item x="445"/>
        <item x="191"/>
        <item x="125"/>
        <item x="120"/>
        <item x="270"/>
        <item x="426"/>
        <item x="440"/>
        <item x="388"/>
        <item x="137"/>
        <item x="359"/>
        <item x="449"/>
        <item x="417"/>
        <item x="407"/>
        <item x="447"/>
        <item x="63"/>
        <item x="116"/>
        <item x="59"/>
        <item x="265"/>
        <item x="27"/>
        <item x="8"/>
        <item x="396"/>
        <item x="380"/>
        <item x="218"/>
        <item x="387"/>
        <item x="376"/>
        <item x="373"/>
        <item x="378"/>
        <item x="220"/>
        <item x="375"/>
        <item x="384"/>
        <item x="379"/>
        <item x="366"/>
        <item x="377"/>
        <item x="221"/>
        <item x="364"/>
        <item x="368"/>
        <item x="370"/>
        <item x="372"/>
        <item x="197"/>
        <item x="386"/>
        <item x="381"/>
        <item x="363"/>
        <item x="385"/>
        <item x="362"/>
        <item x="374"/>
        <item x="406"/>
        <item x="283"/>
        <item x="309"/>
        <item x="259"/>
        <item x="94"/>
        <item x="39"/>
        <item x="467"/>
        <item x="151"/>
        <item x="150"/>
        <item x="351"/>
        <item x="37"/>
        <item x="346"/>
        <item x="264"/>
        <item x="254"/>
        <item x="70"/>
        <item x="69"/>
        <item x="71"/>
        <item x="68"/>
        <item x="304"/>
        <item x="303"/>
        <item x="255"/>
        <item x="353"/>
        <item x="250"/>
        <item x="391"/>
        <item x="200"/>
        <item x="91"/>
        <item x="398"/>
        <item x="454"/>
        <item x="333"/>
        <item x="459"/>
        <item x="287"/>
        <item x="249"/>
        <item x="318"/>
        <item x="347"/>
        <item x="5"/>
        <item x="227"/>
        <item x="206"/>
        <item x="235"/>
        <item x="277"/>
        <item x="10"/>
        <item x="153"/>
        <item x="383"/>
        <item x="365"/>
        <item x="367"/>
        <item x="421"/>
        <item x="431"/>
        <item x="107"/>
        <item x="117"/>
        <item x="0"/>
        <item x="292"/>
        <item x="166"/>
        <item x="174"/>
        <item x="42"/>
        <item x="418"/>
        <item x="225"/>
        <item x="452"/>
        <item x="307"/>
        <item x="89"/>
        <item x="350"/>
        <item x="253"/>
        <item x="393"/>
        <item x="182"/>
        <item x="82"/>
        <item x="314"/>
        <item x="245"/>
        <item x="18"/>
        <item x="30"/>
        <item x="38"/>
        <item x="437"/>
        <item x="48"/>
        <item x="32"/>
        <item x="280"/>
        <item x="301"/>
        <item x="327"/>
        <item x="129"/>
        <item x="226"/>
        <item x="3"/>
        <item x="1"/>
        <item x="4"/>
        <item x="463"/>
        <item x="464"/>
        <item x="323"/>
        <item x="131"/>
        <item x="324"/>
        <item x="87"/>
        <item x="202"/>
        <item x="12"/>
        <item x="204"/>
        <item x="203"/>
        <item x="360"/>
        <item x="328"/>
        <item x="201"/>
        <item x="435"/>
        <item x="43"/>
        <item x="329"/>
        <item x="325"/>
        <item x="28"/>
        <item x="271"/>
        <item x="330"/>
        <item x="465"/>
        <item x="216"/>
        <item x="65"/>
        <item x="170"/>
        <item x="14"/>
        <item x="232"/>
        <item x="67"/>
        <item x="230"/>
        <item x="184"/>
        <item x="311"/>
        <item x="179"/>
        <item x="296"/>
        <item x="15"/>
        <item x="155"/>
        <item x="215"/>
        <item x="36"/>
        <item x="9"/>
        <item x="469"/>
        <item x="217"/>
        <item x="133"/>
        <item x="198"/>
        <item x="288"/>
        <item x="175"/>
        <item x="173"/>
        <item x="434"/>
        <item x="244"/>
        <item x="77"/>
        <item x="355"/>
        <item x="361"/>
        <item x="403"/>
        <item x="356"/>
        <item x="62"/>
        <item x="194"/>
        <item x="222"/>
        <item x="187"/>
        <item x="119"/>
        <item x="106"/>
        <item x="231"/>
        <item x="192"/>
        <item x="74"/>
        <item x="282"/>
        <item x="158"/>
        <item x="286"/>
        <item x="358"/>
        <item x="471"/>
        <item x="258"/>
        <item x="331"/>
        <item x="298"/>
        <item x="139"/>
        <item x="274"/>
        <item x="302"/>
        <item x="401"/>
        <item x="341"/>
        <item x="473"/>
        <item x="349"/>
        <item x="339"/>
        <item x="75"/>
        <item x="336"/>
        <item x="90"/>
        <item x="433"/>
        <item x="474"/>
        <item t="default"/>
      </items>
    </pivotField>
    <pivotField showAll="0"/>
  </pivotFields>
  <rowFields count="3">
    <field x="5"/>
    <field x="6"/>
    <field x="4"/>
  </rowFields>
  <rowItems count="2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r="1">
      <x v="354"/>
    </i>
    <i r="2">
      <x v="81"/>
    </i>
    <i r="2">
      <x v="303"/>
    </i>
    <i r="2">
      <x v="525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gift value" fld="3" baseField="0" baseItem="0"/>
    <dataField name="Count of donor name" fld="6" subtotal="count" baseField="0" baseItem="0"/>
  </dataField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4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C480" firstHeaderRow="1" firstDataRow="2" firstDataCol="1" rowPageCount="1" colPageCount="1"/>
  <pivotFields count="8">
    <pivotField showAll="0"/>
    <pivotField showAll="0"/>
    <pivotField showAll="0"/>
    <pivotField dataField="1" showAll="0">
      <items count="123">
        <item x="34"/>
        <item x="52"/>
        <item x="110"/>
        <item x="82"/>
        <item x="108"/>
        <item x="87"/>
        <item x="112"/>
        <item x="89"/>
        <item x="86"/>
        <item x="14"/>
        <item x="111"/>
        <item x="32"/>
        <item x="49"/>
        <item x="39"/>
        <item x="53"/>
        <item x="36"/>
        <item x="109"/>
        <item x="9"/>
        <item x="118"/>
        <item x="16"/>
        <item x="31"/>
        <item x="93"/>
        <item x="94"/>
        <item x="2"/>
        <item x="40"/>
        <item x="26"/>
        <item x="84"/>
        <item x="21"/>
        <item x="97"/>
        <item x="30"/>
        <item x="15"/>
        <item x="96"/>
        <item x="47"/>
        <item x="13"/>
        <item x="22"/>
        <item x="115"/>
        <item x="102"/>
        <item x="65"/>
        <item x="76"/>
        <item x="4"/>
        <item x="56"/>
        <item x="55"/>
        <item x="88"/>
        <item x="1"/>
        <item x="23"/>
        <item x="8"/>
        <item x="75"/>
        <item x="5"/>
        <item x="19"/>
        <item x="11"/>
        <item x="103"/>
        <item x="27"/>
        <item x="42"/>
        <item x="113"/>
        <item x="10"/>
        <item x="57"/>
        <item x="104"/>
        <item x="59"/>
        <item x="68"/>
        <item x="37"/>
        <item x="0"/>
        <item x="71"/>
        <item x="66"/>
        <item x="92"/>
        <item x="43"/>
        <item x="45"/>
        <item x="38"/>
        <item x="51"/>
        <item x="120"/>
        <item x="48"/>
        <item x="78"/>
        <item x="69"/>
        <item x="74"/>
        <item x="46"/>
        <item x="35"/>
        <item x="58"/>
        <item x="80"/>
        <item x="79"/>
        <item x="72"/>
        <item x="105"/>
        <item x="33"/>
        <item x="18"/>
        <item x="50"/>
        <item x="63"/>
        <item x="25"/>
        <item x="60"/>
        <item x="83"/>
        <item x="3"/>
        <item x="6"/>
        <item x="24"/>
        <item x="119"/>
        <item x="114"/>
        <item x="100"/>
        <item x="17"/>
        <item x="107"/>
        <item x="77"/>
        <item x="20"/>
        <item x="70"/>
        <item x="99"/>
        <item x="117"/>
        <item x="61"/>
        <item x="54"/>
        <item x="91"/>
        <item x="28"/>
        <item x="62"/>
        <item x="90"/>
        <item x="41"/>
        <item x="116"/>
        <item x="73"/>
        <item x="44"/>
        <item x="106"/>
        <item x="85"/>
        <item x="12"/>
        <item x="29"/>
        <item x="98"/>
        <item x="101"/>
        <item x="7"/>
        <item x="95"/>
        <item x="67"/>
        <item x="64"/>
        <item x="81"/>
        <item x="121"/>
        <item t="default"/>
      </items>
    </pivotField>
    <pivotField axis="axisRow" dataField="1" showAll="0">
      <items count="568">
        <item x="119"/>
        <item x="53"/>
        <item x="4"/>
        <item x="67"/>
        <item x="133"/>
        <item x="428"/>
        <item x="175"/>
        <item x="518"/>
        <item x="294"/>
        <item x="336"/>
        <item x="115"/>
        <item x="187"/>
        <item x="503"/>
        <item x="348"/>
        <item x="251"/>
        <item x="107"/>
        <item x="476"/>
        <item x="561"/>
        <item x="555"/>
        <item x="30"/>
        <item x="425"/>
        <item x="381"/>
        <item x="61"/>
        <item x="257"/>
        <item x="327"/>
        <item x="5"/>
        <item x="129"/>
        <item x="256"/>
        <item x="186"/>
        <item x="8"/>
        <item x="564"/>
        <item x="394"/>
        <item x="342"/>
        <item x="292"/>
        <item x="475"/>
        <item x="47"/>
        <item x="293"/>
        <item x="238"/>
        <item x="237"/>
        <item x="210"/>
        <item x="213"/>
        <item x="231"/>
        <item x="154"/>
        <item x="157"/>
        <item x="409"/>
        <item x="249"/>
        <item x="184"/>
        <item x="219"/>
        <item x="100"/>
        <item x="474"/>
        <item x="254"/>
        <item x="300"/>
        <item x="174"/>
        <item x="220"/>
        <item x="517"/>
        <item x="444"/>
        <item x="144"/>
        <item x="403"/>
        <item x="255"/>
        <item x="559"/>
        <item x="470"/>
        <item x="24"/>
        <item x="169"/>
        <item x="143"/>
        <item x="145"/>
        <item x="6"/>
        <item x="483"/>
        <item x="14"/>
        <item x="481"/>
        <item x="488"/>
        <item x="51"/>
        <item x="519"/>
        <item x="504"/>
        <item x="118"/>
        <item x="442"/>
        <item x="176"/>
        <item x="353"/>
        <item x="376"/>
        <item x="52"/>
        <item x="76"/>
        <item x="424"/>
        <item x="16"/>
        <item x="74"/>
        <item x="199"/>
        <item x="321"/>
        <item x="465"/>
        <item x="265"/>
        <item x="71"/>
        <item x="202"/>
        <item x="204"/>
        <item x="325"/>
        <item x="464"/>
        <item x="203"/>
        <item x="68"/>
        <item x="478"/>
        <item x="217"/>
        <item x="166"/>
        <item x="23"/>
        <item x="328"/>
        <item x="96"/>
        <item x="258"/>
        <item x="411"/>
        <item x="182"/>
        <item x="312"/>
        <item x="412"/>
        <item x="387"/>
        <item x="366"/>
        <item x="549"/>
        <item x="60"/>
        <item x="560"/>
        <item x="304"/>
        <item x="455"/>
        <item x="163"/>
        <item x="452"/>
        <item x="159"/>
        <item x="378"/>
        <item x="520"/>
        <item x="153"/>
        <item x="160"/>
        <item x="492"/>
        <item x="142"/>
        <item x="141"/>
        <item x="268"/>
        <item x="227"/>
        <item x="112"/>
        <item x="416"/>
        <item x="228"/>
        <item x="432"/>
        <item x="245"/>
        <item x="466"/>
        <item x="507"/>
        <item x="494"/>
        <item x="86"/>
        <item x="233"/>
        <item x="430"/>
        <item x="433"/>
        <item x="64"/>
        <item x="450"/>
        <item x="42"/>
        <item x="548"/>
        <item x="224"/>
        <item x="283"/>
        <item x="89"/>
        <item x="140"/>
        <item x="332"/>
        <item x="395"/>
        <item x="340"/>
        <item x="511"/>
        <item x="440"/>
        <item x="479"/>
        <item x="441"/>
        <item x="296"/>
        <item x="123"/>
        <item x="391"/>
        <item x="196"/>
        <item x="197"/>
        <item x="338"/>
        <item x="547"/>
        <item x="44"/>
        <item x="244"/>
        <item x="10"/>
        <item x="344"/>
        <item x="270"/>
        <item x="97"/>
        <item x="243"/>
        <item x="320"/>
        <item x="374"/>
        <item x="290"/>
        <item x="531"/>
        <item x="70"/>
        <item x="291"/>
        <item x="88"/>
        <item x="221"/>
        <item x="490"/>
        <item x="550"/>
        <item x="436"/>
        <item x="509"/>
        <item x="334"/>
        <item x="335"/>
        <item x="533"/>
        <item x="167"/>
        <item x="1"/>
        <item x="311"/>
        <item x="393"/>
        <item x="276"/>
        <item x="12"/>
        <item x="285"/>
        <item x="161"/>
        <item x="286"/>
        <item x="146"/>
        <item x="136"/>
        <item x="49"/>
        <item x="324"/>
        <item x="545"/>
        <item x="357"/>
        <item x="359"/>
        <item x="200"/>
        <item x="192"/>
        <item x="92"/>
        <item x="65"/>
        <item x="31"/>
        <item x="501"/>
        <item x="552"/>
        <item x="462"/>
        <item x="402"/>
        <item x="156"/>
        <item x="151"/>
        <item x="390"/>
        <item x="181"/>
        <item x="205"/>
        <item x="82"/>
        <item x="326"/>
        <item x="279"/>
        <item x="303"/>
        <item x="482"/>
        <item x="329"/>
        <item x="150"/>
        <item x="148"/>
        <item x="453"/>
        <item x="275"/>
        <item x="81"/>
        <item x="383"/>
        <item x="218"/>
        <item x="83"/>
        <item x="208"/>
        <item x="313"/>
        <item x="189"/>
        <item x="277"/>
        <item x="456"/>
        <item x="454"/>
        <item x="190"/>
        <item x="66"/>
        <item x="281"/>
        <item x="211"/>
        <item x="542"/>
        <item x="405"/>
        <item x="78"/>
        <item x="75"/>
        <item x="537"/>
        <item x="539"/>
        <item x="384"/>
        <item x="367"/>
        <item x="170"/>
        <item x="525"/>
        <item x="250"/>
        <item x="544"/>
        <item x="37"/>
        <item x="264"/>
        <item x="48"/>
        <item x="201"/>
        <item x="513"/>
        <item x="486"/>
        <item x="449"/>
        <item x="459"/>
        <item x="147"/>
        <item x="528"/>
        <item x="73"/>
        <item x="116"/>
        <item x="179"/>
        <item x="94"/>
        <item x="269"/>
        <item x="229"/>
        <item x="379"/>
        <item x="39"/>
        <item x="209"/>
        <item x="388"/>
        <item x="370"/>
        <item x="134"/>
        <item x="306"/>
        <item x="99"/>
        <item x="102"/>
        <item x="105"/>
        <item x="127"/>
        <item x="554"/>
        <item x="185"/>
        <item x="135"/>
        <item x="423"/>
        <item x="502"/>
        <item x="302"/>
        <item x="278"/>
        <item x="553"/>
        <item x="26"/>
        <item x="41"/>
        <item x="248"/>
        <item x="25"/>
        <item x="506"/>
        <item x="263"/>
        <item x="180"/>
        <item x="34"/>
        <item x="487"/>
        <item x="155"/>
        <item x="500"/>
        <item x="318"/>
        <item x="397"/>
        <item x="345"/>
        <item x="3"/>
        <item x="111"/>
        <item x="373"/>
        <item x="234"/>
        <item x="540"/>
        <item x="207"/>
        <item x="28"/>
        <item x="401"/>
        <item x="15"/>
        <item x="138"/>
        <item x="496"/>
        <item x="563"/>
        <item x="214"/>
        <item x="212"/>
        <item x="458"/>
        <item x="259"/>
        <item x="241"/>
        <item x="341"/>
        <item x="543"/>
        <item x="106"/>
        <item x="380"/>
        <item x="121"/>
        <item x="273"/>
        <item x="477"/>
        <item x="35"/>
        <item x="301"/>
        <item x="556"/>
        <item x="54"/>
        <item x="109"/>
        <item x="262"/>
        <item x="58"/>
        <item x="361"/>
        <item x="131"/>
        <item x="415"/>
        <item x="396"/>
        <item x="524"/>
        <item x="104"/>
        <item x="282"/>
        <item x="110"/>
        <item x="222"/>
        <item x="527"/>
        <item x="103"/>
        <item x="484"/>
        <item x="372"/>
        <item x="347"/>
        <item x="385"/>
        <item x="240"/>
        <item x="365"/>
        <item x="57"/>
        <item x="410"/>
        <item x="414"/>
        <item x="399"/>
        <item x="526"/>
        <item x="446"/>
        <item x="226"/>
        <item x="529"/>
        <item x="188"/>
        <item x="551"/>
        <item x="421"/>
        <item x="339"/>
        <item x="330"/>
        <item x="498"/>
        <item x="316"/>
        <item x="32"/>
        <item x="447"/>
        <item x="80"/>
        <item x="322"/>
        <item x="471"/>
        <item x="79"/>
        <item x="56"/>
        <item x="43"/>
        <item x="36"/>
        <item x="193"/>
        <item x="298"/>
        <item x="389"/>
        <item x="485"/>
        <item x="69"/>
        <item x="521"/>
        <item x="392"/>
        <item x="352"/>
        <item x="198"/>
        <item x="407"/>
        <item x="267"/>
        <item x="516"/>
        <item x="362"/>
        <item x="19"/>
        <item x="236"/>
        <item x="272"/>
        <item x="125"/>
        <item x="22"/>
        <item x="18"/>
        <item x="13"/>
        <item x="375"/>
        <item x="120"/>
        <item x="84"/>
        <item x="266"/>
        <item x="271"/>
        <item x="323"/>
        <item x="20"/>
        <item x="173"/>
        <item x="21"/>
        <item x="72"/>
        <item x="95"/>
        <item x="132"/>
        <item x="172"/>
        <item x="7"/>
        <item x="307"/>
        <item x="235"/>
        <item x="93"/>
        <item x="50"/>
        <item x="546"/>
        <item x="46"/>
        <item x="495"/>
        <item x="463"/>
        <item x="55"/>
        <item x="354"/>
        <item x="63"/>
        <item x="87"/>
        <item x="289"/>
        <item x="85"/>
        <item x="194"/>
        <item x="0"/>
        <item x="11"/>
        <item x="437"/>
        <item x="514"/>
        <item x="558"/>
        <item x="177"/>
        <item x="216"/>
        <item x="429"/>
        <item x="377"/>
        <item x="2"/>
        <item x="230"/>
        <item x="152"/>
        <item x="418"/>
        <item x="126"/>
        <item x="400"/>
        <item x="128"/>
        <item x="419"/>
        <item x="90"/>
        <item x="512"/>
        <item x="346"/>
        <item x="305"/>
        <item x="288"/>
        <item x="443"/>
        <item x="113"/>
        <item x="439"/>
        <item x="351"/>
        <item x="398"/>
        <item x="467"/>
        <item x="435"/>
        <item x="457"/>
        <item x="164"/>
        <item x="461"/>
        <item x="309"/>
        <item x="183"/>
        <item x="360"/>
        <item x="139"/>
        <item x="287"/>
        <item x="417"/>
        <item x="406"/>
        <item x="451"/>
        <item x="246"/>
        <item x="101"/>
        <item x="261"/>
        <item x="260"/>
        <item x="408"/>
        <item x="122"/>
        <item x="469"/>
        <item x="434"/>
        <item x="431"/>
        <item x="280"/>
        <item x="480"/>
        <item x="223"/>
        <item x="45"/>
        <item x="252"/>
        <item x="534"/>
        <item x="343"/>
        <item x="538"/>
        <item x="508"/>
        <item x="77"/>
        <item x="382"/>
        <item x="356"/>
        <item x="355"/>
        <item x="350"/>
        <item x="468"/>
        <item x="274"/>
        <item x="308"/>
        <item x="420"/>
        <item x="310"/>
        <item x="162"/>
        <item x="522"/>
        <item x="114"/>
        <item x="91"/>
        <item x="98"/>
        <item x="333"/>
        <item x="149"/>
        <item x="371"/>
        <item x="364"/>
        <item x="368"/>
        <item x="422"/>
        <item x="445"/>
        <item x="515"/>
        <item x="448"/>
        <item x="497"/>
        <item x="536"/>
        <item x="9"/>
        <item x="491"/>
        <item x="137"/>
        <item x="171"/>
        <item x="33"/>
        <item x="523"/>
        <item x="530"/>
        <item x="317"/>
        <item x="117"/>
        <item x="535"/>
        <item x="62"/>
        <item x="532"/>
        <item x="253"/>
        <item x="349"/>
        <item x="315"/>
        <item x="215"/>
        <item x="130"/>
        <item x="297"/>
        <item x="386"/>
        <item x="29"/>
        <item x="562"/>
        <item x="541"/>
        <item x="178"/>
        <item x="108"/>
        <item x="413"/>
        <item x="17"/>
        <item x="191"/>
        <item x="557"/>
        <item x="225"/>
        <item x="460"/>
        <item x="319"/>
        <item x="295"/>
        <item x="489"/>
        <item x="27"/>
        <item x="505"/>
        <item x="239"/>
        <item x="331"/>
        <item x="510"/>
        <item x="232"/>
        <item x="499"/>
        <item x="438"/>
        <item x="314"/>
        <item x="472"/>
        <item x="473"/>
        <item x="242"/>
        <item x="299"/>
        <item x="38"/>
        <item x="337"/>
        <item x="426"/>
        <item x="493"/>
        <item x="168"/>
        <item x="195"/>
        <item x="404"/>
        <item x="165"/>
        <item x="427"/>
        <item x="247"/>
        <item x="358"/>
        <item x="206"/>
        <item x="59"/>
        <item x="363"/>
        <item x="369"/>
        <item x="40"/>
        <item x="565"/>
        <item x="284"/>
        <item x="158"/>
        <item x="124"/>
        <item x="566"/>
        <item t="default"/>
      </items>
    </pivotField>
    <pivotField showAll="0"/>
    <pivotField axis="axisRow" showAll="0">
      <items count="476">
        <item sd="0" x="394"/>
        <item sd="0" x="321"/>
        <item sd="0" x="27"/>
        <item sd="0" x="55"/>
        <item sd="0" x="71"/>
        <item sd="0" x="10"/>
        <item sd="0" x="269"/>
        <item sd="0" x="62"/>
        <item sd="0" x="413"/>
        <item sd="0" x="61"/>
        <item sd="0" x="442"/>
        <item sd="0" x="12"/>
        <item sd="0" x="291"/>
        <item sd="0" x="238"/>
        <item sd="0" x="191"/>
        <item sd="0" x="445"/>
        <item sd="0" x="7"/>
        <item sd="0" x="126"/>
        <item sd="0" x="11"/>
        <item sd="0" x="127"/>
        <item sd="0" x="26"/>
        <item sd="0" x="152"/>
        <item sd="0" x="244"/>
        <item sd="0" x="296"/>
        <item sd="0" x="4"/>
        <item sd="0" x="68"/>
        <item sd="0" x="211"/>
        <item sd="0" x="13"/>
        <item sd="0" x="95"/>
        <item sd="0" x="6"/>
        <item sd="0" x="448"/>
        <item sd="0" x="53"/>
        <item sd="0" x="356"/>
        <item sd="0" x="93"/>
        <item sd="0" x="213"/>
        <item sd="0" x="90"/>
        <item sd="0" x="381"/>
        <item sd="0" x="24"/>
        <item sd="0" x="184"/>
        <item sd="0" x="264"/>
        <item sd="0" x="1"/>
        <item sd="0" x="469"/>
        <item sd="0" x="327"/>
        <item sd="0" x="243"/>
        <item sd="0" x="232"/>
        <item sd="0" x="230"/>
        <item sd="0" x="87"/>
        <item sd="0" x="240"/>
        <item sd="0" x="414"/>
        <item sd="0" x="199"/>
        <item sd="0" x="130"/>
        <item sd="0" x="405"/>
        <item sd="0" x="380"/>
        <item sd="0" x="112"/>
        <item sd="0" x="437"/>
        <item sd="0" x="460"/>
        <item sd="0" x="397"/>
        <item sd="0" x="472"/>
        <item sd="0" x="440"/>
        <item sd="0" x="322"/>
        <item sd="0" x="19"/>
        <item sd="0" x="361"/>
        <item sd="0" x="298"/>
        <item sd="0" x="263"/>
        <item sd="0" x="324"/>
        <item sd="0" x="125"/>
        <item sd="0" x="72"/>
        <item sd="0" x="355"/>
        <item sd="0" x="21"/>
        <item sd="0" x="187"/>
        <item sd="0" x="148"/>
        <item sd="0" x="28"/>
        <item sd="0" x="337"/>
        <item sd="0" x="323"/>
        <item sd="0" x="128"/>
        <item sd="0" x="83"/>
        <item sd="0" x="403"/>
        <item sd="0" x="105"/>
        <item sd="0" x="306"/>
        <item sd="0" x="92"/>
        <item sd="0" x="41"/>
        <item sd="0" x="316"/>
        <item sd="0" x="305"/>
        <item sd="0" x="369"/>
        <item sd="0" x="468"/>
        <item sd="0" x="159"/>
        <item sd="0" x="375"/>
        <item sd="0" x="225"/>
        <item sd="0" x="339"/>
        <item sd="0" x="404"/>
        <item sd="0" x="411"/>
        <item sd="0" x="186"/>
        <item sd="0" x="239"/>
        <item sd="0" x="246"/>
        <item sd="0" x="131"/>
        <item sd="0" x="119"/>
        <item sd="0" x="420"/>
        <item sd="0" x="224"/>
        <item sd="0" x="346"/>
        <item sd="0" x="471"/>
        <item sd="0" x="58"/>
        <item sd="0" x="345"/>
        <item sd="0" x="248"/>
        <item sd="0" x="429"/>
        <item sd="0" x="342"/>
        <item sd="0" x="242"/>
        <item sd="0" x="80"/>
        <item sd="0" x="45"/>
        <item sd="0" x="447"/>
        <item sd="0" x="42"/>
        <item sd="0" x="194"/>
        <item sd="0" x="222"/>
        <item sd="0" x="282"/>
        <item sd="0" x="79"/>
        <item sd="0" x="183"/>
        <item sd="0" x="179"/>
        <item sd="0" x="86"/>
        <item sd="0" x="212"/>
        <item sd="0" x="436"/>
        <item sd="0" x="192"/>
        <item sd="0" x="142"/>
        <item sd="0" x="462"/>
        <item sd="0" x="176"/>
        <item sd="0" x="231"/>
        <item sd="0" x="74"/>
        <item sd="0" x="156"/>
        <item sd="0" x="59"/>
        <item sd="0" x="466"/>
        <item sd="0" x="99"/>
        <item sd="0" x="144"/>
        <item sd="0" x="417"/>
        <item sd="0" x="354"/>
        <item sd="0" x="412"/>
        <item sd="0" x="46"/>
        <item sd="0" x="81"/>
        <item sd="0" x="214"/>
        <item sd="0" x="449"/>
        <item sd="0" x="393"/>
        <item sd="0" x="336"/>
        <item sd="0" x="457"/>
        <item sd="0" x="180"/>
        <item sd="0" x="395"/>
        <item sd="0" x="168"/>
        <item sd="0" x="334"/>
        <item sd="0" x="378"/>
        <item sd="0" x="220"/>
        <item sd="0" x="377"/>
        <item sd="0" x="221"/>
        <item sd="0" x="385"/>
        <item sd="0" x="459"/>
        <item sd="0" x="249"/>
        <item sd="0" x="253"/>
        <item sd="0" x="215"/>
        <item sd="0" x="63"/>
        <item sd="0" x="297"/>
        <item sd="0" x="66"/>
        <item sd="0" x="352"/>
        <item sd="0" x="146"/>
        <item sd="0" x="360"/>
        <item sd="0" x="210"/>
        <item sd="0" x="461"/>
        <item sd="0" x="350"/>
        <item sd="0" x="139"/>
        <item sd="0" x="185"/>
        <item sd="0" x="416"/>
        <item sd="0" x="145"/>
        <item sd="0" x="43"/>
        <item sd="0" x="402"/>
        <item sd="0" x="0"/>
        <item sd="0" x="51"/>
        <item sd="0" x="44"/>
        <item sd="0" x="200"/>
        <item sd="0" x="409"/>
        <item sd="0" x="120"/>
        <item sd="0" x="418"/>
        <item sd="0" x="117"/>
        <item sd="0" x="290"/>
        <item sd="0" x="344"/>
        <item sd="0" x="332"/>
        <item sd="0" x="463"/>
        <item sd="0" x="208"/>
        <item sd="0" x="25"/>
        <item sd="0" x="357"/>
        <item sd="0" x="111"/>
        <item sd="0" x="400"/>
        <item sd="0" x="103"/>
        <item sd="0" x="56"/>
        <item sd="0" x="97"/>
        <item sd="0" x="338"/>
        <item sd="0" x="16"/>
        <item sd="0" x="359"/>
        <item sd="0" x="283"/>
        <item sd="0" x="150"/>
        <item sd="0" x="307"/>
        <item sd="0" x="89"/>
        <item sd="0" x="14"/>
        <item sd="0" x="262"/>
        <item sd="0" x="121"/>
        <item sd="0" x="49"/>
        <item sd="0" x="266"/>
        <item sd="0" x="160"/>
        <item sd="0" x="181"/>
        <item sd="0" x="256"/>
        <item sd="0" x="458"/>
        <item sd="0" x="294"/>
        <item sd="0" x="281"/>
        <item sd="0" x="335"/>
        <item sd="0" x="60"/>
        <item sd="0" x="47"/>
        <item sd="0" x="236"/>
        <item sd="0" x="446"/>
        <item sd="0" x="196"/>
        <item sd="0" x="218"/>
        <item sd="0" x="259"/>
        <item sd="0" x="255"/>
        <item sd="0" x="182"/>
        <item sd="0" x="129"/>
        <item sd="0" x="106"/>
        <item sd="0" x="341"/>
        <item sd="0" x="313"/>
        <item sd="0" x="287"/>
        <item sd="0" x="91"/>
        <item sd="0" x="57"/>
        <item sd="0" x="353"/>
        <item sd="0" x="193"/>
        <item sd="0" x="328"/>
        <item sd="0" x="22"/>
        <item sd="0" x="69"/>
        <item sd="0" x="450"/>
        <item sd="0" x="165"/>
        <item sd="0" x="343"/>
        <item sd="0" x="299"/>
        <item sd="0" x="390"/>
        <item sd="0" x="178"/>
        <item sd="0" x="20"/>
        <item sd="0" x="223"/>
        <item sd="0" x="392"/>
        <item sd="0" x="36"/>
        <item sd="0" x="9"/>
        <item sd="0" x="198"/>
        <item sd="0" x="349"/>
        <item sd="0" x="155"/>
        <item sd="0" x="438"/>
        <item sd="0" x="107"/>
        <item sd="0" x="32"/>
        <item sd="0" x="234"/>
        <item sd="0" x="473"/>
        <item sd="0" x="163"/>
        <item sd="0" x="406"/>
        <item sd="0" x="104"/>
        <item sd="0" x="8"/>
        <item sd="0" x="387"/>
        <item sd="0" x="17"/>
        <item sd="0" x="391"/>
        <item sd="0" x="470"/>
        <item sd="0" x="37"/>
        <item sd="0" x="147"/>
        <item sd="0" x="135"/>
        <item sd="0" x="308"/>
        <item sd="0" x="396"/>
        <item sd="0" x="351"/>
        <item sd="0" x="303"/>
        <item sd="0" x="452"/>
        <item sd="0" x="82"/>
        <item sd="0" x="245"/>
        <item sd="0" x="301"/>
        <item sd="0" x="464"/>
        <item sd="0" x="202"/>
        <item sd="0" x="331"/>
        <item sd="0" x="451"/>
        <item sd="0" x="251"/>
        <item sd="0" x="410"/>
        <item sd="0" x="300"/>
        <item sd="0" x="190"/>
        <item sd="0" x="96"/>
        <item sd="0" x="326"/>
        <item sd="0" x="389"/>
        <item sd="0" x="257"/>
        <item sd="0" x="33"/>
        <item sd="0" x="52"/>
        <item sd="0" x="276"/>
        <item sd="0" x="209"/>
        <item sd="0" x="34"/>
        <item sd="0" x="134"/>
        <item sd="0" x="140"/>
        <item sd="0" x="54"/>
        <item sd="0" x="340"/>
        <item sd="0" x="371"/>
        <item sd="0" x="382"/>
        <item sd="0" x="275"/>
        <item sd="0" x="399"/>
        <item sd="0" x="154"/>
        <item sd="0" x="35"/>
        <item sd="0" x="229"/>
        <item sd="0" x="161"/>
        <item sd="0" x="164"/>
        <item sd="0" x="260"/>
        <item sd="0" x="172"/>
        <item sd="0" x="136"/>
        <item sd="0" x="293"/>
        <item sd="0" x="455"/>
        <item sd="0" x="407"/>
        <item sd="0" x="376"/>
        <item sd="0" x="366"/>
        <item sd="0" x="364"/>
        <item sd="0" x="368"/>
        <item sd="0" x="372"/>
        <item sd="0" x="197"/>
        <item sd="0" x="363"/>
        <item sd="0" x="374"/>
        <item sd="0" x="94"/>
        <item sd="0" x="467"/>
        <item sd="0" x="250"/>
        <item sd="0" x="398"/>
        <item sd="0" x="333"/>
        <item sd="0" x="318"/>
        <item sd="0" x="227"/>
        <item sd="0" x="174"/>
        <item sd="0" x="18"/>
        <item sd="0" x="3"/>
        <item sd="0" x="325"/>
        <item sd="0" x="217"/>
        <item sd="0" x="158"/>
        <item sd="0" x="285"/>
        <item sd="0" x="415"/>
        <item sd="0" x="441"/>
        <item sd="0" x="279"/>
        <item sd="0" x="439"/>
        <item sd="0" x="271"/>
        <item sd="0" x="108"/>
        <item sd="0" x="453"/>
        <item sd="0" x="434"/>
        <item sd="0" x="110"/>
        <item sd="0" x="5"/>
        <item sd="0" x="329"/>
        <item sd="0" x="443"/>
        <item sd="0" x="309"/>
        <item sd="0" x="348"/>
        <item sd="0" x="195"/>
        <item sd="0" x="177"/>
        <item sd="0" x="167"/>
        <item sd="0" x="237"/>
        <item sd="0" x="132"/>
        <item sd="0" x="454"/>
        <item sd="0" x="277"/>
        <item sd="0" x="292"/>
        <item sd="0" x="166"/>
        <item sd="0" x="444"/>
        <item sd="0" x="70"/>
        <item sd="0" x="38"/>
        <item sd="0" x="98"/>
        <item sd="0" x="284"/>
        <item sd="0" x="100"/>
        <item sd="0" x="15"/>
        <item sd="0" x="278"/>
        <item sd="0" x="50"/>
        <item sd="0" x="310"/>
        <item sd="0" x="295"/>
        <item sd="0" x="109"/>
        <item sd="0" x="29"/>
        <item sd="0" x="118"/>
        <item sd="0" x="408"/>
        <item sd="0" x="40"/>
        <item sd="0" x="206"/>
        <item sd="0" x="280"/>
        <item sd="0" x="435"/>
        <item sd="0" x="65"/>
        <item sd="0" x="175"/>
        <item sd="0" x="173"/>
        <item sd="0" x="73"/>
        <item sd="0" x="115"/>
        <item sd="0" x="233"/>
        <item sd="0" x="149"/>
        <item sd="0" x="317"/>
        <item sd="0" x="102"/>
        <item sd="0" x="268"/>
        <item sd="0" x="388"/>
        <item sd="0" x="254"/>
        <item sd="0" x="320"/>
        <item sd="0" x="101"/>
        <item sd="0" x="219"/>
        <item sd="0" x="189"/>
        <item sd="0" x="347"/>
        <item sd="0" x="226"/>
        <item sd="0" x="465"/>
        <item sd="0" x="265"/>
        <item sd="0" x="430"/>
        <item sd="0" x="157"/>
        <item sd="0" x="270"/>
        <item sd="0" x="141"/>
        <item sd="0" x="419"/>
        <item sd="0" x="367"/>
        <item sd="0" x="203"/>
        <item sd="0" x="133"/>
        <item sd="0" x="207"/>
        <item sd="0" x="267"/>
        <item sd="0" x="84"/>
        <item sd="0" x="2"/>
        <item sd="0" x="228"/>
        <item sd="0" x="171"/>
        <item sd="0" x="31"/>
        <item sd="0" x="113"/>
        <item sd="0" x="122"/>
        <item sd="0" x="241"/>
        <item sd="0" x="88"/>
        <item sd="0" x="169"/>
        <item sd="0" x="143"/>
        <item sd="0" x="205"/>
        <item sd="0" x="114"/>
        <item sd="0" x="188"/>
        <item sd="0" x="137"/>
        <item sd="0" x="116"/>
        <item sd="0" x="373"/>
        <item sd="0" x="384"/>
        <item sd="0" x="379"/>
        <item sd="0" x="370"/>
        <item sd="0" x="362"/>
        <item sd="0" x="304"/>
        <item sd="0" x="235"/>
        <item sd="0" x="153"/>
        <item sd="0" x="383"/>
        <item sd="0" x="365"/>
        <item sd="0" x="30"/>
        <item sd="0" x="204"/>
        <item sd="0" x="216"/>
        <item sd="0" x="67"/>
        <item sd="0" x="311"/>
        <item sd="0" x="258"/>
        <item sd="0" x="274"/>
        <item sd="0" x="302"/>
        <item sd="0" x="401"/>
        <item sd="0" x="314"/>
        <item sd="0" x="273"/>
        <item sd="0" x="272"/>
        <item sd="0" x="330"/>
        <item sd="0" x="424"/>
        <item sd="0" x="289"/>
        <item sd="0" x="421"/>
        <item sd="0" x="312"/>
        <item sd="0" x="162"/>
        <item sd="0" x="201"/>
        <item sd="0" x="358"/>
        <item sd="0" x="426"/>
        <item sd="0" x="425"/>
        <item sd="0" x="48"/>
        <item sd="0" x="431"/>
        <item sd="0" x="428"/>
        <item sd="0" x="151"/>
        <item sd="0" x="288"/>
        <item sd="0" x="286"/>
        <item sd="0" x="252"/>
        <item sd="0" x="319"/>
        <item sd="0" x="138"/>
        <item sd="0" x="432"/>
        <item sd="0" x="75"/>
        <item sd="0" x="422"/>
        <item sd="0" x="423"/>
        <item sd="0" x="456"/>
        <item sd="0" x="427"/>
        <item sd="0" x="386"/>
        <item sd="0" x="170"/>
        <item sd="0" x="76"/>
        <item sd="0" x="77"/>
        <item sd="0" x="78"/>
        <item sd="0" x="433"/>
        <item sd="0" x="261"/>
        <item sd="0" x="39"/>
        <item sd="0" x="247"/>
        <item sd="0" x="315"/>
        <item sd="0" x="124"/>
        <item sd="0" x="85"/>
        <item sd="0" x="23"/>
        <item sd="0" x="123"/>
        <item sd="0" x="64"/>
        <item sd="0" x="474"/>
        <item t="default" sd="0"/>
      </items>
    </pivotField>
    <pivotField axis="axisPage" showAll="0">
      <items count="252">
        <item x="64"/>
        <item x="171"/>
        <item x="2"/>
        <item x="43"/>
        <item x="72"/>
        <item x="71"/>
        <item x="223"/>
        <item x="157"/>
        <item x="213"/>
        <item x="21"/>
        <item x="41"/>
        <item x="114"/>
        <item x="62"/>
        <item x="61"/>
        <item x="35"/>
        <item x="40"/>
        <item x="27"/>
        <item x="12"/>
        <item x="239"/>
        <item x="105"/>
        <item x="126"/>
        <item x="197"/>
        <item x="7"/>
        <item x="110"/>
        <item x="96"/>
        <item x="190"/>
        <item x="192"/>
        <item x="191"/>
        <item x="19"/>
        <item x="174"/>
        <item x="169"/>
        <item x="1"/>
        <item x="155"/>
        <item x="232"/>
        <item x="3"/>
        <item x="9"/>
        <item x="178"/>
        <item x="141"/>
        <item x="193"/>
        <item x="172"/>
        <item x="156"/>
        <item x="142"/>
        <item x="95"/>
        <item x="22"/>
        <item x="222"/>
        <item x="196"/>
        <item x="195"/>
        <item x="215"/>
        <item x="45"/>
        <item x="168"/>
        <item x="122"/>
        <item x="246"/>
        <item x="179"/>
        <item x="85"/>
        <item x="200"/>
        <item x="229"/>
        <item x="228"/>
        <item x="161"/>
        <item x="131"/>
        <item x="93"/>
        <item x="16"/>
        <item x="78"/>
        <item x="51"/>
        <item x="52"/>
        <item x="50"/>
        <item x="84"/>
        <item x="140"/>
        <item x="158"/>
        <item x="225"/>
        <item x="226"/>
        <item x="244"/>
        <item x="185"/>
        <item x="57"/>
        <item x="80"/>
        <item x="243"/>
        <item x="248"/>
        <item x="68"/>
        <item x="184"/>
        <item x="53"/>
        <item x="180"/>
        <item x="24"/>
        <item x="109"/>
        <item x="25"/>
        <item x="38"/>
        <item x="39"/>
        <item x="159"/>
        <item x="151"/>
        <item x="106"/>
        <item x="138"/>
        <item x="108"/>
        <item x="154"/>
        <item x="58"/>
        <item x="127"/>
        <item x="233"/>
        <item x="125"/>
        <item x="189"/>
        <item x="188"/>
        <item x="194"/>
        <item x="69"/>
        <item x="241"/>
        <item x="30"/>
        <item x="14"/>
        <item x="102"/>
        <item x="137"/>
        <item x="112"/>
        <item x="143"/>
        <item x="103"/>
        <item x="227"/>
        <item x="60"/>
        <item x="183"/>
        <item x="63"/>
        <item x="199"/>
        <item x="235"/>
        <item x="177"/>
        <item x="66"/>
        <item x="18"/>
        <item x="214"/>
        <item x="166"/>
        <item x="0"/>
        <item x="11"/>
        <item x="10"/>
        <item x="237"/>
        <item x="15"/>
        <item x="34"/>
        <item x="217"/>
        <item x="176"/>
        <item x="132"/>
        <item x="218"/>
        <item x="182"/>
        <item x="117"/>
        <item x="119"/>
        <item x="173"/>
        <item x="221"/>
        <item x="148"/>
        <item x="181"/>
        <item x="47"/>
        <item x="186"/>
        <item x="113"/>
        <item x="44"/>
        <item x="111"/>
        <item x="153"/>
        <item x="245"/>
        <item x="224"/>
        <item x="249"/>
        <item x="247"/>
        <item x="5"/>
        <item x="87"/>
        <item x="139"/>
        <item x="86"/>
        <item x="76"/>
        <item x="230"/>
        <item x="29"/>
        <item x="104"/>
        <item x="65"/>
        <item x="135"/>
        <item x="167"/>
        <item x="55"/>
        <item x="100"/>
        <item x="20"/>
        <item x="115"/>
        <item x="123"/>
        <item x="17"/>
        <item x="13"/>
        <item x="212"/>
        <item x="98"/>
        <item x="99"/>
        <item x="128"/>
        <item x="4"/>
        <item x="31"/>
        <item x="203"/>
        <item x="94"/>
        <item x="175"/>
        <item x="129"/>
        <item x="101"/>
        <item x="150"/>
        <item x="208"/>
        <item x="82"/>
        <item x="48"/>
        <item x="160"/>
        <item x="147"/>
        <item x="198"/>
        <item x="187"/>
        <item x="165"/>
        <item x="220"/>
        <item x="219"/>
        <item x="36"/>
        <item x="8"/>
        <item x="6"/>
        <item x="26"/>
        <item x="56"/>
        <item x="124"/>
        <item x="231"/>
        <item x="202"/>
        <item x="118"/>
        <item x="236"/>
        <item x="170"/>
        <item x="207"/>
        <item x="28"/>
        <item x="73"/>
        <item x="162"/>
        <item x="116"/>
        <item x="79"/>
        <item x="211"/>
        <item x="120"/>
        <item x="210"/>
        <item x="67"/>
        <item x="42"/>
        <item x="201"/>
        <item x="209"/>
        <item x="240"/>
        <item x="54"/>
        <item x="49"/>
        <item x="77"/>
        <item x="130"/>
        <item x="81"/>
        <item x="121"/>
        <item x="205"/>
        <item x="163"/>
        <item x="133"/>
        <item x="134"/>
        <item x="234"/>
        <item x="204"/>
        <item x="149"/>
        <item x="242"/>
        <item x="164"/>
        <item x="74"/>
        <item x="37"/>
        <item x="83"/>
        <item x="46"/>
        <item x="33"/>
        <item x="97"/>
        <item x="59"/>
        <item x="32"/>
        <item x="136"/>
        <item x="107"/>
        <item x="90"/>
        <item x="88"/>
        <item x="89"/>
        <item x="91"/>
        <item x="23"/>
        <item x="92"/>
        <item x="146"/>
        <item x="144"/>
        <item x="145"/>
        <item x="75"/>
        <item x="216"/>
        <item x="206"/>
        <item x="152"/>
        <item x="70"/>
        <item x="238"/>
        <item x="250"/>
        <item t="default"/>
      </items>
    </pivotField>
  </pivotFields>
  <rowFields count="2">
    <field x="6"/>
    <field x="4"/>
  </rowFields>
  <rowItems count="47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 t="grand">
      <x/>
    </i>
  </rowItems>
  <colFields count="1">
    <field x="-2"/>
  </colFields>
  <colItems count="2">
    <i>
      <x/>
    </i>
    <i i="1">
      <x v="1"/>
    </i>
  </colItems>
  <pageFields count="1">
    <pageField fld="7" hier="-1"/>
  </pageFields>
  <dataFields count="2">
    <dataField name="Count of gift description" fld="4" subtotal="count" baseField="0" baseItem="0"/>
    <dataField name="Sum of gift value" fld="3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36"/>
  <sheetViews>
    <sheetView workbookViewId="0">
      <selection activeCell="D18" sqref="D18"/>
    </sheetView>
  </sheetViews>
  <sheetFormatPr baseColWidth="10" defaultRowHeight="15" x14ac:dyDescent="0"/>
  <cols>
    <col min="1" max="1" width="30.33203125" customWidth="1"/>
    <col min="2" max="2" width="14.83203125" customWidth="1"/>
    <col min="3" max="3" width="18.6640625" customWidth="1"/>
    <col min="4" max="4" width="21" bestFit="1" customWidth="1"/>
  </cols>
  <sheetData>
    <row r="1" spans="1:4">
      <c r="D1" t="s">
        <v>3988</v>
      </c>
    </row>
    <row r="3" spans="1:4">
      <c r="B3" s="4" t="s">
        <v>3982</v>
      </c>
    </row>
    <row r="4" spans="1:4">
      <c r="A4" s="4" t="s">
        <v>3753</v>
      </c>
      <c r="B4" t="s">
        <v>3983</v>
      </c>
      <c r="C4" t="s">
        <v>3985</v>
      </c>
    </row>
    <row r="5" spans="1:4">
      <c r="A5" s="5" t="s">
        <v>3971</v>
      </c>
      <c r="B5" s="6">
        <v>8751</v>
      </c>
      <c r="C5" s="6">
        <v>2</v>
      </c>
    </row>
    <row r="6" spans="1:4">
      <c r="A6" s="5" t="s">
        <v>3931</v>
      </c>
      <c r="B6" s="6">
        <v>4762.5</v>
      </c>
      <c r="C6" s="6">
        <v>6</v>
      </c>
    </row>
    <row r="7" spans="1:4">
      <c r="A7" s="5" t="s">
        <v>3976</v>
      </c>
      <c r="B7" s="6">
        <v>4617</v>
      </c>
      <c r="C7" s="6">
        <v>10</v>
      </c>
    </row>
    <row r="8" spans="1:4">
      <c r="A8" s="5" t="s">
        <v>3763</v>
      </c>
      <c r="B8" s="6">
        <v>4000</v>
      </c>
      <c r="C8" s="6">
        <v>5</v>
      </c>
    </row>
    <row r="9" spans="1:4">
      <c r="A9" s="5" t="s">
        <v>3948</v>
      </c>
      <c r="B9" s="6">
        <v>3670</v>
      </c>
      <c r="C9" s="6">
        <v>30</v>
      </c>
    </row>
    <row r="10" spans="1:4">
      <c r="A10" s="5" t="s">
        <v>3944</v>
      </c>
      <c r="B10" s="6">
        <v>3094</v>
      </c>
      <c r="C10" s="6">
        <v>12</v>
      </c>
    </row>
    <row r="11" spans="1:4">
      <c r="A11" s="5" t="s">
        <v>3779</v>
      </c>
      <c r="B11" s="6">
        <v>2850</v>
      </c>
      <c r="C11" s="6">
        <v>12</v>
      </c>
    </row>
    <row r="12" spans="1:4">
      <c r="A12" s="5" t="s">
        <v>3895</v>
      </c>
      <c r="B12" s="6">
        <v>2840</v>
      </c>
      <c r="C12" s="6">
        <v>8</v>
      </c>
    </row>
    <row r="13" spans="1:4">
      <c r="A13" s="5" t="s">
        <v>3837</v>
      </c>
      <c r="B13" s="6">
        <v>2676.3799999999997</v>
      </c>
      <c r="C13" s="6">
        <v>6</v>
      </c>
    </row>
    <row r="14" spans="1:4">
      <c r="A14" s="5" t="s">
        <v>3942</v>
      </c>
      <c r="B14" s="6">
        <v>2500</v>
      </c>
      <c r="C14" s="6">
        <v>3</v>
      </c>
    </row>
    <row r="15" spans="1:4">
      <c r="A15" s="7" t="s">
        <v>3415</v>
      </c>
      <c r="B15" s="6">
        <v>2500</v>
      </c>
      <c r="C15" s="6">
        <v>3</v>
      </c>
    </row>
    <row r="16" spans="1:4">
      <c r="A16" s="8" t="s">
        <v>2989</v>
      </c>
      <c r="B16" s="6">
        <v>0</v>
      </c>
      <c r="C16" s="6">
        <v>1</v>
      </c>
    </row>
    <row r="17" spans="1:3">
      <c r="A17" s="8" t="s">
        <v>2988</v>
      </c>
      <c r="B17" s="6">
        <v>2500</v>
      </c>
      <c r="C17" s="6">
        <v>1</v>
      </c>
    </row>
    <row r="18" spans="1:3">
      <c r="A18" s="8" t="s">
        <v>2990</v>
      </c>
      <c r="B18" s="6">
        <v>0</v>
      </c>
      <c r="C18" s="6">
        <v>1</v>
      </c>
    </row>
    <row r="19" spans="1:3">
      <c r="A19" s="5" t="s">
        <v>3916</v>
      </c>
      <c r="B19" s="6">
        <v>2320</v>
      </c>
      <c r="C19" s="6">
        <v>2</v>
      </c>
    </row>
    <row r="20" spans="1:3">
      <c r="A20" s="5" t="s">
        <v>3849</v>
      </c>
      <c r="B20" s="6">
        <v>2070</v>
      </c>
      <c r="C20" s="6">
        <v>21</v>
      </c>
    </row>
    <row r="21" spans="1:3">
      <c r="A21" s="5" t="s">
        <v>3764</v>
      </c>
      <c r="B21" s="6">
        <v>1965</v>
      </c>
      <c r="C21" s="6">
        <v>4</v>
      </c>
    </row>
    <row r="22" spans="1:3">
      <c r="A22" s="5" t="s">
        <v>3825</v>
      </c>
      <c r="B22" s="6">
        <v>1880</v>
      </c>
      <c r="C22" s="6">
        <v>5</v>
      </c>
    </row>
    <row r="23" spans="1:3">
      <c r="A23" s="5" t="s">
        <v>3812</v>
      </c>
      <c r="B23" s="6">
        <v>1550</v>
      </c>
      <c r="C23" s="6">
        <v>12</v>
      </c>
    </row>
    <row r="24" spans="1:3">
      <c r="A24" s="5" t="s">
        <v>3869</v>
      </c>
      <c r="B24" s="6">
        <v>1500</v>
      </c>
      <c r="C24" s="6">
        <v>1</v>
      </c>
    </row>
    <row r="25" spans="1:3">
      <c r="A25" s="5" t="s">
        <v>3907</v>
      </c>
      <c r="B25" s="6">
        <v>1500</v>
      </c>
      <c r="C25" s="6">
        <v>1</v>
      </c>
    </row>
    <row r="26" spans="1:3">
      <c r="A26" s="5" t="s">
        <v>3840</v>
      </c>
      <c r="B26" s="6">
        <v>1390</v>
      </c>
      <c r="C26" s="6">
        <v>11</v>
      </c>
    </row>
    <row r="27" spans="1:3">
      <c r="A27" s="5" t="s">
        <v>3887</v>
      </c>
      <c r="B27" s="6">
        <v>1310</v>
      </c>
      <c r="C27" s="6">
        <v>12</v>
      </c>
    </row>
    <row r="28" spans="1:3">
      <c r="A28" s="5" t="s">
        <v>3864</v>
      </c>
      <c r="B28" s="6">
        <v>1289</v>
      </c>
      <c r="C28" s="6">
        <v>8</v>
      </c>
    </row>
    <row r="29" spans="1:3">
      <c r="A29" s="5" t="s">
        <v>3891</v>
      </c>
      <c r="B29" s="6">
        <v>1285</v>
      </c>
      <c r="C29" s="6">
        <v>19</v>
      </c>
    </row>
    <row r="30" spans="1:3">
      <c r="A30" s="5" t="s">
        <v>3950</v>
      </c>
      <c r="B30" s="6">
        <v>1250</v>
      </c>
      <c r="C30" s="6">
        <v>4</v>
      </c>
    </row>
    <row r="31" spans="1:3">
      <c r="A31" s="5" t="s">
        <v>3833</v>
      </c>
      <c r="B31" s="6">
        <v>1240</v>
      </c>
      <c r="C31" s="6">
        <v>15</v>
      </c>
    </row>
    <row r="32" spans="1:3">
      <c r="A32" s="5" t="s">
        <v>3879</v>
      </c>
      <c r="B32" s="6">
        <v>1170</v>
      </c>
      <c r="C32" s="6">
        <v>11</v>
      </c>
    </row>
    <row r="33" spans="1:3">
      <c r="A33" s="5" t="s">
        <v>3798</v>
      </c>
      <c r="B33" s="6">
        <v>1142.5</v>
      </c>
      <c r="C33" s="6">
        <v>13</v>
      </c>
    </row>
    <row r="34" spans="1:3">
      <c r="A34" s="5" t="s">
        <v>3952</v>
      </c>
      <c r="B34" s="6">
        <v>1140</v>
      </c>
      <c r="C34" s="6">
        <v>12</v>
      </c>
    </row>
    <row r="35" spans="1:3">
      <c r="A35" s="5" t="s">
        <v>3892</v>
      </c>
      <c r="B35" s="6">
        <v>1115</v>
      </c>
      <c r="C35" s="6">
        <v>6</v>
      </c>
    </row>
    <row r="36" spans="1:3">
      <c r="A36" s="5" t="s">
        <v>3803</v>
      </c>
      <c r="B36" s="6">
        <v>1050</v>
      </c>
      <c r="C36" s="6">
        <v>2</v>
      </c>
    </row>
    <row r="37" spans="1:3">
      <c r="A37" s="5" t="s">
        <v>3831</v>
      </c>
      <c r="B37" s="6">
        <v>1000</v>
      </c>
      <c r="C37" s="6">
        <v>1</v>
      </c>
    </row>
    <row r="38" spans="1:3">
      <c r="A38" s="5" t="s">
        <v>3824</v>
      </c>
      <c r="B38" s="6">
        <v>980</v>
      </c>
      <c r="C38" s="6">
        <v>1</v>
      </c>
    </row>
    <row r="39" spans="1:3">
      <c r="A39" s="5" t="s">
        <v>3773</v>
      </c>
      <c r="B39" s="6">
        <v>965</v>
      </c>
      <c r="C39" s="6">
        <v>10</v>
      </c>
    </row>
    <row r="40" spans="1:3">
      <c r="A40" s="5" t="s">
        <v>3898</v>
      </c>
      <c r="B40" s="6">
        <v>934</v>
      </c>
      <c r="C40" s="6">
        <v>4</v>
      </c>
    </row>
    <row r="41" spans="1:3">
      <c r="A41" s="5" t="s">
        <v>3867</v>
      </c>
      <c r="B41" s="6">
        <v>900</v>
      </c>
      <c r="C41" s="6">
        <v>2</v>
      </c>
    </row>
    <row r="42" spans="1:3">
      <c r="A42" s="5" t="s">
        <v>3970</v>
      </c>
      <c r="B42" s="6">
        <v>840</v>
      </c>
      <c r="C42" s="6">
        <v>2</v>
      </c>
    </row>
    <row r="43" spans="1:3">
      <c r="A43" s="5" t="s">
        <v>3925</v>
      </c>
      <c r="B43" s="6">
        <v>805</v>
      </c>
      <c r="C43" s="6">
        <v>13</v>
      </c>
    </row>
    <row r="44" spans="1:3">
      <c r="A44" s="5" t="s">
        <v>3775</v>
      </c>
      <c r="B44" s="6">
        <v>785</v>
      </c>
      <c r="C44" s="6">
        <v>8</v>
      </c>
    </row>
    <row r="45" spans="1:3">
      <c r="A45" s="5" t="s">
        <v>3973</v>
      </c>
      <c r="B45" s="6">
        <v>785</v>
      </c>
      <c r="C45" s="6">
        <v>9</v>
      </c>
    </row>
    <row r="46" spans="1:3">
      <c r="A46" s="5" t="s">
        <v>3846</v>
      </c>
      <c r="B46" s="6">
        <v>762</v>
      </c>
      <c r="C46" s="6">
        <v>8</v>
      </c>
    </row>
    <row r="47" spans="1:3">
      <c r="A47" s="5" t="s">
        <v>3810</v>
      </c>
      <c r="B47" s="6">
        <v>755</v>
      </c>
      <c r="C47" s="6">
        <v>19</v>
      </c>
    </row>
    <row r="48" spans="1:3">
      <c r="A48" s="5" t="s">
        <v>3815</v>
      </c>
      <c r="B48" s="6">
        <v>750</v>
      </c>
      <c r="C48" s="6">
        <v>2</v>
      </c>
    </row>
    <row r="49" spans="1:3">
      <c r="A49" s="5" t="s">
        <v>3894</v>
      </c>
      <c r="B49" s="6">
        <v>710</v>
      </c>
      <c r="C49" s="6">
        <v>7</v>
      </c>
    </row>
    <row r="50" spans="1:3">
      <c r="A50" s="5" t="s">
        <v>3924</v>
      </c>
      <c r="B50" s="6">
        <v>707</v>
      </c>
      <c r="C50" s="6">
        <v>7</v>
      </c>
    </row>
    <row r="51" spans="1:3">
      <c r="A51" s="5" t="s">
        <v>3788</v>
      </c>
      <c r="B51" s="6">
        <v>700</v>
      </c>
      <c r="C51" s="6">
        <v>8</v>
      </c>
    </row>
    <row r="52" spans="1:3">
      <c r="A52" s="5" t="s">
        <v>3850</v>
      </c>
      <c r="B52" s="6">
        <v>679</v>
      </c>
      <c r="C52" s="6">
        <v>9</v>
      </c>
    </row>
    <row r="53" spans="1:3">
      <c r="A53" s="5" t="s">
        <v>3816</v>
      </c>
      <c r="B53" s="6">
        <v>670</v>
      </c>
      <c r="C53" s="6">
        <v>8</v>
      </c>
    </row>
    <row r="54" spans="1:3">
      <c r="A54" s="5" t="s">
        <v>3768</v>
      </c>
      <c r="B54" s="6">
        <v>665</v>
      </c>
      <c r="C54" s="6">
        <v>13</v>
      </c>
    </row>
    <row r="55" spans="1:3">
      <c r="A55" s="5" t="s">
        <v>3917</v>
      </c>
      <c r="B55" s="6">
        <v>660</v>
      </c>
      <c r="C55" s="6">
        <v>7</v>
      </c>
    </row>
    <row r="56" spans="1:3">
      <c r="A56" s="5" t="s">
        <v>3956</v>
      </c>
      <c r="B56" s="6">
        <v>645</v>
      </c>
      <c r="C56" s="6">
        <v>3</v>
      </c>
    </row>
    <row r="57" spans="1:3">
      <c r="A57" s="5" t="s">
        <v>3958</v>
      </c>
      <c r="B57" s="6">
        <v>625</v>
      </c>
      <c r="C57" s="6">
        <v>9</v>
      </c>
    </row>
    <row r="58" spans="1:3">
      <c r="A58" s="5" t="s">
        <v>3928</v>
      </c>
      <c r="B58" s="6">
        <v>595</v>
      </c>
      <c r="C58" s="6">
        <v>7</v>
      </c>
    </row>
    <row r="59" spans="1:3">
      <c r="A59" s="5" t="s">
        <v>3806</v>
      </c>
      <c r="B59" s="6">
        <v>585</v>
      </c>
      <c r="C59" s="6">
        <v>10</v>
      </c>
    </row>
    <row r="60" spans="1:3">
      <c r="A60" s="5" t="s">
        <v>3856</v>
      </c>
      <c r="B60" s="6">
        <v>585</v>
      </c>
      <c r="C60" s="6">
        <v>4</v>
      </c>
    </row>
    <row r="61" spans="1:3">
      <c r="A61" s="5" t="s">
        <v>3955</v>
      </c>
      <c r="B61" s="6">
        <v>576</v>
      </c>
      <c r="C61" s="6">
        <v>1</v>
      </c>
    </row>
    <row r="62" spans="1:3">
      <c r="A62" s="5" t="s">
        <v>3774</v>
      </c>
      <c r="B62" s="6">
        <v>575</v>
      </c>
      <c r="C62" s="6">
        <v>6</v>
      </c>
    </row>
    <row r="63" spans="1:3">
      <c r="A63" s="5" t="s">
        <v>3835</v>
      </c>
      <c r="B63" s="6">
        <v>560</v>
      </c>
      <c r="C63" s="6">
        <v>2</v>
      </c>
    </row>
    <row r="64" spans="1:3">
      <c r="A64" s="5" t="s">
        <v>3915</v>
      </c>
      <c r="B64" s="6">
        <v>560</v>
      </c>
      <c r="C64" s="6">
        <v>7</v>
      </c>
    </row>
    <row r="65" spans="1:3">
      <c r="A65" s="5" t="s">
        <v>3809</v>
      </c>
      <c r="B65" s="6">
        <v>550</v>
      </c>
      <c r="C65" s="6">
        <v>4</v>
      </c>
    </row>
    <row r="66" spans="1:3">
      <c r="A66" s="5" t="s">
        <v>3979</v>
      </c>
      <c r="B66" s="6">
        <v>528.25</v>
      </c>
      <c r="C66" s="6">
        <v>5</v>
      </c>
    </row>
    <row r="67" spans="1:3">
      <c r="A67" s="5" t="s">
        <v>3872</v>
      </c>
      <c r="B67" s="6">
        <v>525</v>
      </c>
      <c r="C67" s="6">
        <v>3</v>
      </c>
    </row>
    <row r="68" spans="1:3">
      <c r="A68" s="5" t="s">
        <v>3935</v>
      </c>
      <c r="B68" s="6">
        <v>525</v>
      </c>
      <c r="C68" s="6">
        <v>2</v>
      </c>
    </row>
    <row r="69" spans="1:3">
      <c r="A69" s="5" t="s">
        <v>3865</v>
      </c>
      <c r="B69" s="6">
        <v>500</v>
      </c>
      <c r="C69" s="6">
        <v>5</v>
      </c>
    </row>
    <row r="70" spans="1:3">
      <c r="A70" s="5" t="s">
        <v>3896</v>
      </c>
      <c r="B70" s="6">
        <v>500</v>
      </c>
      <c r="C70" s="6">
        <v>3</v>
      </c>
    </row>
    <row r="71" spans="1:3">
      <c r="A71" s="5" t="s">
        <v>3945</v>
      </c>
      <c r="B71" s="6">
        <v>497</v>
      </c>
      <c r="C71" s="6">
        <v>6</v>
      </c>
    </row>
    <row r="72" spans="1:3">
      <c r="A72" s="5" t="s">
        <v>3799</v>
      </c>
      <c r="B72" s="6">
        <v>485</v>
      </c>
      <c r="C72" s="6">
        <v>7</v>
      </c>
    </row>
    <row r="73" spans="1:3">
      <c r="A73" s="5" t="s">
        <v>3842</v>
      </c>
      <c r="B73" s="6">
        <v>474</v>
      </c>
      <c r="C73" s="6">
        <v>9</v>
      </c>
    </row>
    <row r="74" spans="1:3">
      <c r="A74" s="5" t="s">
        <v>3858</v>
      </c>
      <c r="B74" s="6">
        <v>450</v>
      </c>
      <c r="C74" s="6">
        <v>7</v>
      </c>
    </row>
    <row r="75" spans="1:3">
      <c r="A75" s="5" t="s">
        <v>3883</v>
      </c>
      <c r="B75" s="6">
        <v>450</v>
      </c>
      <c r="C75" s="6">
        <v>4</v>
      </c>
    </row>
    <row r="76" spans="1:3">
      <c r="A76" s="5" t="s">
        <v>3888</v>
      </c>
      <c r="B76" s="6">
        <v>450</v>
      </c>
      <c r="C76" s="6">
        <v>5</v>
      </c>
    </row>
    <row r="77" spans="1:3">
      <c r="A77" s="5" t="s">
        <v>3977</v>
      </c>
      <c r="B77" s="6">
        <v>450</v>
      </c>
      <c r="C77" s="6">
        <v>6</v>
      </c>
    </row>
    <row r="78" spans="1:3">
      <c r="A78" s="5" t="s">
        <v>3845</v>
      </c>
      <c r="B78" s="6">
        <v>440</v>
      </c>
      <c r="C78" s="6">
        <v>3</v>
      </c>
    </row>
    <row r="79" spans="1:3">
      <c r="A79" s="5" t="s">
        <v>3852</v>
      </c>
      <c r="B79" s="6">
        <v>430</v>
      </c>
      <c r="C79" s="6">
        <v>7</v>
      </c>
    </row>
    <row r="80" spans="1:3">
      <c r="A80" s="5" t="s">
        <v>3800</v>
      </c>
      <c r="B80" s="6">
        <v>425</v>
      </c>
      <c r="C80" s="6">
        <v>4</v>
      </c>
    </row>
    <row r="81" spans="1:3">
      <c r="A81" s="5" t="s">
        <v>3910</v>
      </c>
      <c r="B81" s="6">
        <v>420</v>
      </c>
      <c r="C81" s="6">
        <v>1</v>
      </c>
    </row>
    <row r="82" spans="1:3">
      <c r="A82" s="5" t="s">
        <v>3805</v>
      </c>
      <c r="B82" s="6">
        <v>400</v>
      </c>
      <c r="C82" s="6">
        <v>3</v>
      </c>
    </row>
    <row r="83" spans="1:3">
      <c r="A83" s="5" t="s">
        <v>3829</v>
      </c>
      <c r="B83" s="6">
        <v>400</v>
      </c>
      <c r="C83" s="6">
        <v>1</v>
      </c>
    </row>
    <row r="84" spans="1:3">
      <c r="A84" s="5" t="s">
        <v>3874</v>
      </c>
      <c r="B84" s="6">
        <v>400</v>
      </c>
      <c r="C84" s="6">
        <v>1</v>
      </c>
    </row>
    <row r="85" spans="1:3">
      <c r="A85" s="5" t="s">
        <v>3826</v>
      </c>
      <c r="B85" s="6">
        <v>379</v>
      </c>
      <c r="C85" s="6">
        <v>7</v>
      </c>
    </row>
    <row r="86" spans="1:3">
      <c r="A86" s="5" t="s">
        <v>3755</v>
      </c>
      <c r="B86" s="6">
        <v>375</v>
      </c>
      <c r="C86" s="6">
        <v>3</v>
      </c>
    </row>
    <row r="87" spans="1:3">
      <c r="A87" s="5" t="s">
        <v>3811</v>
      </c>
      <c r="B87" s="6">
        <v>370</v>
      </c>
      <c r="C87" s="6">
        <v>7</v>
      </c>
    </row>
    <row r="88" spans="1:3">
      <c r="A88" s="5" t="s">
        <v>3959</v>
      </c>
      <c r="B88" s="6">
        <v>365</v>
      </c>
      <c r="C88" s="6">
        <v>5</v>
      </c>
    </row>
    <row r="89" spans="1:3">
      <c r="A89" s="5" t="s">
        <v>3762</v>
      </c>
      <c r="B89" s="6">
        <v>360</v>
      </c>
      <c r="C89" s="6">
        <v>1</v>
      </c>
    </row>
    <row r="90" spans="1:3">
      <c r="A90" s="5" t="s">
        <v>3787</v>
      </c>
      <c r="B90" s="6">
        <v>357</v>
      </c>
      <c r="C90" s="6">
        <v>6</v>
      </c>
    </row>
    <row r="91" spans="1:3">
      <c r="A91" s="5" t="s">
        <v>3836</v>
      </c>
      <c r="B91" s="6">
        <v>350</v>
      </c>
      <c r="C91" s="6">
        <v>2</v>
      </c>
    </row>
    <row r="92" spans="1:3">
      <c r="A92" s="5" t="s">
        <v>3882</v>
      </c>
      <c r="B92" s="6">
        <v>350</v>
      </c>
      <c r="C92" s="6">
        <v>2</v>
      </c>
    </row>
    <row r="93" spans="1:3">
      <c r="A93" s="5" t="s">
        <v>3946</v>
      </c>
      <c r="B93" s="6">
        <v>350</v>
      </c>
      <c r="C93" s="6">
        <v>1</v>
      </c>
    </row>
    <row r="94" spans="1:3">
      <c r="A94" s="5" t="s">
        <v>3921</v>
      </c>
      <c r="B94" s="6">
        <v>335</v>
      </c>
      <c r="C94" s="6">
        <v>5</v>
      </c>
    </row>
    <row r="95" spans="1:3">
      <c r="A95" s="5" t="s">
        <v>3938</v>
      </c>
      <c r="B95" s="6">
        <v>325</v>
      </c>
      <c r="C95" s="6">
        <v>6</v>
      </c>
    </row>
    <row r="96" spans="1:3">
      <c r="A96" s="5" t="s">
        <v>3772</v>
      </c>
      <c r="B96" s="6">
        <v>320</v>
      </c>
      <c r="C96" s="6">
        <v>2</v>
      </c>
    </row>
    <row r="97" spans="1:3">
      <c r="A97" s="5" t="s">
        <v>3859</v>
      </c>
      <c r="B97" s="6">
        <v>315</v>
      </c>
      <c r="C97" s="6">
        <v>6</v>
      </c>
    </row>
    <row r="98" spans="1:3">
      <c r="A98" s="5" t="s">
        <v>3761</v>
      </c>
      <c r="B98" s="6">
        <v>300</v>
      </c>
      <c r="C98" s="6">
        <v>4</v>
      </c>
    </row>
    <row r="99" spans="1:3">
      <c r="A99" s="5" t="s">
        <v>3777</v>
      </c>
      <c r="B99" s="6">
        <v>300</v>
      </c>
      <c r="C99" s="6">
        <v>1</v>
      </c>
    </row>
    <row r="100" spans="1:3">
      <c r="A100" s="5" t="s">
        <v>3793</v>
      </c>
      <c r="B100" s="6">
        <v>300</v>
      </c>
      <c r="C100" s="6">
        <v>1</v>
      </c>
    </row>
    <row r="101" spans="1:3">
      <c r="A101" s="5" t="s">
        <v>3802</v>
      </c>
      <c r="B101" s="6">
        <v>300</v>
      </c>
      <c r="C101" s="6">
        <v>4</v>
      </c>
    </row>
    <row r="102" spans="1:3">
      <c r="A102" s="5" t="s">
        <v>3903</v>
      </c>
      <c r="B102" s="6">
        <v>300</v>
      </c>
      <c r="C102" s="6">
        <v>2</v>
      </c>
    </row>
    <row r="103" spans="1:3">
      <c r="A103" s="5" t="s">
        <v>3923</v>
      </c>
      <c r="B103" s="6">
        <v>300</v>
      </c>
      <c r="C103" s="6">
        <v>1</v>
      </c>
    </row>
    <row r="104" spans="1:3">
      <c r="A104" s="5" t="s">
        <v>3947</v>
      </c>
      <c r="B104" s="6">
        <v>300</v>
      </c>
      <c r="C104" s="6">
        <v>4</v>
      </c>
    </row>
    <row r="105" spans="1:3">
      <c r="A105" s="5" t="s">
        <v>3780</v>
      </c>
      <c r="B105" s="6">
        <v>299</v>
      </c>
      <c r="C105" s="6">
        <v>1</v>
      </c>
    </row>
    <row r="106" spans="1:3">
      <c r="A106" s="5" t="s">
        <v>3902</v>
      </c>
      <c r="B106" s="6">
        <v>280</v>
      </c>
      <c r="C106" s="6">
        <v>1</v>
      </c>
    </row>
    <row r="107" spans="1:3">
      <c r="A107" s="5" t="s">
        <v>3964</v>
      </c>
      <c r="B107" s="6">
        <v>276</v>
      </c>
      <c r="C107" s="6">
        <v>1</v>
      </c>
    </row>
    <row r="108" spans="1:3">
      <c r="A108" s="5" t="s">
        <v>3860</v>
      </c>
      <c r="B108" s="6">
        <v>275</v>
      </c>
      <c r="C108" s="6">
        <v>4</v>
      </c>
    </row>
    <row r="109" spans="1:3">
      <c r="A109" s="5" t="s">
        <v>3822</v>
      </c>
      <c r="B109" s="6">
        <v>270</v>
      </c>
      <c r="C109" s="6">
        <v>2</v>
      </c>
    </row>
    <row r="110" spans="1:3">
      <c r="A110" s="5" t="s">
        <v>3968</v>
      </c>
      <c r="B110" s="6">
        <v>267.5</v>
      </c>
      <c r="C110" s="6">
        <v>4</v>
      </c>
    </row>
    <row r="111" spans="1:3">
      <c r="A111" s="5" t="s">
        <v>3754</v>
      </c>
      <c r="B111" s="6">
        <v>250</v>
      </c>
      <c r="C111" s="6">
        <v>1</v>
      </c>
    </row>
    <row r="112" spans="1:3">
      <c r="A112" s="5" t="s">
        <v>3766</v>
      </c>
      <c r="B112" s="6">
        <v>250</v>
      </c>
      <c r="C112" s="6">
        <v>2</v>
      </c>
    </row>
    <row r="113" spans="1:3">
      <c r="A113" s="5" t="s">
        <v>3813</v>
      </c>
      <c r="B113" s="6">
        <v>250</v>
      </c>
      <c r="C113" s="6">
        <v>2</v>
      </c>
    </row>
    <row r="114" spans="1:3">
      <c r="A114" s="5" t="s">
        <v>3818</v>
      </c>
      <c r="B114" s="6">
        <v>250</v>
      </c>
      <c r="C114" s="6">
        <v>1</v>
      </c>
    </row>
    <row r="115" spans="1:3">
      <c r="A115" s="5" t="s">
        <v>3832</v>
      </c>
      <c r="B115" s="6">
        <v>250</v>
      </c>
      <c r="C115" s="6">
        <v>3</v>
      </c>
    </row>
    <row r="116" spans="1:3">
      <c r="A116" s="5" t="s">
        <v>3847</v>
      </c>
      <c r="B116" s="6">
        <v>250</v>
      </c>
      <c r="C116" s="6">
        <v>3</v>
      </c>
    </row>
    <row r="117" spans="1:3">
      <c r="A117" s="5" t="s">
        <v>3854</v>
      </c>
      <c r="B117" s="6">
        <v>250</v>
      </c>
      <c r="C117" s="6">
        <v>4</v>
      </c>
    </row>
    <row r="118" spans="1:3">
      <c r="A118" s="5" t="s">
        <v>3868</v>
      </c>
      <c r="B118" s="6">
        <v>250</v>
      </c>
      <c r="C118" s="6">
        <v>1</v>
      </c>
    </row>
    <row r="119" spans="1:3">
      <c r="A119" s="5" t="s">
        <v>3870</v>
      </c>
      <c r="B119" s="6">
        <v>250</v>
      </c>
      <c r="C119" s="6">
        <v>1</v>
      </c>
    </row>
    <row r="120" spans="1:3">
      <c r="A120" s="5" t="s">
        <v>3893</v>
      </c>
      <c r="B120" s="6">
        <v>250</v>
      </c>
      <c r="C120" s="6">
        <v>2</v>
      </c>
    </row>
    <row r="121" spans="1:3">
      <c r="A121" s="5" t="s">
        <v>3897</v>
      </c>
      <c r="B121" s="6">
        <v>250</v>
      </c>
      <c r="C121" s="6">
        <v>3</v>
      </c>
    </row>
    <row r="122" spans="1:3">
      <c r="A122" s="5" t="s">
        <v>3913</v>
      </c>
      <c r="B122" s="6">
        <v>250</v>
      </c>
      <c r="C122" s="6">
        <v>3</v>
      </c>
    </row>
    <row r="123" spans="1:3">
      <c r="A123" s="5" t="s">
        <v>3926</v>
      </c>
      <c r="B123" s="6">
        <v>250</v>
      </c>
      <c r="C123" s="6">
        <v>1</v>
      </c>
    </row>
    <row r="124" spans="1:3">
      <c r="A124" s="5" t="s">
        <v>3936</v>
      </c>
      <c r="B124" s="6">
        <v>250</v>
      </c>
      <c r="C124" s="6">
        <v>3</v>
      </c>
    </row>
    <row r="125" spans="1:3">
      <c r="A125" s="5" t="s">
        <v>3940</v>
      </c>
      <c r="B125" s="6">
        <v>250</v>
      </c>
      <c r="C125" s="6">
        <v>3</v>
      </c>
    </row>
    <row r="126" spans="1:3">
      <c r="A126" s="5" t="s">
        <v>3953</v>
      </c>
      <c r="B126" s="6">
        <v>250</v>
      </c>
      <c r="C126" s="6">
        <v>1</v>
      </c>
    </row>
    <row r="127" spans="1:3">
      <c r="A127" s="5" t="s">
        <v>3954</v>
      </c>
      <c r="B127" s="6">
        <v>250</v>
      </c>
      <c r="C127" s="6">
        <v>1</v>
      </c>
    </row>
    <row r="128" spans="1:3">
      <c r="A128" s="5" t="s">
        <v>3978</v>
      </c>
      <c r="B128" s="6">
        <v>250</v>
      </c>
      <c r="C128" s="6">
        <v>1</v>
      </c>
    </row>
    <row r="129" spans="1:3">
      <c r="A129" s="5" t="s">
        <v>3841</v>
      </c>
      <c r="B129" s="6">
        <v>245</v>
      </c>
      <c r="C129" s="6">
        <v>4</v>
      </c>
    </row>
    <row r="130" spans="1:3">
      <c r="A130" s="5" t="s">
        <v>3844</v>
      </c>
      <c r="B130" s="6">
        <v>240</v>
      </c>
      <c r="C130" s="6">
        <v>9</v>
      </c>
    </row>
    <row r="131" spans="1:3">
      <c r="A131" s="5" t="s">
        <v>3900</v>
      </c>
      <c r="B131" s="6">
        <v>240</v>
      </c>
      <c r="C131" s="6">
        <v>1</v>
      </c>
    </row>
    <row r="132" spans="1:3">
      <c r="A132" s="5" t="s">
        <v>3909</v>
      </c>
      <c r="B132" s="6">
        <v>240</v>
      </c>
      <c r="C132" s="6">
        <v>2</v>
      </c>
    </row>
    <row r="133" spans="1:3">
      <c r="A133" s="5" t="s">
        <v>3933</v>
      </c>
      <c r="B133" s="6">
        <v>240</v>
      </c>
      <c r="C133" s="6">
        <v>3</v>
      </c>
    </row>
    <row r="134" spans="1:3">
      <c r="A134" s="5" t="s">
        <v>3966</v>
      </c>
      <c r="B134" s="6">
        <v>240</v>
      </c>
      <c r="C134" s="6">
        <v>2</v>
      </c>
    </row>
    <row r="135" spans="1:3">
      <c r="A135" s="5" t="s">
        <v>3807</v>
      </c>
      <c r="B135" s="6">
        <v>235</v>
      </c>
      <c r="C135" s="6">
        <v>4</v>
      </c>
    </row>
    <row r="136" spans="1:3">
      <c r="A136" s="5" t="s">
        <v>3881</v>
      </c>
      <c r="B136" s="6">
        <v>235</v>
      </c>
      <c r="C136" s="6">
        <v>3</v>
      </c>
    </row>
    <row r="137" spans="1:3">
      <c r="A137" s="5" t="s">
        <v>3857</v>
      </c>
      <c r="B137" s="6">
        <v>230</v>
      </c>
      <c r="C137" s="6">
        <v>2</v>
      </c>
    </row>
    <row r="138" spans="1:3">
      <c r="A138" s="5" t="s">
        <v>3873</v>
      </c>
      <c r="B138" s="6">
        <v>230</v>
      </c>
      <c r="C138" s="6">
        <v>4</v>
      </c>
    </row>
    <row r="139" spans="1:3">
      <c r="A139" s="5" t="s">
        <v>3914</v>
      </c>
      <c r="B139" s="6">
        <v>230</v>
      </c>
      <c r="C139" s="6">
        <v>3</v>
      </c>
    </row>
    <row r="140" spans="1:3">
      <c r="A140" s="5" t="s">
        <v>3769</v>
      </c>
      <c r="B140" s="6">
        <v>225</v>
      </c>
      <c r="C140" s="6">
        <v>4</v>
      </c>
    </row>
    <row r="141" spans="1:3">
      <c r="A141" s="5" t="s">
        <v>3819</v>
      </c>
      <c r="B141" s="6">
        <v>225</v>
      </c>
      <c r="C141" s="6">
        <v>3</v>
      </c>
    </row>
    <row r="142" spans="1:3">
      <c r="A142" s="5" t="s">
        <v>3889</v>
      </c>
      <c r="B142" s="6">
        <v>225</v>
      </c>
      <c r="C142" s="6">
        <v>2</v>
      </c>
    </row>
    <row r="143" spans="1:3">
      <c r="A143" s="5" t="s">
        <v>3757</v>
      </c>
      <c r="B143" s="6">
        <v>220</v>
      </c>
      <c r="C143" s="6">
        <v>4</v>
      </c>
    </row>
    <row r="144" spans="1:3">
      <c r="A144" s="5" t="s">
        <v>3866</v>
      </c>
      <c r="B144" s="6">
        <v>220</v>
      </c>
      <c r="C144" s="6">
        <v>2</v>
      </c>
    </row>
    <row r="145" spans="1:3">
      <c r="A145" s="5" t="s">
        <v>3951</v>
      </c>
      <c r="B145" s="6">
        <v>216</v>
      </c>
      <c r="C145" s="6">
        <v>1</v>
      </c>
    </row>
    <row r="146" spans="1:3">
      <c r="A146" s="5" t="s">
        <v>3790</v>
      </c>
      <c r="B146" s="6">
        <v>215</v>
      </c>
      <c r="C146" s="6">
        <v>2</v>
      </c>
    </row>
    <row r="147" spans="1:3">
      <c r="A147" s="5" t="s">
        <v>3877</v>
      </c>
      <c r="B147" s="6">
        <v>215</v>
      </c>
      <c r="C147" s="6">
        <v>4</v>
      </c>
    </row>
    <row r="148" spans="1:3">
      <c r="A148" s="5" t="s">
        <v>3820</v>
      </c>
      <c r="B148" s="6">
        <v>210</v>
      </c>
      <c r="C148" s="6">
        <v>3</v>
      </c>
    </row>
    <row r="149" spans="1:3">
      <c r="A149" s="5" t="s">
        <v>3839</v>
      </c>
      <c r="B149" s="6">
        <v>210</v>
      </c>
      <c r="C149" s="6">
        <v>1</v>
      </c>
    </row>
    <row r="150" spans="1:3">
      <c r="A150" s="5" t="s">
        <v>3957</v>
      </c>
      <c r="B150" s="6">
        <v>210</v>
      </c>
      <c r="C150" s="6">
        <v>4</v>
      </c>
    </row>
    <row r="151" spans="1:3">
      <c r="A151" s="5" t="s">
        <v>3804</v>
      </c>
      <c r="B151" s="6">
        <v>200</v>
      </c>
      <c r="C151" s="6">
        <v>1</v>
      </c>
    </row>
    <row r="152" spans="1:3">
      <c r="A152" s="5" t="s">
        <v>3853</v>
      </c>
      <c r="B152" s="6">
        <v>200</v>
      </c>
      <c r="C152" s="6">
        <v>2</v>
      </c>
    </row>
    <row r="153" spans="1:3">
      <c r="A153" s="5" t="s">
        <v>3899</v>
      </c>
      <c r="B153" s="6">
        <v>200</v>
      </c>
      <c r="C153" s="6">
        <v>2</v>
      </c>
    </row>
    <row r="154" spans="1:3">
      <c r="A154" s="5" t="s">
        <v>3920</v>
      </c>
      <c r="B154" s="6">
        <v>200</v>
      </c>
      <c r="C154" s="6">
        <v>1</v>
      </c>
    </row>
    <row r="155" spans="1:3">
      <c r="A155" s="5" t="s">
        <v>3972</v>
      </c>
      <c r="B155" s="6">
        <v>200</v>
      </c>
      <c r="C155" s="6">
        <v>2</v>
      </c>
    </row>
    <row r="156" spans="1:3">
      <c r="A156" s="5" t="s">
        <v>3848</v>
      </c>
      <c r="B156" s="6">
        <v>197</v>
      </c>
      <c r="C156" s="6">
        <v>4</v>
      </c>
    </row>
    <row r="157" spans="1:3">
      <c r="A157" s="5" t="s">
        <v>3884</v>
      </c>
      <c r="B157" s="6">
        <v>197</v>
      </c>
      <c r="C157" s="6">
        <v>2</v>
      </c>
    </row>
    <row r="158" spans="1:3">
      <c r="A158" s="5" t="s">
        <v>3843</v>
      </c>
      <c r="B158" s="6">
        <v>195</v>
      </c>
      <c r="C158" s="6">
        <v>1</v>
      </c>
    </row>
    <row r="159" spans="1:3">
      <c r="A159" s="5" t="s">
        <v>3771</v>
      </c>
      <c r="B159" s="6">
        <v>190</v>
      </c>
      <c r="C159" s="6">
        <v>2</v>
      </c>
    </row>
    <row r="160" spans="1:3">
      <c r="A160" s="5" t="s">
        <v>3795</v>
      </c>
      <c r="B160" s="6">
        <v>189</v>
      </c>
      <c r="C160" s="6">
        <v>1</v>
      </c>
    </row>
    <row r="161" spans="1:3">
      <c r="A161" s="5" t="s">
        <v>3796</v>
      </c>
      <c r="B161" s="6">
        <v>180</v>
      </c>
      <c r="C161" s="6">
        <v>1</v>
      </c>
    </row>
    <row r="162" spans="1:3">
      <c r="A162" s="5" t="s">
        <v>3886</v>
      </c>
      <c r="B162" s="6">
        <v>180</v>
      </c>
      <c r="C162" s="6">
        <v>3</v>
      </c>
    </row>
    <row r="163" spans="1:3">
      <c r="A163" s="5" t="s">
        <v>3911</v>
      </c>
      <c r="B163" s="6">
        <v>178</v>
      </c>
      <c r="C163" s="6">
        <v>1</v>
      </c>
    </row>
    <row r="164" spans="1:3">
      <c r="A164" s="5" t="s">
        <v>3765</v>
      </c>
      <c r="B164" s="6">
        <v>175</v>
      </c>
      <c r="C164" s="6">
        <v>3</v>
      </c>
    </row>
    <row r="165" spans="1:3">
      <c r="A165" s="5" t="s">
        <v>3785</v>
      </c>
      <c r="B165" s="6">
        <v>175</v>
      </c>
      <c r="C165" s="6">
        <v>6</v>
      </c>
    </row>
    <row r="166" spans="1:3">
      <c r="A166" s="5" t="s">
        <v>3908</v>
      </c>
      <c r="B166" s="6">
        <v>175</v>
      </c>
      <c r="C166" s="6">
        <v>1</v>
      </c>
    </row>
    <row r="167" spans="1:3">
      <c r="A167" s="5" t="s">
        <v>3786</v>
      </c>
      <c r="B167" s="6">
        <v>170</v>
      </c>
      <c r="C167" s="6">
        <v>2</v>
      </c>
    </row>
    <row r="168" spans="1:3">
      <c r="A168" s="5" t="s">
        <v>3760</v>
      </c>
      <c r="B168" s="6">
        <v>162.47999999999999</v>
      </c>
      <c r="C168" s="6">
        <v>1</v>
      </c>
    </row>
    <row r="169" spans="1:3">
      <c r="A169" s="5" t="s">
        <v>3862</v>
      </c>
      <c r="B169" s="6">
        <v>155</v>
      </c>
      <c r="C169" s="6">
        <v>3</v>
      </c>
    </row>
    <row r="170" spans="1:3">
      <c r="A170" s="5" t="s">
        <v>3767</v>
      </c>
      <c r="B170" s="6">
        <v>150</v>
      </c>
      <c r="C170" s="6">
        <v>3</v>
      </c>
    </row>
    <row r="171" spans="1:3">
      <c r="A171" s="5" t="s">
        <v>3778</v>
      </c>
      <c r="B171" s="6">
        <v>150</v>
      </c>
      <c r="C171" s="6">
        <v>2</v>
      </c>
    </row>
    <row r="172" spans="1:3">
      <c r="A172" s="5" t="s">
        <v>3791</v>
      </c>
      <c r="B172" s="6">
        <v>150</v>
      </c>
      <c r="C172" s="6">
        <v>1</v>
      </c>
    </row>
    <row r="173" spans="1:3">
      <c r="A173" s="5" t="s">
        <v>3801</v>
      </c>
      <c r="B173" s="6">
        <v>150</v>
      </c>
      <c r="C173" s="6">
        <v>1</v>
      </c>
    </row>
    <row r="174" spans="1:3">
      <c r="A174" s="5" t="s">
        <v>3855</v>
      </c>
      <c r="B174" s="6">
        <v>150</v>
      </c>
      <c r="C174" s="6">
        <v>1</v>
      </c>
    </row>
    <row r="175" spans="1:3">
      <c r="A175" s="5" t="s">
        <v>3861</v>
      </c>
      <c r="B175" s="6">
        <v>150</v>
      </c>
      <c r="C175" s="6">
        <v>2</v>
      </c>
    </row>
    <row r="176" spans="1:3">
      <c r="A176" s="5" t="s">
        <v>3876</v>
      </c>
      <c r="B176" s="6">
        <v>150</v>
      </c>
      <c r="C176" s="6">
        <v>1</v>
      </c>
    </row>
    <row r="177" spans="1:3">
      <c r="A177" s="5" t="s">
        <v>3912</v>
      </c>
      <c r="B177" s="6">
        <v>150</v>
      </c>
      <c r="C177" s="6">
        <v>2</v>
      </c>
    </row>
    <row r="178" spans="1:3">
      <c r="A178" s="5" t="s">
        <v>3930</v>
      </c>
      <c r="B178" s="6">
        <v>150</v>
      </c>
      <c r="C178" s="6">
        <v>1</v>
      </c>
    </row>
    <row r="179" spans="1:3">
      <c r="A179" s="5" t="s">
        <v>3939</v>
      </c>
      <c r="B179" s="6">
        <v>150</v>
      </c>
      <c r="C179" s="6">
        <v>1</v>
      </c>
    </row>
    <row r="180" spans="1:3">
      <c r="A180" s="5" t="s">
        <v>3949</v>
      </c>
      <c r="B180" s="6">
        <v>150</v>
      </c>
      <c r="C180" s="6">
        <v>3</v>
      </c>
    </row>
    <row r="181" spans="1:3">
      <c r="A181" s="5" t="s">
        <v>3962</v>
      </c>
      <c r="B181" s="6">
        <v>150</v>
      </c>
      <c r="C181" s="6">
        <v>1</v>
      </c>
    </row>
    <row r="182" spans="1:3">
      <c r="A182" s="5" t="s">
        <v>3975</v>
      </c>
      <c r="B182" s="6">
        <v>140</v>
      </c>
      <c r="C182" s="6">
        <v>2</v>
      </c>
    </row>
    <row r="183" spans="1:3">
      <c r="A183" s="5" t="s">
        <v>3963</v>
      </c>
      <c r="B183" s="6">
        <v>130</v>
      </c>
      <c r="C183" s="6">
        <v>1</v>
      </c>
    </row>
    <row r="184" spans="1:3">
      <c r="A184" s="5" t="s">
        <v>3781</v>
      </c>
      <c r="B184" s="6">
        <v>125</v>
      </c>
      <c r="C184" s="6">
        <v>1</v>
      </c>
    </row>
    <row r="185" spans="1:3">
      <c r="A185" s="5" t="s">
        <v>3885</v>
      </c>
      <c r="B185" s="6">
        <v>125</v>
      </c>
      <c r="C185" s="6">
        <v>1</v>
      </c>
    </row>
    <row r="186" spans="1:3">
      <c r="A186" s="5" t="s">
        <v>3961</v>
      </c>
      <c r="B186" s="6">
        <v>125</v>
      </c>
      <c r="C186" s="6">
        <v>1</v>
      </c>
    </row>
    <row r="187" spans="1:3">
      <c r="A187" s="5" t="s">
        <v>3974</v>
      </c>
      <c r="B187" s="6">
        <v>125</v>
      </c>
      <c r="C187" s="6">
        <v>1</v>
      </c>
    </row>
    <row r="188" spans="1:3">
      <c r="A188" s="5" t="s">
        <v>3863</v>
      </c>
      <c r="B188" s="6">
        <v>120</v>
      </c>
      <c r="C188" s="6">
        <v>1</v>
      </c>
    </row>
    <row r="189" spans="1:3">
      <c r="A189" s="5" t="s">
        <v>3932</v>
      </c>
      <c r="B189" s="6">
        <v>120</v>
      </c>
      <c r="C189" s="6">
        <v>2</v>
      </c>
    </row>
    <row r="190" spans="1:3">
      <c r="A190" s="5" t="s">
        <v>3919</v>
      </c>
      <c r="B190" s="6">
        <v>110</v>
      </c>
      <c r="C190" s="6">
        <v>1</v>
      </c>
    </row>
    <row r="191" spans="1:3">
      <c r="A191" s="5" t="s">
        <v>3969</v>
      </c>
      <c r="B191" s="6">
        <v>110</v>
      </c>
      <c r="C191" s="6">
        <v>2</v>
      </c>
    </row>
    <row r="192" spans="1:3">
      <c r="A192" s="5" t="s">
        <v>3827</v>
      </c>
      <c r="B192" s="6">
        <v>104</v>
      </c>
      <c r="C192" s="6">
        <v>1</v>
      </c>
    </row>
    <row r="193" spans="1:3">
      <c r="A193" s="5" t="s">
        <v>3759</v>
      </c>
      <c r="B193" s="6">
        <v>100</v>
      </c>
      <c r="C193" s="6">
        <v>2</v>
      </c>
    </row>
    <row r="194" spans="1:3">
      <c r="A194" s="5" t="s">
        <v>3784</v>
      </c>
      <c r="B194" s="6">
        <v>100</v>
      </c>
      <c r="C194" s="6">
        <v>1</v>
      </c>
    </row>
    <row r="195" spans="1:3">
      <c r="A195" s="5" t="s">
        <v>3808</v>
      </c>
      <c r="B195" s="6">
        <v>100</v>
      </c>
      <c r="C195" s="6">
        <v>1</v>
      </c>
    </row>
    <row r="196" spans="1:3">
      <c r="A196" s="5" t="s">
        <v>3814</v>
      </c>
      <c r="B196" s="6">
        <v>100</v>
      </c>
      <c r="C196" s="6">
        <v>1</v>
      </c>
    </row>
    <row r="197" spans="1:3">
      <c r="A197" s="5" t="s">
        <v>3830</v>
      </c>
      <c r="B197" s="6">
        <v>100</v>
      </c>
      <c r="C197" s="6">
        <v>1</v>
      </c>
    </row>
    <row r="198" spans="1:3">
      <c r="A198" s="5" t="s">
        <v>3875</v>
      </c>
      <c r="B198" s="6">
        <v>100</v>
      </c>
      <c r="C198" s="6">
        <v>2</v>
      </c>
    </row>
    <row r="199" spans="1:3">
      <c r="A199" s="5" t="s">
        <v>3901</v>
      </c>
      <c r="B199" s="6">
        <v>100</v>
      </c>
      <c r="C199" s="6">
        <v>1</v>
      </c>
    </row>
    <row r="200" spans="1:3">
      <c r="A200" s="5" t="s">
        <v>3904</v>
      </c>
      <c r="B200" s="6">
        <v>100</v>
      </c>
      <c r="C200" s="6">
        <v>1</v>
      </c>
    </row>
    <row r="201" spans="1:3">
      <c r="A201" s="5" t="s">
        <v>3906</v>
      </c>
      <c r="B201" s="6">
        <v>100</v>
      </c>
      <c r="C201" s="6">
        <v>1</v>
      </c>
    </row>
    <row r="202" spans="1:3">
      <c r="A202" s="5" t="s">
        <v>3918</v>
      </c>
      <c r="B202" s="6">
        <v>100</v>
      </c>
      <c r="C202" s="6">
        <v>1</v>
      </c>
    </row>
    <row r="203" spans="1:3">
      <c r="A203" s="5" t="s">
        <v>3922</v>
      </c>
      <c r="B203" s="6">
        <v>100</v>
      </c>
      <c r="C203" s="6">
        <v>2</v>
      </c>
    </row>
    <row r="204" spans="1:3">
      <c r="A204" s="5" t="s">
        <v>3937</v>
      </c>
      <c r="B204" s="6">
        <v>100</v>
      </c>
      <c r="C204" s="6">
        <v>2</v>
      </c>
    </row>
    <row r="205" spans="1:3">
      <c r="A205" s="5" t="s">
        <v>3965</v>
      </c>
      <c r="B205" s="6">
        <v>100</v>
      </c>
      <c r="C205" s="6">
        <v>1</v>
      </c>
    </row>
    <row r="206" spans="1:3">
      <c r="A206" s="5" t="s">
        <v>3967</v>
      </c>
      <c r="B206" s="6">
        <v>100</v>
      </c>
      <c r="C206" s="6">
        <v>2</v>
      </c>
    </row>
    <row r="207" spans="1:3">
      <c r="A207" s="5" t="s">
        <v>3880</v>
      </c>
      <c r="B207" s="6">
        <v>98</v>
      </c>
      <c r="C207" s="6">
        <v>1</v>
      </c>
    </row>
    <row r="208" spans="1:3">
      <c r="A208" s="5" t="s">
        <v>3817</v>
      </c>
      <c r="B208" s="6">
        <v>95</v>
      </c>
      <c r="C208" s="6">
        <v>2</v>
      </c>
    </row>
    <row r="209" spans="1:3">
      <c r="A209" s="5" t="s">
        <v>3756</v>
      </c>
      <c r="B209" s="6">
        <v>87</v>
      </c>
      <c r="C209" s="6">
        <v>9</v>
      </c>
    </row>
    <row r="210" spans="1:3">
      <c r="A210" s="5" t="s">
        <v>3821</v>
      </c>
      <c r="B210" s="6">
        <v>80</v>
      </c>
      <c r="C210" s="6">
        <v>1</v>
      </c>
    </row>
    <row r="211" spans="1:3">
      <c r="A211" s="5" t="s">
        <v>3792</v>
      </c>
      <c r="B211" s="6">
        <v>79.34</v>
      </c>
      <c r="C211" s="6">
        <v>3</v>
      </c>
    </row>
    <row r="212" spans="1:3">
      <c r="A212" s="5" t="s">
        <v>3960</v>
      </c>
      <c r="B212" s="6">
        <v>77</v>
      </c>
      <c r="C212" s="6">
        <v>3</v>
      </c>
    </row>
    <row r="213" spans="1:3">
      <c r="A213" s="5" t="s">
        <v>3943</v>
      </c>
      <c r="B213" s="6">
        <v>76</v>
      </c>
      <c r="C213" s="6">
        <v>4</v>
      </c>
    </row>
    <row r="214" spans="1:3">
      <c r="A214" s="5" t="s">
        <v>3782</v>
      </c>
      <c r="B214" s="6">
        <v>75</v>
      </c>
      <c r="C214" s="6">
        <v>4</v>
      </c>
    </row>
    <row r="215" spans="1:3">
      <c r="A215" s="5" t="s">
        <v>3789</v>
      </c>
      <c r="B215" s="6">
        <v>75</v>
      </c>
      <c r="C215" s="6">
        <v>1</v>
      </c>
    </row>
    <row r="216" spans="1:3">
      <c r="A216" s="5" t="s">
        <v>3834</v>
      </c>
      <c r="B216" s="6">
        <v>75</v>
      </c>
      <c r="C216" s="6">
        <v>1</v>
      </c>
    </row>
    <row r="217" spans="1:3">
      <c r="A217" s="5" t="s">
        <v>3878</v>
      </c>
      <c r="B217" s="6">
        <v>75</v>
      </c>
      <c r="C217" s="6">
        <v>1</v>
      </c>
    </row>
    <row r="218" spans="1:3">
      <c r="A218" s="5" t="s">
        <v>3890</v>
      </c>
      <c r="B218" s="6">
        <v>75</v>
      </c>
      <c r="C218" s="6">
        <v>1</v>
      </c>
    </row>
    <row r="219" spans="1:3">
      <c r="A219" s="5" t="s">
        <v>3828</v>
      </c>
      <c r="B219" s="6">
        <v>70</v>
      </c>
      <c r="C219" s="6">
        <v>1</v>
      </c>
    </row>
    <row r="220" spans="1:3">
      <c r="A220" s="5" t="s">
        <v>3823</v>
      </c>
      <c r="B220" s="6">
        <v>65</v>
      </c>
      <c r="C220" s="6">
        <v>1</v>
      </c>
    </row>
    <row r="221" spans="1:3">
      <c r="A221" s="5" t="s">
        <v>3838</v>
      </c>
      <c r="B221" s="6">
        <v>55</v>
      </c>
      <c r="C221" s="6">
        <v>1</v>
      </c>
    </row>
    <row r="222" spans="1:3">
      <c r="A222" s="5" t="s">
        <v>3758</v>
      </c>
      <c r="B222" s="6">
        <v>52.9</v>
      </c>
      <c r="C222" s="6">
        <v>3</v>
      </c>
    </row>
    <row r="223" spans="1:3">
      <c r="A223" s="5" t="s">
        <v>3776</v>
      </c>
      <c r="B223" s="6">
        <v>50</v>
      </c>
      <c r="C223" s="6">
        <v>1</v>
      </c>
    </row>
    <row r="224" spans="1:3">
      <c r="A224" s="5" t="s">
        <v>3794</v>
      </c>
      <c r="B224" s="6">
        <v>50</v>
      </c>
      <c r="C224" s="6">
        <v>1</v>
      </c>
    </row>
    <row r="225" spans="1:3">
      <c r="A225" s="5" t="s">
        <v>3797</v>
      </c>
      <c r="B225" s="6">
        <v>50</v>
      </c>
      <c r="C225" s="6">
        <v>1</v>
      </c>
    </row>
    <row r="226" spans="1:3">
      <c r="A226" s="5" t="s">
        <v>3871</v>
      </c>
      <c r="B226" s="6">
        <v>50</v>
      </c>
      <c r="C226" s="6">
        <v>2</v>
      </c>
    </row>
    <row r="227" spans="1:3">
      <c r="A227" s="5" t="s">
        <v>3905</v>
      </c>
      <c r="B227" s="6">
        <v>50</v>
      </c>
      <c r="C227" s="6">
        <v>1</v>
      </c>
    </row>
    <row r="228" spans="1:3">
      <c r="A228" s="5" t="s">
        <v>3770</v>
      </c>
      <c r="B228" s="6">
        <v>35</v>
      </c>
      <c r="C228" s="6">
        <v>1</v>
      </c>
    </row>
    <row r="229" spans="1:3">
      <c r="A229" s="5" t="s">
        <v>3783</v>
      </c>
      <c r="B229" s="6">
        <v>0</v>
      </c>
      <c r="C229" s="6">
        <v>3</v>
      </c>
    </row>
    <row r="230" spans="1:3">
      <c r="A230" s="5" t="s">
        <v>3851</v>
      </c>
      <c r="B230" s="6">
        <v>0</v>
      </c>
      <c r="C230" s="6">
        <v>2</v>
      </c>
    </row>
    <row r="231" spans="1:3">
      <c r="A231" s="5" t="s">
        <v>3927</v>
      </c>
      <c r="B231" s="6">
        <v>0</v>
      </c>
      <c r="C231" s="6">
        <v>1</v>
      </c>
    </row>
    <row r="232" spans="1:3">
      <c r="A232" s="5" t="s">
        <v>3929</v>
      </c>
      <c r="B232" s="6">
        <v>0</v>
      </c>
      <c r="C232" s="6">
        <v>1</v>
      </c>
    </row>
    <row r="233" spans="1:3">
      <c r="A233" s="5" t="s">
        <v>3934</v>
      </c>
      <c r="B233" s="6">
        <v>0</v>
      </c>
      <c r="C233" s="6">
        <v>1</v>
      </c>
    </row>
    <row r="234" spans="1:3">
      <c r="A234" s="5" t="s">
        <v>3941</v>
      </c>
      <c r="B234" s="6">
        <v>0</v>
      </c>
      <c r="C234" s="6">
        <v>2</v>
      </c>
    </row>
    <row r="235" spans="1:3">
      <c r="A235" s="5" t="s">
        <v>3980</v>
      </c>
      <c r="B235" s="6"/>
      <c r="C235" s="6"/>
    </row>
    <row r="236" spans="1:3">
      <c r="A236" s="5" t="s">
        <v>3981</v>
      </c>
      <c r="B236" s="6">
        <v>122946.84999999999</v>
      </c>
      <c r="C236" s="6">
        <v>857</v>
      </c>
    </row>
  </sheetData>
  <sortState ref="A3:C232">
    <sortCondition descending="1" ref="B5"/>
  </sortState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85"/>
  <sheetViews>
    <sheetView workbookViewId="0">
      <selection activeCell="B14" sqref="B14"/>
    </sheetView>
  </sheetViews>
  <sheetFormatPr baseColWidth="10" defaultRowHeight="15" x14ac:dyDescent="0"/>
  <cols>
    <col min="2" max="2" width="23.33203125" customWidth="1"/>
    <col min="5" max="5" width="13.83203125" customWidth="1"/>
    <col min="6" max="6" width="37.33203125" customWidth="1"/>
    <col min="7" max="7" width="32" customWidth="1"/>
  </cols>
  <sheetData>
    <row r="1" spans="1:9">
      <c r="A1" t="s">
        <v>0</v>
      </c>
      <c r="B1" t="s">
        <v>3986</v>
      </c>
      <c r="C1" t="s">
        <v>3989</v>
      </c>
      <c r="D1" t="s">
        <v>3990</v>
      </c>
      <c r="E1" t="s">
        <v>3991</v>
      </c>
      <c r="F1" t="s">
        <v>3992</v>
      </c>
      <c r="G1" t="s">
        <v>3993</v>
      </c>
      <c r="H1" t="s">
        <v>3994</v>
      </c>
    </row>
    <row r="2" spans="1:9">
      <c r="A2">
        <v>0</v>
      </c>
      <c r="B2" t="str">
        <f>TRIM($D2) &amp; " " &amp; TRIM($E2) &amp; " " &amp; TRIM($C2)</f>
        <v>barbara ann zuniga</v>
      </c>
      <c r="C2" t="s">
        <v>1</v>
      </c>
      <c r="D2" t="s">
        <v>2</v>
      </c>
      <c r="E2" t="s">
        <v>3</v>
      </c>
      <c r="F2" t="s">
        <v>3995</v>
      </c>
      <c r="G2" t="s">
        <v>4</v>
      </c>
      <c r="H2" t="s">
        <v>4</v>
      </c>
      <c r="I2" t="str">
        <f>IF(NOT(ISERROR(FIND("judge",F2))),"judge","")</f>
        <v/>
      </c>
    </row>
    <row r="3" spans="1:9">
      <c r="A3">
        <v>1</v>
      </c>
      <c r="B3" t="str">
        <f t="shared" ref="B3:B66" si="0">TRIM($D3) &amp; " " &amp; TRIM($E3) &amp; " " &amp; TRIM($C3)</f>
        <v>patrick john zika</v>
      </c>
      <c r="C3" t="s">
        <v>5</v>
      </c>
      <c r="D3" t="s">
        <v>6</v>
      </c>
      <c r="E3" t="s">
        <v>7</v>
      </c>
      <c r="F3" t="s">
        <v>8</v>
      </c>
      <c r="G3" t="s">
        <v>9</v>
      </c>
      <c r="H3" t="s">
        <v>10</v>
      </c>
      <c r="I3" t="str">
        <f t="shared" ref="I3:I66" si="1">IF(NOT(ISERROR(FIND("judge",F3))),"judge","")</f>
        <v/>
      </c>
    </row>
    <row r="4" spans="1:9">
      <c r="A4">
        <v>2</v>
      </c>
      <c r="B4" t="str">
        <f t="shared" si="0"/>
        <v>carrie ajimura zepeda-madrid</v>
      </c>
      <c r="C4" t="s">
        <v>11</v>
      </c>
      <c r="D4" t="s">
        <v>12</v>
      </c>
      <c r="E4" t="s">
        <v>13</v>
      </c>
      <c r="F4" t="s">
        <v>14</v>
      </c>
      <c r="G4" t="s">
        <v>15</v>
      </c>
      <c r="H4" t="s">
        <v>10</v>
      </c>
      <c r="I4" t="str">
        <f t="shared" si="1"/>
        <v/>
      </c>
    </row>
    <row r="5" spans="1:9">
      <c r="A5">
        <v>3</v>
      </c>
      <c r="B5" t="str">
        <f t="shared" si="0"/>
        <v>laurie dee zelon</v>
      </c>
      <c r="C5" t="s">
        <v>16</v>
      </c>
      <c r="D5" t="s">
        <v>17</v>
      </c>
      <c r="E5" t="s">
        <v>18</v>
      </c>
      <c r="F5" t="s">
        <v>19</v>
      </c>
      <c r="G5" t="s">
        <v>20</v>
      </c>
      <c r="H5" t="s">
        <v>21</v>
      </c>
      <c r="I5" t="str">
        <f t="shared" si="1"/>
        <v/>
      </c>
    </row>
    <row r="6" spans="1:9">
      <c r="A6">
        <v>4</v>
      </c>
      <c r="B6" t="str">
        <f t="shared" si="0"/>
        <v>daniel zeke zeidler</v>
      </c>
      <c r="C6" t="s">
        <v>22</v>
      </c>
      <c r="D6" t="s">
        <v>23</v>
      </c>
      <c r="E6" t="s">
        <v>24</v>
      </c>
      <c r="F6" t="s">
        <v>25</v>
      </c>
      <c r="G6" t="s">
        <v>4</v>
      </c>
      <c r="H6" t="s">
        <v>10</v>
      </c>
      <c r="I6" t="str">
        <f t="shared" si="1"/>
        <v/>
      </c>
    </row>
    <row r="7" spans="1:9">
      <c r="A7">
        <v>5</v>
      </c>
      <c r="B7" t="str">
        <f t="shared" si="0"/>
        <v>thomas david zeff</v>
      </c>
      <c r="C7" t="s">
        <v>26</v>
      </c>
      <c r="D7" t="s">
        <v>27</v>
      </c>
      <c r="E7" t="s">
        <v>28</v>
      </c>
      <c r="F7" t="s">
        <v>29</v>
      </c>
      <c r="G7" t="s">
        <v>4</v>
      </c>
      <c r="H7" t="s">
        <v>10</v>
      </c>
      <c r="I7" t="str">
        <f t="shared" si="1"/>
        <v/>
      </c>
    </row>
    <row r="8" spans="1:9">
      <c r="A8">
        <v>6</v>
      </c>
      <c r="B8" t="str">
        <f t="shared" si="0"/>
        <v>vanessa ann zecher</v>
      </c>
      <c r="C8" t="s">
        <v>30</v>
      </c>
      <c r="D8" t="s">
        <v>31</v>
      </c>
      <c r="E8" t="s">
        <v>3</v>
      </c>
      <c r="F8" t="s">
        <v>32</v>
      </c>
      <c r="G8" t="s">
        <v>4</v>
      </c>
      <c r="H8" t="s">
        <v>10</v>
      </c>
      <c r="I8" t="str">
        <f t="shared" si="1"/>
        <v/>
      </c>
    </row>
    <row r="9" spans="1:9">
      <c r="A9">
        <v>7</v>
      </c>
      <c r="B9" t="str">
        <f t="shared" si="0"/>
        <v>theodore charles zayner</v>
      </c>
      <c r="C9" t="s">
        <v>33</v>
      </c>
      <c r="D9" t="s">
        <v>34</v>
      </c>
      <c r="E9" t="s">
        <v>35</v>
      </c>
      <c r="F9" t="s">
        <v>14</v>
      </c>
      <c r="G9" t="s">
        <v>4</v>
      </c>
      <c r="H9" t="s">
        <v>36</v>
      </c>
      <c r="I9" t="str">
        <f t="shared" si="1"/>
        <v/>
      </c>
    </row>
    <row r="10" spans="1:9">
      <c r="A10">
        <v>8</v>
      </c>
      <c r="B10" t="str">
        <f t="shared" si="0"/>
        <v>hayden a zacky</v>
      </c>
      <c r="C10" t="s">
        <v>37</v>
      </c>
      <c r="D10" t="s">
        <v>38</v>
      </c>
      <c r="E10" t="s">
        <v>39</v>
      </c>
      <c r="F10" t="s">
        <v>32</v>
      </c>
      <c r="G10" t="s">
        <v>40</v>
      </c>
      <c r="H10" t="s">
        <v>4</v>
      </c>
      <c r="I10" t="str">
        <f t="shared" si="1"/>
        <v/>
      </c>
    </row>
    <row r="11" spans="1:9">
      <c r="A11">
        <v>9</v>
      </c>
      <c r="B11" t="str">
        <f t="shared" si="0"/>
        <v>geanene marie yriarte</v>
      </c>
      <c r="C11" t="s">
        <v>41</v>
      </c>
      <c r="D11" t="s">
        <v>42</v>
      </c>
      <c r="E11" t="s">
        <v>43</v>
      </c>
      <c r="F11" t="s">
        <v>1749</v>
      </c>
      <c r="G11" t="s">
        <v>4</v>
      </c>
      <c r="H11" t="s">
        <v>4</v>
      </c>
      <c r="I11" t="str">
        <f t="shared" si="1"/>
        <v/>
      </c>
    </row>
    <row r="12" spans="1:9">
      <c r="A12">
        <v>10</v>
      </c>
      <c r="B12" t="str">
        <f t="shared" si="0"/>
        <v>mark a young</v>
      </c>
      <c r="C12" t="s">
        <v>44</v>
      </c>
      <c r="D12" t="s">
        <v>45</v>
      </c>
      <c r="E12" t="s">
        <v>39</v>
      </c>
      <c r="F12" t="s">
        <v>46</v>
      </c>
      <c r="G12" t="s">
        <v>4</v>
      </c>
      <c r="H12" t="s">
        <v>10</v>
      </c>
      <c r="I12" t="str">
        <f t="shared" si="1"/>
        <v/>
      </c>
    </row>
    <row r="13" spans="1:9">
      <c r="A13">
        <v>11</v>
      </c>
      <c r="B13" t="str">
        <f t="shared" si="0"/>
        <v>bruce alan young</v>
      </c>
      <c r="C13" t="s">
        <v>44</v>
      </c>
      <c r="D13" t="s">
        <v>47</v>
      </c>
      <c r="E13" t="s">
        <v>48</v>
      </c>
      <c r="F13" t="s">
        <v>49</v>
      </c>
      <c r="G13" t="s">
        <v>50</v>
      </c>
      <c r="H13" t="s">
        <v>10</v>
      </c>
      <c r="I13" t="str">
        <f t="shared" si="1"/>
        <v/>
      </c>
    </row>
    <row r="14" spans="1:9">
      <c r="A14">
        <v>12</v>
      </c>
      <c r="B14" t="str">
        <f t="shared" si="0"/>
        <v>erica r yew</v>
      </c>
      <c r="C14" t="s">
        <v>51</v>
      </c>
      <c r="D14" t="s">
        <v>52</v>
      </c>
      <c r="E14" t="s">
        <v>53</v>
      </c>
      <c r="F14" t="s">
        <v>54</v>
      </c>
      <c r="G14" t="s">
        <v>55</v>
      </c>
      <c r="H14" t="s">
        <v>10</v>
      </c>
      <c r="I14" t="str">
        <f t="shared" si="1"/>
        <v/>
      </c>
    </row>
    <row r="15" spans="1:9">
      <c r="A15">
        <v>13</v>
      </c>
      <c r="B15" t="str">
        <f t="shared" si="0"/>
        <v>brian  yep</v>
      </c>
      <c r="C15" t="s">
        <v>56</v>
      </c>
      <c r="D15" t="s">
        <v>57</v>
      </c>
      <c r="E15" t="s">
        <v>4</v>
      </c>
      <c r="F15" t="s">
        <v>3996</v>
      </c>
      <c r="G15" t="s">
        <v>58</v>
      </c>
      <c r="H15" t="s">
        <v>4</v>
      </c>
      <c r="I15" t="str">
        <f t="shared" si="1"/>
        <v/>
      </c>
    </row>
    <row r="16" spans="1:9">
      <c r="A16">
        <v>14</v>
      </c>
      <c r="B16" t="str">
        <f t="shared" si="0"/>
        <v>kenneth joseph a. lane yegan</v>
      </c>
      <c r="C16" t="s">
        <v>59</v>
      </c>
      <c r="D16" t="s">
        <v>60</v>
      </c>
      <c r="E16" t="s">
        <v>61</v>
      </c>
      <c r="F16" t="s">
        <v>19</v>
      </c>
      <c r="G16" t="s">
        <v>62</v>
      </c>
      <c r="H16" t="s">
        <v>21</v>
      </c>
      <c r="I16" t="str">
        <f t="shared" si="1"/>
        <v/>
      </c>
    </row>
    <row r="17" spans="1:9">
      <c r="A17">
        <v>15</v>
      </c>
      <c r="B17" t="str">
        <f t="shared" si="0"/>
        <v>christopher w. yeager</v>
      </c>
      <c r="C17" t="s">
        <v>63</v>
      </c>
      <c r="D17" t="s">
        <v>64</v>
      </c>
      <c r="E17" t="s">
        <v>65</v>
      </c>
      <c r="F17" t="s">
        <v>32</v>
      </c>
      <c r="G17" t="s">
        <v>66</v>
      </c>
      <c r="H17" t="s">
        <v>10</v>
      </c>
      <c r="I17" t="str">
        <f t="shared" si="1"/>
        <v/>
      </c>
    </row>
    <row r="18" spans="1:9">
      <c r="A18">
        <v>16</v>
      </c>
      <c r="B18" t="str">
        <f t="shared" si="0"/>
        <v>carol coates yaggy</v>
      </c>
      <c r="C18" t="s">
        <v>67</v>
      </c>
      <c r="D18" t="s">
        <v>68</v>
      </c>
      <c r="E18" t="s">
        <v>69</v>
      </c>
      <c r="F18" t="s">
        <v>49</v>
      </c>
      <c r="G18" t="s">
        <v>70</v>
      </c>
      <c r="H18" t="s">
        <v>10</v>
      </c>
      <c r="I18" t="str">
        <f t="shared" si="1"/>
        <v/>
      </c>
    </row>
    <row r="19" spans="1:9">
      <c r="A19">
        <v>17</v>
      </c>
      <c r="B19" t="str">
        <f t="shared" si="0"/>
        <v>robert glenn yabuno</v>
      </c>
      <c r="C19" t="s">
        <v>71</v>
      </c>
      <c r="D19" t="s">
        <v>72</v>
      </c>
      <c r="E19" t="s">
        <v>73</v>
      </c>
      <c r="F19" t="s">
        <v>74</v>
      </c>
      <c r="G19" t="s">
        <v>4</v>
      </c>
      <c r="H19" t="s">
        <v>10</v>
      </c>
      <c r="I19" t="str">
        <f t="shared" si="1"/>
        <v/>
      </c>
    </row>
    <row r="20" spans="1:9">
      <c r="A20">
        <v>18</v>
      </c>
      <c r="B20" t="str">
        <f t="shared" si="0"/>
        <v>victor l wright</v>
      </c>
      <c r="C20" t="s">
        <v>75</v>
      </c>
      <c r="D20" t="s">
        <v>76</v>
      </c>
      <c r="E20" t="s">
        <v>77</v>
      </c>
      <c r="F20" t="s">
        <v>25</v>
      </c>
      <c r="G20" t="s">
        <v>78</v>
      </c>
      <c r="H20" t="s">
        <v>10</v>
      </c>
      <c r="I20" t="str">
        <f t="shared" si="1"/>
        <v/>
      </c>
    </row>
    <row r="21" spans="1:9">
      <c r="A21">
        <v>19</v>
      </c>
      <c r="B21" t="str">
        <f t="shared" si="0"/>
        <v>ryan joseph wright</v>
      </c>
      <c r="C21" t="s">
        <v>75</v>
      </c>
      <c r="D21" t="s">
        <v>79</v>
      </c>
      <c r="E21" t="s">
        <v>80</v>
      </c>
      <c r="F21" t="s">
        <v>32</v>
      </c>
      <c r="G21" t="s">
        <v>81</v>
      </c>
      <c r="H21" t="s">
        <v>10</v>
      </c>
      <c r="I21" t="str">
        <f t="shared" si="1"/>
        <v/>
      </c>
    </row>
    <row r="22" spans="1:9">
      <c r="A22">
        <v>20</v>
      </c>
      <c r="B22" t="str">
        <f t="shared" si="0"/>
        <v>david robert worley</v>
      </c>
      <c r="C22" t="s">
        <v>82</v>
      </c>
      <c r="D22" t="s">
        <v>28</v>
      </c>
      <c r="E22" t="s">
        <v>72</v>
      </c>
      <c r="F22" t="s">
        <v>83</v>
      </c>
      <c r="G22" t="s">
        <v>84</v>
      </c>
      <c r="H22" t="s">
        <v>10</v>
      </c>
      <c r="I22" t="str">
        <f t="shared" si="1"/>
        <v/>
      </c>
    </row>
    <row r="23" spans="1:9">
      <c r="A23">
        <v>21</v>
      </c>
      <c r="B23" t="str">
        <f t="shared" si="0"/>
        <v>charlotte walter woolard</v>
      </c>
      <c r="C23" t="s">
        <v>85</v>
      </c>
      <c r="D23" t="s">
        <v>86</v>
      </c>
      <c r="E23" t="s">
        <v>87</v>
      </c>
      <c r="F23" t="s">
        <v>88</v>
      </c>
      <c r="G23" t="s">
        <v>4</v>
      </c>
      <c r="H23" t="s">
        <v>10</v>
      </c>
      <c r="I23" t="str">
        <f t="shared" si="1"/>
        <v/>
      </c>
    </row>
    <row r="24" spans="1:9">
      <c r="A24">
        <v>22</v>
      </c>
      <c r="B24" t="str">
        <f t="shared" si="0"/>
        <v>james p. woodward</v>
      </c>
      <c r="C24" t="s">
        <v>89</v>
      </c>
      <c r="D24" t="s">
        <v>90</v>
      </c>
      <c r="E24" t="s">
        <v>91</v>
      </c>
      <c r="F24" t="s">
        <v>92</v>
      </c>
      <c r="G24" t="s">
        <v>4</v>
      </c>
      <c r="H24" t="s">
        <v>10</v>
      </c>
      <c r="I24" t="str">
        <f t="shared" si="1"/>
        <v/>
      </c>
    </row>
    <row r="25" spans="1:9">
      <c r="A25">
        <v>23</v>
      </c>
      <c r="B25" t="str">
        <f t="shared" si="0"/>
        <v>cory j. woodward</v>
      </c>
      <c r="C25" t="s">
        <v>89</v>
      </c>
      <c r="D25" t="s">
        <v>93</v>
      </c>
      <c r="E25" t="s">
        <v>94</v>
      </c>
      <c r="F25" t="s">
        <v>32</v>
      </c>
      <c r="G25" t="s">
        <v>95</v>
      </c>
      <c r="H25" t="s">
        <v>10</v>
      </c>
      <c r="I25" t="str">
        <f t="shared" si="1"/>
        <v/>
      </c>
    </row>
    <row r="26" spans="1:9">
      <c r="A26">
        <v>24</v>
      </c>
      <c r="B26" t="str">
        <f t="shared" si="0"/>
        <v>norvell frederick (fred) woods jr.</v>
      </c>
      <c r="C26" t="s">
        <v>96</v>
      </c>
      <c r="D26" t="s">
        <v>97</v>
      </c>
      <c r="E26" t="s">
        <v>98</v>
      </c>
      <c r="F26" t="s">
        <v>19</v>
      </c>
      <c r="G26" t="s">
        <v>20</v>
      </c>
      <c r="H26" t="s">
        <v>21</v>
      </c>
      <c r="I26" t="str">
        <f t="shared" si="1"/>
        <v/>
      </c>
    </row>
    <row r="27" spans="1:9">
      <c r="A27">
        <v>25</v>
      </c>
      <c r="B27" t="str">
        <f t="shared" si="0"/>
        <v>margie  woods</v>
      </c>
      <c r="C27" t="s">
        <v>99</v>
      </c>
      <c r="D27" t="s">
        <v>100</v>
      </c>
      <c r="E27" t="s">
        <v>4</v>
      </c>
      <c r="F27" t="s">
        <v>101</v>
      </c>
      <c r="G27" t="s">
        <v>102</v>
      </c>
      <c r="H27" t="s">
        <v>103</v>
      </c>
      <c r="I27" t="str">
        <f t="shared" si="1"/>
        <v/>
      </c>
    </row>
    <row r="28" spans="1:9">
      <c r="A28">
        <v>26</v>
      </c>
      <c r="B28" t="str">
        <f t="shared" si="0"/>
        <v xml:space="preserve"> derek woodhouse</v>
      </c>
      <c r="C28" t="s">
        <v>104</v>
      </c>
      <c r="D28" t="s">
        <v>4</v>
      </c>
      <c r="E28" t="s">
        <v>105</v>
      </c>
      <c r="F28" t="s">
        <v>106</v>
      </c>
      <c r="G28" t="s">
        <v>4</v>
      </c>
      <c r="H28" t="s">
        <v>4</v>
      </c>
      <c r="I28" t="str">
        <f t="shared" si="1"/>
        <v/>
      </c>
    </row>
    <row r="29" spans="1:9">
      <c r="A29">
        <v>27</v>
      </c>
      <c r="B29" t="str">
        <f t="shared" si="0"/>
        <v>gerrit wardell wood</v>
      </c>
      <c r="C29" t="s">
        <v>107</v>
      </c>
      <c r="D29" t="s">
        <v>108</v>
      </c>
      <c r="E29" t="s">
        <v>109</v>
      </c>
      <c r="F29" t="s">
        <v>110</v>
      </c>
      <c r="G29" t="s">
        <v>4</v>
      </c>
      <c r="H29" t="s">
        <v>10</v>
      </c>
      <c r="I29" t="str">
        <f t="shared" si="1"/>
        <v/>
      </c>
    </row>
    <row r="30" spans="1:9">
      <c r="A30">
        <v>28</v>
      </c>
      <c r="B30" t="str">
        <f t="shared" si="0"/>
        <v>garrett lee wong</v>
      </c>
      <c r="C30" t="s">
        <v>111</v>
      </c>
      <c r="D30" t="s">
        <v>112</v>
      </c>
      <c r="E30" t="s">
        <v>113</v>
      </c>
      <c r="F30" t="s">
        <v>114</v>
      </c>
      <c r="G30" t="s">
        <v>4</v>
      </c>
      <c r="H30" t="s">
        <v>10</v>
      </c>
      <c r="I30" t="str">
        <f t="shared" si="1"/>
        <v/>
      </c>
    </row>
    <row r="31" spans="1:9">
      <c r="A31">
        <v>29</v>
      </c>
      <c r="B31" t="str">
        <f t="shared" si="0"/>
        <v>albert john wojcik</v>
      </c>
      <c r="C31" t="s">
        <v>115</v>
      </c>
      <c r="D31" t="s">
        <v>116</v>
      </c>
      <c r="E31" t="s">
        <v>7</v>
      </c>
      <c r="F31" t="s">
        <v>117</v>
      </c>
      <c r="G31" t="s">
        <v>118</v>
      </c>
      <c r="H31" t="s">
        <v>10</v>
      </c>
      <c r="I31" t="str">
        <f t="shared" si="1"/>
        <v/>
      </c>
    </row>
    <row r="32" spans="1:9">
      <c r="A32">
        <v>30</v>
      </c>
      <c r="B32" t="str">
        <f t="shared" si="0"/>
        <v>joel robin wohlfeil</v>
      </c>
      <c r="C32" t="s">
        <v>119</v>
      </c>
      <c r="D32" t="s">
        <v>120</v>
      </c>
      <c r="E32" t="s">
        <v>121</v>
      </c>
      <c r="F32" t="s">
        <v>101</v>
      </c>
      <c r="G32" t="s">
        <v>102</v>
      </c>
      <c r="H32" t="s">
        <v>103</v>
      </c>
      <c r="I32" t="str">
        <f t="shared" si="1"/>
        <v/>
      </c>
    </row>
    <row r="33" spans="1:9">
      <c r="A33">
        <v>31</v>
      </c>
      <c r="B33" t="str">
        <f t="shared" si="0"/>
        <v>gary ralph witt</v>
      </c>
      <c r="C33" t="s">
        <v>122</v>
      </c>
      <c r="D33" t="s">
        <v>123</v>
      </c>
      <c r="E33" t="s">
        <v>124</v>
      </c>
      <c r="F33" t="s">
        <v>32</v>
      </c>
      <c r="G33" t="s">
        <v>95</v>
      </c>
      <c r="H33" t="s">
        <v>10</v>
      </c>
      <c r="I33" t="str">
        <f t="shared" si="1"/>
        <v/>
      </c>
    </row>
    <row r="34" spans="1:9">
      <c r="A34">
        <v>32</v>
      </c>
      <c r="B34" t="str">
        <f t="shared" si="0"/>
        <v>mary e. wiss</v>
      </c>
      <c r="C34" t="s">
        <v>125</v>
      </c>
      <c r="D34" t="s">
        <v>126</v>
      </c>
      <c r="E34" t="s">
        <v>127</v>
      </c>
      <c r="F34" t="s">
        <v>88</v>
      </c>
      <c r="G34" t="s">
        <v>4</v>
      </c>
      <c r="H34" t="s">
        <v>4</v>
      </c>
      <c r="I34" t="str">
        <f t="shared" si="1"/>
        <v/>
      </c>
    </row>
    <row r="35" spans="1:9">
      <c r="A35">
        <v>33</v>
      </c>
      <c r="B35" t="str">
        <f t="shared" si="0"/>
        <v>rebecca ann wiseman</v>
      </c>
      <c r="C35" t="s">
        <v>128</v>
      </c>
      <c r="D35" t="s">
        <v>129</v>
      </c>
      <c r="E35" t="s">
        <v>3</v>
      </c>
      <c r="F35" t="s">
        <v>130</v>
      </c>
      <c r="G35" t="s">
        <v>4</v>
      </c>
      <c r="H35" t="s">
        <v>4</v>
      </c>
      <c r="I35" t="str">
        <f t="shared" si="1"/>
        <v/>
      </c>
    </row>
    <row r="36" spans="1:9">
      <c r="A36">
        <v>34</v>
      </c>
      <c r="B36" t="str">
        <f t="shared" si="0"/>
        <v>john patrick winn</v>
      </c>
      <c r="C36" t="s">
        <v>131</v>
      </c>
      <c r="D36" t="s">
        <v>7</v>
      </c>
      <c r="E36" t="s">
        <v>6</v>
      </c>
      <c r="F36" t="s">
        <v>32</v>
      </c>
      <c r="G36" t="s">
        <v>132</v>
      </c>
      <c r="H36" t="s">
        <v>10</v>
      </c>
      <c r="I36" t="str">
        <f t="shared" si="1"/>
        <v/>
      </c>
    </row>
    <row r="37" spans="1:9">
      <c r="A37">
        <v>35</v>
      </c>
      <c r="B37" t="str">
        <f t="shared" si="0"/>
        <v>mark e windham</v>
      </c>
      <c r="C37" t="s">
        <v>133</v>
      </c>
      <c r="D37" t="s">
        <v>45</v>
      </c>
      <c r="E37" t="s">
        <v>134</v>
      </c>
      <c r="F37" t="s">
        <v>49</v>
      </c>
      <c r="G37" t="s">
        <v>135</v>
      </c>
      <c r="H37" t="s">
        <v>10</v>
      </c>
      <c r="I37" t="str">
        <f t="shared" si="1"/>
        <v/>
      </c>
    </row>
    <row r="38" spans="1:9">
      <c r="A38">
        <v>36</v>
      </c>
      <c r="B38" t="str">
        <f t="shared" si="0"/>
        <v>peter john wilson</v>
      </c>
      <c r="C38" t="s">
        <v>136</v>
      </c>
      <c r="D38" t="s">
        <v>336</v>
      </c>
      <c r="E38" t="s">
        <v>7</v>
      </c>
      <c r="F38" t="s">
        <v>137</v>
      </c>
      <c r="G38" t="s">
        <v>4</v>
      </c>
      <c r="H38" t="s">
        <v>36</v>
      </c>
      <c r="I38" t="str">
        <f t="shared" si="1"/>
        <v/>
      </c>
    </row>
    <row r="39" spans="1:9">
      <c r="A39">
        <v>37</v>
      </c>
      <c r="B39" t="str">
        <f t="shared" si="0"/>
        <v>harold t wilson jr.</v>
      </c>
      <c r="C39" t="s">
        <v>138</v>
      </c>
      <c r="D39" t="s">
        <v>139</v>
      </c>
      <c r="E39" t="s">
        <v>140</v>
      </c>
      <c r="F39" t="s">
        <v>32</v>
      </c>
      <c r="G39" t="s">
        <v>141</v>
      </c>
      <c r="H39" t="s">
        <v>36</v>
      </c>
      <c r="I39" t="str">
        <f t="shared" si="1"/>
        <v/>
      </c>
    </row>
    <row r="40" spans="1:9">
      <c r="A40">
        <v>38</v>
      </c>
      <c r="B40" t="str">
        <f t="shared" si="0"/>
        <v>christopher guy wilson</v>
      </c>
      <c r="C40" t="s">
        <v>136</v>
      </c>
      <c r="D40" t="s">
        <v>64</v>
      </c>
      <c r="E40" t="s">
        <v>142</v>
      </c>
      <c r="F40" t="s">
        <v>143</v>
      </c>
      <c r="G40" t="s">
        <v>4</v>
      </c>
      <c r="H40" t="s">
        <v>4</v>
      </c>
      <c r="I40" t="str">
        <f t="shared" si="1"/>
        <v/>
      </c>
    </row>
    <row r="41" spans="1:9">
      <c r="A41">
        <v>39</v>
      </c>
      <c r="B41" t="str">
        <f t="shared" si="0"/>
        <v>thomas warren wills</v>
      </c>
      <c r="C41" t="s">
        <v>144</v>
      </c>
      <c r="D41" t="s">
        <v>27</v>
      </c>
      <c r="E41" t="s">
        <v>145</v>
      </c>
      <c r="F41" t="s">
        <v>146</v>
      </c>
      <c r="G41" t="s">
        <v>4</v>
      </c>
      <c r="H41" t="s">
        <v>36</v>
      </c>
      <c r="I41" t="str">
        <f t="shared" si="1"/>
        <v/>
      </c>
    </row>
    <row r="42" spans="1:9">
      <c r="A42">
        <v>40</v>
      </c>
      <c r="B42" t="str">
        <f t="shared" si="0"/>
        <v>browder a willis</v>
      </c>
      <c r="C42" t="s">
        <v>147</v>
      </c>
      <c r="D42" t="s">
        <v>148</v>
      </c>
      <c r="E42" t="s">
        <v>39</v>
      </c>
      <c r="F42" t="s">
        <v>101</v>
      </c>
      <c r="G42" t="s">
        <v>102</v>
      </c>
      <c r="H42" t="s">
        <v>103</v>
      </c>
      <c r="I42" t="str">
        <f t="shared" si="1"/>
        <v/>
      </c>
    </row>
    <row r="43" spans="1:9">
      <c r="A43">
        <v>41</v>
      </c>
      <c r="B43" t="str">
        <f t="shared" si="0"/>
        <v>david anthony williams</v>
      </c>
      <c r="C43" t="s">
        <v>149</v>
      </c>
      <c r="D43" t="s">
        <v>28</v>
      </c>
      <c r="E43" t="s">
        <v>150</v>
      </c>
      <c r="F43" t="s">
        <v>49</v>
      </c>
      <c r="G43" t="s">
        <v>151</v>
      </c>
      <c r="H43" t="s">
        <v>10</v>
      </c>
      <c r="I43" t="str">
        <f t="shared" si="1"/>
        <v/>
      </c>
    </row>
    <row r="44" spans="1:9">
      <c r="A44">
        <v>42</v>
      </c>
      <c r="B44" t="str">
        <f t="shared" si="0"/>
        <v>thomas lyle willhite</v>
      </c>
      <c r="C44" t="s">
        <v>152</v>
      </c>
      <c r="D44" t="s">
        <v>27</v>
      </c>
      <c r="E44" t="s">
        <v>153</v>
      </c>
      <c r="F44" t="s">
        <v>19</v>
      </c>
      <c r="G44" t="s">
        <v>20</v>
      </c>
      <c r="H44" t="s">
        <v>21</v>
      </c>
      <c r="I44" t="str">
        <f t="shared" si="1"/>
        <v/>
      </c>
    </row>
    <row r="45" spans="1:9">
      <c r="A45">
        <v>43</v>
      </c>
      <c r="B45" t="str">
        <f t="shared" si="0"/>
        <v>william g. willett</v>
      </c>
      <c r="C45" t="s">
        <v>154</v>
      </c>
      <c r="D45" t="s">
        <v>155</v>
      </c>
      <c r="E45" t="s">
        <v>156</v>
      </c>
      <c r="F45" t="s">
        <v>25</v>
      </c>
      <c r="G45" t="s">
        <v>4</v>
      </c>
      <c r="H45" t="s">
        <v>4</v>
      </c>
      <c r="I45" t="str">
        <f t="shared" si="1"/>
        <v/>
      </c>
    </row>
    <row r="46" spans="1:9">
      <c r="A46">
        <v>44</v>
      </c>
      <c r="B46" t="str">
        <f t="shared" si="0"/>
        <v>robert edwin willett</v>
      </c>
      <c r="C46" t="s">
        <v>154</v>
      </c>
      <c r="D46" t="s">
        <v>72</v>
      </c>
      <c r="E46" t="s">
        <v>157</v>
      </c>
      <c r="F46" t="s">
        <v>49</v>
      </c>
      <c r="G46" t="s">
        <v>158</v>
      </c>
      <c r="H46" t="s">
        <v>10</v>
      </c>
      <c r="I46" t="str">
        <f t="shared" si="1"/>
        <v/>
      </c>
    </row>
    <row r="47" spans="1:9">
      <c r="A47">
        <v>45</v>
      </c>
      <c r="B47" t="str">
        <f t="shared" si="0"/>
        <v>monica f. wiley</v>
      </c>
      <c r="C47" t="s">
        <v>159</v>
      </c>
      <c r="D47" t="s">
        <v>160</v>
      </c>
      <c r="E47" t="s">
        <v>161</v>
      </c>
      <c r="F47" t="s">
        <v>88</v>
      </c>
      <c r="G47" t="s">
        <v>102</v>
      </c>
      <c r="H47" t="s">
        <v>36</v>
      </c>
      <c r="I47" t="str">
        <f t="shared" si="1"/>
        <v/>
      </c>
    </row>
    <row r="48" spans="1:9">
      <c r="A48">
        <v>46</v>
      </c>
      <c r="B48" t="str">
        <f t="shared" si="0"/>
        <v>john shepard wiley</v>
      </c>
      <c r="C48" t="s">
        <v>159</v>
      </c>
      <c r="D48" t="s">
        <v>7</v>
      </c>
      <c r="E48" t="s">
        <v>162</v>
      </c>
      <c r="F48" t="s">
        <v>25</v>
      </c>
      <c r="G48" t="s">
        <v>4</v>
      </c>
      <c r="H48" t="s">
        <v>10</v>
      </c>
      <c r="I48" t="str">
        <f t="shared" si="1"/>
        <v/>
      </c>
    </row>
    <row r="49" spans="1:9">
      <c r="A49">
        <v>47</v>
      </c>
      <c r="B49" t="str">
        <f t="shared" si="0"/>
        <v>charles albert wieland</v>
      </c>
      <c r="C49" t="s">
        <v>163</v>
      </c>
      <c r="D49" t="s">
        <v>35</v>
      </c>
      <c r="E49" t="s">
        <v>116</v>
      </c>
      <c r="F49" t="s">
        <v>164</v>
      </c>
      <c r="G49">
        <v>8</v>
      </c>
      <c r="H49" t="s">
        <v>10</v>
      </c>
      <c r="I49" t="str">
        <f t="shared" si="1"/>
        <v/>
      </c>
    </row>
    <row r="50" spans="1:9">
      <c r="A50">
        <v>48</v>
      </c>
      <c r="B50" t="str">
        <f t="shared" si="0"/>
        <v>melissa noel widdifield</v>
      </c>
      <c r="C50" t="s">
        <v>165</v>
      </c>
      <c r="D50" t="s">
        <v>166</v>
      </c>
      <c r="E50" t="s">
        <v>167</v>
      </c>
      <c r="F50" t="s">
        <v>1749</v>
      </c>
      <c r="G50" t="s">
        <v>4</v>
      </c>
      <c r="H50" t="s">
        <v>4</v>
      </c>
      <c r="I50" t="str">
        <f t="shared" si="1"/>
        <v/>
      </c>
    </row>
    <row r="51" spans="1:9">
      <c r="A51">
        <v>49</v>
      </c>
      <c r="B51" t="str">
        <f t="shared" si="0"/>
        <v>arthur andrew wick</v>
      </c>
      <c r="C51" t="s">
        <v>168</v>
      </c>
      <c r="D51" t="s">
        <v>169</v>
      </c>
      <c r="E51" t="s">
        <v>170</v>
      </c>
      <c r="F51" t="s">
        <v>32</v>
      </c>
      <c r="G51" t="s">
        <v>171</v>
      </c>
      <c r="H51" t="s">
        <v>10</v>
      </c>
      <c r="I51" t="str">
        <f t="shared" si="1"/>
        <v/>
      </c>
    </row>
    <row r="52" spans="1:9">
      <c r="A52">
        <v>50</v>
      </c>
      <c r="B52" t="str">
        <f t="shared" si="0"/>
        <v>richard s. whitney</v>
      </c>
      <c r="C52" t="s">
        <v>172</v>
      </c>
      <c r="D52" t="s">
        <v>173</v>
      </c>
      <c r="E52" t="s">
        <v>174</v>
      </c>
      <c r="F52" t="s">
        <v>101</v>
      </c>
      <c r="G52" t="s">
        <v>102</v>
      </c>
      <c r="H52" t="s">
        <v>103</v>
      </c>
      <c r="I52" t="str">
        <f t="shared" si="1"/>
        <v/>
      </c>
    </row>
    <row r="53" spans="1:9">
      <c r="A53">
        <v>51</v>
      </c>
      <c r="B53" t="str">
        <f t="shared" si="0"/>
        <v xml:space="preserve">  whitleymarshall ivan</v>
      </c>
      <c r="C53" t="s">
        <v>175</v>
      </c>
      <c r="D53" t="s">
        <v>4</v>
      </c>
      <c r="E53" t="s">
        <v>4</v>
      </c>
      <c r="F53" t="s">
        <v>32</v>
      </c>
      <c r="G53" t="s">
        <v>176</v>
      </c>
      <c r="H53" t="s">
        <v>10</v>
      </c>
      <c r="I53" t="str">
        <f t="shared" si="1"/>
        <v/>
      </c>
    </row>
    <row r="54" spans="1:9">
      <c r="A54">
        <v>52</v>
      </c>
      <c r="B54" t="str">
        <f t="shared" si="0"/>
        <v>denise lee whitehead</v>
      </c>
      <c r="C54" t="s">
        <v>177</v>
      </c>
      <c r="D54" t="s">
        <v>178</v>
      </c>
      <c r="E54" t="s">
        <v>113</v>
      </c>
      <c r="F54" t="s">
        <v>179</v>
      </c>
      <c r="G54" t="s">
        <v>4</v>
      </c>
      <c r="H54" t="s">
        <v>36</v>
      </c>
      <c r="I54" t="str">
        <f t="shared" si="1"/>
        <v/>
      </c>
    </row>
    <row r="55" spans="1:9">
      <c r="A55">
        <v>53</v>
      </c>
      <c r="B55" t="str">
        <f t="shared" si="0"/>
        <v>trevor s white</v>
      </c>
      <c r="C55" t="s">
        <v>180</v>
      </c>
      <c r="D55" t="s">
        <v>181</v>
      </c>
      <c r="E55" t="s">
        <v>182</v>
      </c>
      <c r="F55" t="s">
        <v>3997</v>
      </c>
      <c r="G55" t="s">
        <v>4</v>
      </c>
      <c r="H55" t="s">
        <v>4</v>
      </c>
      <c r="I55" t="str">
        <f t="shared" si="1"/>
        <v/>
      </c>
    </row>
    <row r="56" spans="1:9">
      <c r="A56">
        <v>54</v>
      </c>
      <c r="B56" t="str">
        <f t="shared" si="0"/>
        <v>thomas r white</v>
      </c>
      <c r="C56" t="s">
        <v>180</v>
      </c>
      <c r="D56" t="s">
        <v>27</v>
      </c>
      <c r="E56" t="s">
        <v>53</v>
      </c>
      <c r="F56" t="s">
        <v>46</v>
      </c>
      <c r="G56" t="s">
        <v>4</v>
      </c>
      <c r="H56" t="s">
        <v>10</v>
      </c>
      <c r="I56" t="str">
        <f t="shared" si="1"/>
        <v/>
      </c>
    </row>
    <row r="57" spans="1:9">
      <c r="A57">
        <v>55</v>
      </c>
      <c r="B57" t="str">
        <f t="shared" si="0"/>
        <v>stephen w. white</v>
      </c>
      <c r="C57" t="s">
        <v>180</v>
      </c>
      <c r="D57" t="s">
        <v>183</v>
      </c>
      <c r="E57" t="s">
        <v>65</v>
      </c>
      <c r="F57" t="s">
        <v>184</v>
      </c>
      <c r="G57" t="s">
        <v>4</v>
      </c>
      <c r="H57" t="s">
        <v>10</v>
      </c>
      <c r="I57" t="str">
        <f t="shared" si="1"/>
        <v/>
      </c>
    </row>
    <row r="58" spans="1:9">
      <c r="A58">
        <v>56</v>
      </c>
      <c r="B58" t="str">
        <f t="shared" si="0"/>
        <v>randall d. white</v>
      </c>
      <c r="C58" t="s">
        <v>180</v>
      </c>
      <c r="D58" t="s">
        <v>185</v>
      </c>
      <c r="E58" t="s">
        <v>186</v>
      </c>
      <c r="F58" t="s">
        <v>32</v>
      </c>
      <c r="G58" t="s">
        <v>187</v>
      </c>
      <c r="H58" t="s">
        <v>10</v>
      </c>
      <c r="I58" t="str">
        <f t="shared" si="1"/>
        <v/>
      </c>
    </row>
    <row r="59" spans="1:9">
      <c r="A59">
        <v>57</v>
      </c>
      <c r="B59" t="str">
        <f t="shared" si="0"/>
        <v>kathleen m. white</v>
      </c>
      <c r="C59" t="s">
        <v>180</v>
      </c>
      <c r="D59" t="s">
        <v>188</v>
      </c>
      <c r="E59" t="s">
        <v>189</v>
      </c>
      <c r="F59" t="s">
        <v>32</v>
      </c>
      <c r="G59" t="s">
        <v>190</v>
      </c>
      <c r="H59" t="s">
        <v>36</v>
      </c>
      <c r="I59" t="str">
        <f t="shared" si="1"/>
        <v/>
      </c>
    </row>
    <row r="60" spans="1:9">
      <c r="A60">
        <v>58</v>
      </c>
      <c r="B60" t="str">
        <f t="shared" si="0"/>
        <v>elizabeth allen white</v>
      </c>
      <c r="C60" t="s">
        <v>180</v>
      </c>
      <c r="D60" t="s">
        <v>191</v>
      </c>
      <c r="E60" t="s">
        <v>192</v>
      </c>
      <c r="F60" t="s">
        <v>1749</v>
      </c>
      <c r="G60" t="s">
        <v>4</v>
      </c>
      <c r="H60" t="s">
        <v>4</v>
      </c>
      <c r="I60" t="str">
        <f t="shared" si="1"/>
        <v/>
      </c>
    </row>
    <row r="61" spans="1:9">
      <c r="A61">
        <v>59</v>
      </c>
      <c r="B61" t="str">
        <f t="shared" si="0"/>
        <v>colleen toy white</v>
      </c>
      <c r="C61" t="s">
        <v>180</v>
      </c>
      <c r="D61" t="s">
        <v>193</v>
      </c>
      <c r="E61" t="s">
        <v>194</v>
      </c>
      <c r="F61" t="s">
        <v>32</v>
      </c>
      <c r="G61" t="s">
        <v>81</v>
      </c>
      <c r="H61" t="s">
        <v>10</v>
      </c>
      <c r="I61" t="str">
        <f t="shared" si="1"/>
        <v/>
      </c>
    </row>
    <row r="62" spans="1:9">
      <c r="A62">
        <v>60</v>
      </c>
      <c r="B62" t="str">
        <f t="shared" si="0"/>
        <v>gloria lynn white-brown</v>
      </c>
      <c r="C62" t="s">
        <v>195</v>
      </c>
      <c r="D62" t="s">
        <v>196</v>
      </c>
      <c r="E62" t="s">
        <v>197</v>
      </c>
      <c r="F62" t="s">
        <v>198</v>
      </c>
      <c r="G62" t="s">
        <v>4</v>
      </c>
      <c r="H62" t="s">
        <v>199</v>
      </c>
      <c r="I62" t="str">
        <f t="shared" si="1"/>
        <v/>
      </c>
    </row>
    <row r="63" spans="1:9">
      <c r="A63">
        <v>61</v>
      </c>
      <c r="B63" t="str">
        <f t="shared" si="0"/>
        <v>anthony  wheeldin</v>
      </c>
      <c r="C63" t="s">
        <v>200</v>
      </c>
      <c r="D63" t="s">
        <v>150</v>
      </c>
      <c r="E63" t="s">
        <v>4</v>
      </c>
      <c r="F63" t="s">
        <v>201</v>
      </c>
      <c r="G63" t="s">
        <v>4</v>
      </c>
      <c r="H63" t="s">
        <v>4</v>
      </c>
      <c r="I63" t="str">
        <f t="shared" si="1"/>
        <v/>
      </c>
    </row>
    <row r="64" spans="1:9">
      <c r="A64">
        <v>62</v>
      </c>
      <c r="B64" t="str">
        <f t="shared" si="0"/>
        <v>diana merline  wheatley</v>
      </c>
      <c r="C64" t="s">
        <v>202</v>
      </c>
      <c r="D64" t="s">
        <v>203</v>
      </c>
      <c r="E64" t="s">
        <v>4</v>
      </c>
      <c r="F64" t="s">
        <v>25</v>
      </c>
      <c r="G64" t="s">
        <v>4</v>
      </c>
      <c r="H64" t="s">
        <v>10</v>
      </c>
      <c r="I64" t="str">
        <f t="shared" si="1"/>
        <v/>
      </c>
    </row>
    <row r="65" spans="1:9">
      <c r="A65">
        <v>63</v>
      </c>
      <c r="B65" t="str">
        <f t="shared" si="0"/>
        <v>katrina  west</v>
      </c>
      <c r="C65" t="s">
        <v>204</v>
      </c>
      <c r="D65" t="s">
        <v>205</v>
      </c>
      <c r="E65" t="s">
        <v>4</v>
      </c>
      <c r="F65" t="s">
        <v>32</v>
      </c>
      <c r="G65" t="s">
        <v>141</v>
      </c>
      <c r="H65" t="s">
        <v>36</v>
      </c>
      <c r="I65" t="str">
        <f t="shared" si="1"/>
        <v/>
      </c>
    </row>
    <row r="66" spans="1:9">
      <c r="A66">
        <v>64</v>
      </c>
      <c r="B66" t="str">
        <f t="shared" si="0"/>
        <v>carl j. west</v>
      </c>
      <c r="C66" t="s">
        <v>204</v>
      </c>
      <c r="D66" t="s">
        <v>206</v>
      </c>
      <c r="E66" t="s">
        <v>94</v>
      </c>
      <c r="F66" t="s">
        <v>1749</v>
      </c>
      <c r="G66" t="s">
        <v>4</v>
      </c>
      <c r="H66" t="s">
        <v>4</v>
      </c>
      <c r="I66" t="str">
        <f t="shared" si="1"/>
        <v/>
      </c>
    </row>
    <row r="67" spans="1:9">
      <c r="A67">
        <v>65</v>
      </c>
      <c r="B67" t="str">
        <f t="shared" ref="B67:B130" si="2">TRIM($D67) &amp; " " &amp; TRIM($E67) &amp; " " &amp; TRIM($C67)</f>
        <v>david s. wesley</v>
      </c>
      <c r="C67" t="s">
        <v>207</v>
      </c>
      <c r="D67" t="s">
        <v>28</v>
      </c>
      <c r="E67" t="s">
        <v>174</v>
      </c>
      <c r="F67" t="s">
        <v>25</v>
      </c>
      <c r="G67" t="s">
        <v>4</v>
      </c>
      <c r="H67" t="s">
        <v>10</v>
      </c>
      <c r="I67" t="str">
        <f t="shared" ref="I67:I130" si="3">IF(NOT(ISERROR(FIND("judge",F67))),"judge","")</f>
        <v/>
      </c>
    </row>
    <row r="68" spans="1:9">
      <c r="A68">
        <v>66</v>
      </c>
      <c r="B68" t="str">
        <f t="shared" si="2"/>
        <v>kathryn mickle werdegar</v>
      </c>
      <c r="C68" t="s">
        <v>208</v>
      </c>
      <c r="D68" t="s">
        <v>209</v>
      </c>
      <c r="E68" t="s">
        <v>210</v>
      </c>
      <c r="F68" t="s">
        <v>211</v>
      </c>
      <c r="G68" t="s">
        <v>4</v>
      </c>
      <c r="H68" t="s">
        <v>212</v>
      </c>
      <c r="I68" t="str">
        <f t="shared" si="3"/>
        <v/>
      </c>
    </row>
    <row r="69" spans="1:9">
      <c r="A69">
        <v>67</v>
      </c>
      <c r="B69" t="str">
        <f t="shared" si="2"/>
        <v>kerry  wells</v>
      </c>
      <c r="C69" t="s">
        <v>213</v>
      </c>
      <c r="D69" t="s">
        <v>214</v>
      </c>
      <c r="E69" t="s">
        <v>4</v>
      </c>
      <c r="F69" t="s">
        <v>101</v>
      </c>
      <c r="G69" t="s">
        <v>102</v>
      </c>
      <c r="H69" t="s">
        <v>103</v>
      </c>
      <c r="I69" t="str">
        <f t="shared" si="3"/>
        <v/>
      </c>
    </row>
    <row r="70" spans="1:9">
      <c r="A70">
        <v>68</v>
      </c>
      <c r="B70" t="str">
        <f t="shared" si="2"/>
        <v>dale richard wells</v>
      </c>
      <c r="C70" t="s">
        <v>213</v>
      </c>
      <c r="D70" t="s">
        <v>215</v>
      </c>
      <c r="E70" t="s">
        <v>173</v>
      </c>
      <c r="F70" t="s">
        <v>216</v>
      </c>
      <c r="G70" t="s">
        <v>217</v>
      </c>
      <c r="H70" t="s">
        <v>103</v>
      </c>
      <c r="I70" t="str">
        <f t="shared" si="3"/>
        <v/>
      </c>
    </row>
    <row r="71" spans="1:9">
      <c r="A71">
        <v>69</v>
      </c>
      <c r="B71" t="str">
        <f t="shared" si="2"/>
        <v>james michael welch</v>
      </c>
      <c r="C71" t="s">
        <v>218</v>
      </c>
      <c r="D71" t="s">
        <v>90</v>
      </c>
      <c r="E71" t="s">
        <v>219</v>
      </c>
      <c r="F71" t="s">
        <v>32</v>
      </c>
      <c r="G71" t="s">
        <v>220</v>
      </c>
      <c r="H71" t="s">
        <v>36</v>
      </c>
      <c r="I71" t="str">
        <f t="shared" si="3"/>
        <v/>
      </c>
    </row>
    <row r="72" spans="1:9">
      <c r="A72">
        <v>70</v>
      </c>
      <c r="B72" t="str">
        <f t="shared" si="2"/>
        <v>debre katz atz weintraub</v>
      </c>
      <c r="C72" t="s">
        <v>221</v>
      </c>
      <c r="D72" t="s">
        <v>222</v>
      </c>
      <c r="E72" t="s">
        <v>223</v>
      </c>
      <c r="F72" t="s">
        <v>3998</v>
      </c>
      <c r="G72" t="s">
        <v>224</v>
      </c>
      <c r="H72" t="s">
        <v>225</v>
      </c>
      <c r="I72" t="str">
        <f t="shared" si="3"/>
        <v/>
      </c>
    </row>
    <row r="73" spans="1:9">
      <c r="A73">
        <v>70</v>
      </c>
      <c r="B73" t="str">
        <f t="shared" si="2"/>
        <v>debre katz weintraub</v>
      </c>
      <c r="C73" t="s">
        <v>221</v>
      </c>
      <c r="D73" t="s">
        <v>226</v>
      </c>
      <c r="E73" t="s">
        <v>227</v>
      </c>
      <c r="F73" t="s">
        <v>3999</v>
      </c>
      <c r="G73" t="s">
        <v>228</v>
      </c>
      <c r="H73" t="s">
        <v>229</v>
      </c>
      <c r="I73" t="str">
        <f t="shared" si="3"/>
        <v/>
      </c>
    </row>
    <row r="74" spans="1:9">
      <c r="A74">
        <v>70</v>
      </c>
      <c r="B74" t="str">
        <f t="shared" si="2"/>
        <v>debre katz weintraub</v>
      </c>
      <c r="C74" t="s">
        <v>221</v>
      </c>
      <c r="D74" t="s">
        <v>226</v>
      </c>
      <c r="E74" t="s">
        <v>227</v>
      </c>
      <c r="F74" t="s">
        <v>25</v>
      </c>
      <c r="G74" t="s">
        <v>4</v>
      </c>
      <c r="H74" t="s">
        <v>10</v>
      </c>
      <c r="I74" t="str">
        <f t="shared" si="3"/>
        <v/>
      </c>
    </row>
    <row r="75" spans="1:9">
      <c r="A75">
        <v>71</v>
      </c>
      <c r="B75" t="str">
        <f t="shared" si="2"/>
        <v>marie s weiner</v>
      </c>
      <c r="C75" t="s">
        <v>230</v>
      </c>
      <c r="D75" t="s">
        <v>43</v>
      </c>
      <c r="E75" t="s">
        <v>182</v>
      </c>
      <c r="F75" t="s">
        <v>231</v>
      </c>
      <c r="G75" t="s">
        <v>102</v>
      </c>
      <c r="H75" t="s">
        <v>10</v>
      </c>
      <c r="I75" t="str">
        <f t="shared" si="3"/>
        <v/>
      </c>
    </row>
    <row r="76" spans="1:9">
      <c r="A76">
        <v>72</v>
      </c>
      <c r="B76" t="str">
        <f t="shared" si="2"/>
        <v>elia  weinbach</v>
      </c>
      <c r="C76" t="s">
        <v>232</v>
      </c>
      <c r="D76" t="s">
        <v>233</v>
      </c>
      <c r="E76" t="s">
        <v>4</v>
      </c>
      <c r="F76" t="s">
        <v>25</v>
      </c>
      <c r="G76" t="s">
        <v>234</v>
      </c>
      <c r="H76" t="s">
        <v>36</v>
      </c>
      <c r="I76" t="str">
        <f t="shared" si="3"/>
        <v/>
      </c>
    </row>
    <row r="77" spans="1:9">
      <c r="A77">
        <v>73</v>
      </c>
      <c r="B77" t="str">
        <f t="shared" si="2"/>
        <v>edward george weil</v>
      </c>
      <c r="C77" t="s">
        <v>235</v>
      </c>
      <c r="D77" t="s">
        <v>236</v>
      </c>
      <c r="E77" t="s">
        <v>237</v>
      </c>
      <c r="F77" t="s">
        <v>1525</v>
      </c>
      <c r="G77" t="s">
        <v>4</v>
      </c>
      <c r="H77" t="s">
        <v>10</v>
      </c>
      <c r="I77" t="str">
        <f t="shared" si="3"/>
        <v/>
      </c>
    </row>
    <row r="78" spans="1:9">
      <c r="A78">
        <v>74</v>
      </c>
      <c r="B78" t="str">
        <f t="shared" si="2"/>
        <v>allen joseph jn webster</v>
      </c>
      <c r="C78" t="s">
        <v>238</v>
      </c>
      <c r="D78" t="s">
        <v>239</v>
      </c>
      <c r="E78" t="s">
        <v>240</v>
      </c>
      <c r="F78" t="s">
        <v>4000</v>
      </c>
      <c r="G78" t="s">
        <v>4</v>
      </c>
      <c r="H78" t="s">
        <v>4</v>
      </c>
      <c r="I78" t="str">
        <f t="shared" si="3"/>
        <v/>
      </c>
    </row>
    <row r="79" spans="1:9">
      <c r="A79">
        <v>75</v>
      </c>
      <c r="B79" t="str">
        <f t="shared" si="2"/>
        <v>joan p. weber</v>
      </c>
      <c r="C79" t="s">
        <v>241</v>
      </c>
      <c r="D79" t="s">
        <v>242</v>
      </c>
      <c r="E79" t="s">
        <v>91</v>
      </c>
      <c r="F79" t="s">
        <v>101</v>
      </c>
      <c r="G79" t="s">
        <v>102</v>
      </c>
      <c r="H79" t="s">
        <v>103</v>
      </c>
      <c r="I79" t="str">
        <f t="shared" si="3"/>
        <v/>
      </c>
    </row>
    <row r="80" spans="1:9">
      <c r="A80">
        <v>76</v>
      </c>
      <c r="B80" t="str">
        <f t="shared" si="2"/>
        <v>theodore michael weathers</v>
      </c>
      <c r="C80" t="s">
        <v>243</v>
      </c>
      <c r="D80" t="s">
        <v>34</v>
      </c>
      <c r="E80" t="s">
        <v>219</v>
      </c>
      <c r="F80" t="s">
        <v>101</v>
      </c>
      <c r="G80" t="s">
        <v>102</v>
      </c>
      <c r="H80" t="s">
        <v>103</v>
      </c>
      <c r="I80" t="str">
        <f t="shared" si="3"/>
        <v/>
      </c>
    </row>
    <row r="81" spans="1:9">
      <c r="A81">
        <v>77</v>
      </c>
      <c r="B81" t="str">
        <f t="shared" si="2"/>
        <v>bruce  watson william</v>
      </c>
      <c r="C81" t="s">
        <v>244</v>
      </c>
      <c r="D81" t="s">
        <v>47</v>
      </c>
      <c r="E81" t="s">
        <v>4</v>
      </c>
      <c r="F81" t="s">
        <v>4001</v>
      </c>
      <c r="G81" t="s">
        <v>4</v>
      </c>
      <c r="H81" t="s">
        <v>4</v>
      </c>
      <c r="I81" t="str">
        <f t="shared" si="3"/>
        <v/>
      </c>
    </row>
    <row r="82" spans="1:9">
      <c r="A82">
        <v>78</v>
      </c>
      <c r="B82" t="str">
        <f t="shared" si="2"/>
        <v>sharon joan waters</v>
      </c>
      <c r="C82" t="s">
        <v>245</v>
      </c>
      <c r="D82" t="s">
        <v>246</v>
      </c>
      <c r="E82" t="s">
        <v>242</v>
      </c>
      <c r="F82" t="s">
        <v>32</v>
      </c>
      <c r="G82" t="s">
        <v>247</v>
      </c>
      <c r="H82" t="s">
        <v>10</v>
      </c>
      <c r="I82" t="str">
        <f t="shared" si="3"/>
        <v/>
      </c>
    </row>
    <row r="83" spans="1:9">
      <c r="A83">
        <v>79</v>
      </c>
      <c r="B83" t="str">
        <f t="shared" si="2"/>
        <v>fumiko h wasserman</v>
      </c>
      <c r="C83" t="s">
        <v>248</v>
      </c>
      <c r="D83" t="s">
        <v>249</v>
      </c>
      <c r="E83" t="s">
        <v>250</v>
      </c>
      <c r="F83" t="s">
        <v>25</v>
      </c>
      <c r="G83" t="s">
        <v>4</v>
      </c>
      <c r="H83" t="s">
        <v>10</v>
      </c>
      <c r="I83" t="str">
        <f t="shared" si="3"/>
        <v/>
      </c>
    </row>
    <row r="84" spans="1:9">
      <c r="A84">
        <v>80</v>
      </c>
      <c r="B84" t="str">
        <f t="shared" si="2"/>
        <v>david p warner</v>
      </c>
      <c r="C84" t="s">
        <v>251</v>
      </c>
      <c r="D84" t="s">
        <v>28</v>
      </c>
      <c r="E84" t="s">
        <v>252</v>
      </c>
      <c r="F84" t="s">
        <v>4002</v>
      </c>
      <c r="G84" t="s">
        <v>4</v>
      </c>
      <c r="H84" t="s">
        <v>4</v>
      </c>
      <c r="I84" t="str">
        <f t="shared" si="3"/>
        <v/>
      </c>
    </row>
    <row r="85" spans="1:9">
      <c r="A85">
        <v>81</v>
      </c>
      <c r="B85" t="str">
        <f t="shared" si="2"/>
        <v>frederick nathan wapner</v>
      </c>
      <c r="C85" t="s">
        <v>253</v>
      </c>
      <c r="D85" t="s">
        <v>254</v>
      </c>
      <c r="E85" t="s">
        <v>255</v>
      </c>
      <c r="F85" t="s">
        <v>49</v>
      </c>
      <c r="G85" t="s">
        <v>135</v>
      </c>
      <c r="H85" t="s">
        <v>10</v>
      </c>
      <c r="I85" t="str">
        <f t="shared" si="3"/>
        <v/>
      </c>
    </row>
    <row r="86" spans="1:9">
      <c r="A86">
        <v>82</v>
      </c>
      <c r="B86" t="str">
        <f t="shared" si="2"/>
        <v>james l. waltz</v>
      </c>
      <c r="C86" t="s">
        <v>256</v>
      </c>
      <c r="D86" t="s">
        <v>90</v>
      </c>
      <c r="E86" t="s">
        <v>257</v>
      </c>
      <c r="F86" t="s">
        <v>137</v>
      </c>
      <c r="G86" t="s">
        <v>4</v>
      </c>
      <c r="H86" t="s">
        <v>36</v>
      </c>
      <c r="I86" t="str">
        <f t="shared" si="3"/>
        <v/>
      </c>
    </row>
    <row r="87" spans="1:9">
      <c r="A87">
        <v>83</v>
      </c>
      <c r="B87" t="str">
        <f t="shared" si="2"/>
        <v>laura raene walton</v>
      </c>
      <c r="C87" t="s">
        <v>258</v>
      </c>
      <c r="D87" t="s">
        <v>259</v>
      </c>
      <c r="E87" t="s">
        <v>260</v>
      </c>
      <c r="F87" t="s">
        <v>4003</v>
      </c>
      <c r="G87" t="s">
        <v>4</v>
      </c>
      <c r="H87" t="s">
        <v>4</v>
      </c>
      <c r="I87" t="str">
        <f t="shared" si="3"/>
        <v/>
      </c>
    </row>
    <row r="88" spans="1:9">
      <c r="A88">
        <v>84</v>
      </c>
      <c r="B88" t="str">
        <f t="shared" si="2"/>
        <v>f. dana walton</v>
      </c>
      <c r="C88" t="s">
        <v>258</v>
      </c>
      <c r="D88" t="s">
        <v>161</v>
      </c>
      <c r="E88" t="s">
        <v>261</v>
      </c>
      <c r="F88" t="s">
        <v>262</v>
      </c>
      <c r="G88" t="s">
        <v>4</v>
      </c>
      <c r="H88" t="s">
        <v>36</v>
      </c>
      <c r="I88" t="str">
        <f t="shared" si="3"/>
        <v/>
      </c>
    </row>
    <row r="89" spans="1:9">
      <c r="A89">
        <v>85</v>
      </c>
      <c r="B89" t="str">
        <f t="shared" si="2"/>
        <v>timothy r. walsh</v>
      </c>
      <c r="C89" t="s">
        <v>263</v>
      </c>
      <c r="D89" t="s">
        <v>264</v>
      </c>
      <c r="E89" t="s">
        <v>265</v>
      </c>
      <c r="F89" t="s">
        <v>101</v>
      </c>
      <c r="G89" t="s">
        <v>102</v>
      </c>
      <c r="H89" t="s">
        <v>103</v>
      </c>
      <c r="I89" t="str">
        <f t="shared" si="3"/>
        <v/>
      </c>
    </row>
    <row r="90" spans="1:9">
      <c r="A90">
        <v>86</v>
      </c>
      <c r="B90" t="str">
        <f t="shared" si="2"/>
        <v>henry j. walsh</v>
      </c>
      <c r="C90" t="s">
        <v>263</v>
      </c>
      <c r="D90" t="s">
        <v>266</v>
      </c>
      <c r="E90" t="s">
        <v>94</v>
      </c>
      <c r="F90" t="s">
        <v>32</v>
      </c>
      <c r="G90" t="s">
        <v>81</v>
      </c>
      <c r="H90" t="s">
        <v>10</v>
      </c>
      <c r="I90" t="str">
        <f t="shared" si="3"/>
        <v/>
      </c>
    </row>
    <row r="91" spans="1:9">
      <c r="A91">
        <v>87</v>
      </c>
      <c r="B91" t="str">
        <f t="shared" si="2"/>
        <v>brian connor walsh</v>
      </c>
      <c r="C91" t="s">
        <v>263</v>
      </c>
      <c r="D91" t="s">
        <v>57</v>
      </c>
      <c r="E91" t="s">
        <v>267</v>
      </c>
      <c r="F91" t="s">
        <v>32</v>
      </c>
      <c r="G91" t="s">
        <v>268</v>
      </c>
      <c r="H91" t="s">
        <v>10</v>
      </c>
      <c r="I91" t="str">
        <f t="shared" si="3"/>
        <v/>
      </c>
    </row>
    <row r="92" spans="1:9">
      <c r="A92">
        <v>88</v>
      </c>
      <c r="B92" t="str">
        <f t="shared" si="2"/>
        <v>richard foster walmark</v>
      </c>
      <c r="C92" t="s">
        <v>269</v>
      </c>
      <c r="D92" t="s">
        <v>173</v>
      </c>
      <c r="E92" t="s">
        <v>270</v>
      </c>
      <c r="F92" t="s">
        <v>4004</v>
      </c>
      <c r="G92" t="s">
        <v>4</v>
      </c>
      <c r="H92" t="s">
        <v>4</v>
      </c>
      <c r="I92" t="str">
        <f t="shared" si="3"/>
        <v/>
      </c>
    </row>
    <row r="93" spans="1:9">
      <c r="A93">
        <v>89</v>
      </c>
      <c r="B93" t="str">
        <f t="shared" si="2"/>
        <v>hugh arnold walker</v>
      </c>
      <c r="C93" t="s">
        <v>271</v>
      </c>
      <c r="D93" t="s">
        <v>272</v>
      </c>
      <c r="E93" t="s">
        <v>273</v>
      </c>
      <c r="F93" t="s">
        <v>49</v>
      </c>
      <c r="G93" t="s">
        <v>274</v>
      </c>
      <c r="H93" t="s">
        <v>10</v>
      </c>
      <c r="I93" t="str">
        <f t="shared" si="3"/>
        <v/>
      </c>
    </row>
    <row r="94" spans="1:9">
      <c r="A94">
        <v>90</v>
      </c>
      <c r="B94" t="str">
        <f t="shared" si="2"/>
        <v>james robert wagoner</v>
      </c>
      <c r="C94" t="s">
        <v>275</v>
      </c>
      <c r="D94" t="s">
        <v>90</v>
      </c>
      <c r="E94" t="s">
        <v>72</v>
      </c>
      <c r="F94" t="s">
        <v>49</v>
      </c>
      <c r="G94" t="s">
        <v>276</v>
      </c>
      <c r="H94" t="s">
        <v>10</v>
      </c>
      <c r="I94" t="str">
        <f t="shared" si="3"/>
        <v/>
      </c>
    </row>
    <row r="95" spans="1:9">
      <c r="A95">
        <v>91</v>
      </c>
      <c r="B95" t="str">
        <f t="shared" si="2"/>
        <v>charles david wachob</v>
      </c>
      <c r="C95" t="s">
        <v>277</v>
      </c>
      <c r="D95" t="s">
        <v>35</v>
      </c>
      <c r="E95" t="s">
        <v>28</v>
      </c>
      <c r="F95" t="s">
        <v>278</v>
      </c>
      <c r="G95" t="s">
        <v>4</v>
      </c>
      <c r="H95" t="s">
        <v>36</v>
      </c>
      <c r="I95" t="str">
        <f t="shared" si="3"/>
        <v/>
      </c>
    </row>
    <row r="96" spans="1:9">
      <c r="A96">
        <v>92</v>
      </c>
      <c r="B96" t="str">
        <f t="shared" si="2"/>
        <v>paul anthony vortmann</v>
      </c>
      <c r="C96" t="s">
        <v>279</v>
      </c>
      <c r="D96" t="s">
        <v>280</v>
      </c>
      <c r="E96" t="s">
        <v>150</v>
      </c>
      <c r="F96" t="s">
        <v>281</v>
      </c>
      <c r="G96" t="s">
        <v>4</v>
      </c>
      <c r="H96" t="s">
        <v>10</v>
      </c>
      <c r="I96" t="str">
        <f t="shared" si="3"/>
        <v/>
      </c>
    </row>
    <row r="97" spans="1:9">
      <c r="A97">
        <v>93</v>
      </c>
      <c r="B97" t="str">
        <f t="shared" si="2"/>
        <v>sim  von kalinowski</v>
      </c>
      <c r="C97" t="s">
        <v>282</v>
      </c>
      <c r="D97" t="s">
        <v>283</v>
      </c>
      <c r="E97" t="s">
        <v>4</v>
      </c>
      <c r="F97" t="s">
        <v>101</v>
      </c>
      <c r="G97" t="s">
        <v>102</v>
      </c>
      <c r="H97" t="s">
        <v>103</v>
      </c>
      <c r="I97" t="str">
        <f t="shared" si="3"/>
        <v/>
      </c>
    </row>
    <row r="98" spans="1:9">
      <c r="A98">
        <v>94</v>
      </c>
      <c r="B98" t="str">
        <f t="shared" si="2"/>
        <v>timothy robert volkmann</v>
      </c>
      <c r="C98" t="s">
        <v>284</v>
      </c>
      <c r="D98" t="s">
        <v>264</v>
      </c>
      <c r="E98" t="s">
        <v>72</v>
      </c>
      <c r="F98" t="s">
        <v>285</v>
      </c>
      <c r="G98" t="s">
        <v>4</v>
      </c>
      <c r="H98" t="s">
        <v>10</v>
      </c>
      <c r="I98" t="str">
        <f t="shared" si="3"/>
        <v/>
      </c>
    </row>
    <row r="99" spans="1:9">
      <c r="A99">
        <v>94</v>
      </c>
      <c r="B99" t="str">
        <f t="shared" si="2"/>
        <v>timothy robert volkmann</v>
      </c>
      <c r="C99" t="s">
        <v>284</v>
      </c>
      <c r="D99" t="s">
        <v>264</v>
      </c>
      <c r="E99" t="s">
        <v>72</v>
      </c>
      <c r="F99" t="s">
        <v>286</v>
      </c>
      <c r="G99" t="s">
        <v>4</v>
      </c>
      <c r="H99" t="s">
        <v>10</v>
      </c>
      <c r="I99" t="str">
        <f t="shared" si="3"/>
        <v/>
      </c>
    </row>
    <row r="100" spans="1:9">
      <c r="A100">
        <v>95</v>
      </c>
      <c r="B100" t="str">
        <f t="shared" si="2"/>
        <v>john f vogt</v>
      </c>
      <c r="C100" t="s">
        <v>287</v>
      </c>
      <c r="D100" t="s">
        <v>7</v>
      </c>
      <c r="E100" t="s">
        <v>288</v>
      </c>
      <c r="F100" t="s">
        <v>32</v>
      </c>
      <c r="G100" t="s">
        <v>289</v>
      </c>
      <c r="H100" t="s">
        <v>10</v>
      </c>
      <c r="I100" t="str">
        <f t="shared" si="3"/>
        <v/>
      </c>
    </row>
    <row r="101" spans="1:9">
      <c r="A101">
        <v>96</v>
      </c>
      <c r="B101" t="str">
        <f t="shared" si="2"/>
        <v>richard a vlavianos</v>
      </c>
      <c r="C101" t="s">
        <v>290</v>
      </c>
      <c r="D101" t="s">
        <v>173</v>
      </c>
      <c r="E101" t="s">
        <v>39</v>
      </c>
      <c r="F101" t="s">
        <v>291</v>
      </c>
      <c r="G101" t="s">
        <v>292</v>
      </c>
      <c r="H101" t="s">
        <v>10</v>
      </c>
      <c r="I101" t="str">
        <f t="shared" si="3"/>
        <v/>
      </c>
    </row>
    <row r="102" spans="1:9">
      <c r="A102">
        <v>97</v>
      </c>
      <c r="B102" t="str">
        <f t="shared" si="2"/>
        <v>michael  virga</v>
      </c>
      <c r="C102" t="s">
        <v>293</v>
      </c>
      <c r="D102" t="s">
        <v>219</v>
      </c>
      <c r="E102" t="s">
        <v>4</v>
      </c>
      <c r="F102" t="s">
        <v>184</v>
      </c>
      <c r="G102" t="s">
        <v>4</v>
      </c>
      <c r="H102" t="s">
        <v>10</v>
      </c>
      <c r="I102" t="str">
        <f t="shared" si="3"/>
        <v/>
      </c>
    </row>
    <row r="103" spans="1:9">
      <c r="A103">
        <v>98</v>
      </c>
      <c r="B103" t="str">
        <f t="shared" si="2"/>
        <v>lydia marie villarreal</v>
      </c>
      <c r="C103" t="s">
        <v>294</v>
      </c>
      <c r="D103" t="s">
        <v>295</v>
      </c>
      <c r="E103" t="s">
        <v>43</v>
      </c>
      <c r="F103" t="s">
        <v>4005</v>
      </c>
      <c r="G103" t="s">
        <v>296</v>
      </c>
      <c r="H103" t="s">
        <v>4</v>
      </c>
      <c r="I103" t="str">
        <f t="shared" si="3"/>
        <v/>
      </c>
    </row>
    <row r="104" spans="1:9">
      <c r="A104">
        <v>99</v>
      </c>
      <c r="B104" t="str">
        <f t="shared" si="2"/>
        <v>mary lou g. yillos de longonia</v>
      </c>
      <c r="C104" t="s">
        <v>297</v>
      </c>
      <c r="D104" t="s">
        <v>298</v>
      </c>
      <c r="E104" t="s">
        <v>156</v>
      </c>
      <c r="F104" t="s">
        <v>4006</v>
      </c>
      <c r="G104" t="s">
        <v>299</v>
      </c>
      <c r="H104" t="s">
        <v>4</v>
      </c>
      <c r="I104" t="str">
        <f t="shared" si="3"/>
        <v/>
      </c>
    </row>
    <row r="105" spans="1:9">
      <c r="A105">
        <v>100</v>
      </c>
      <c r="B105" t="str">
        <f t="shared" si="2"/>
        <v>xapuri brandt villapudua</v>
      </c>
      <c r="C105" t="s">
        <v>300</v>
      </c>
      <c r="D105" t="s">
        <v>301</v>
      </c>
      <c r="E105" t="s">
        <v>302</v>
      </c>
      <c r="F105" t="s">
        <v>303</v>
      </c>
      <c r="G105" t="s">
        <v>4</v>
      </c>
      <c r="H105" t="s">
        <v>36</v>
      </c>
      <c r="I105" t="str">
        <f t="shared" si="3"/>
        <v/>
      </c>
    </row>
    <row r="106" spans="1:9">
      <c r="A106">
        <v>101</v>
      </c>
      <c r="B106" t="str">
        <f t="shared" si="2"/>
        <v>michael  villalobos</v>
      </c>
      <c r="C106" t="s">
        <v>304</v>
      </c>
      <c r="D106" t="s">
        <v>219</v>
      </c>
      <c r="E106" t="s">
        <v>4</v>
      </c>
      <c r="F106" t="s">
        <v>4007</v>
      </c>
      <c r="G106" t="s">
        <v>4</v>
      </c>
      <c r="H106" t="s">
        <v>4</v>
      </c>
      <c r="I106" t="str">
        <f t="shared" si="3"/>
        <v/>
      </c>
    </row>
    <row r="107" spans="1:9">
      <c r="A107">
        <v>102</v>
      </c>
      <c r="B107" t="str">
        <f t="shared" si="2"/>
        <v>anthony rene villalobos</v>
      </c>
      <c r="C107" t="s">
        <v>304</v>
      </c>
      <c r="D107" t="s">
        <v>150</v>
      </c>
      <c r="E107" t="s">
        <v>305</v>
      </c>
      <c r="F107" t="s">
        <v>32</v>
      </c>
      <c r="G107" t="s">
        <v>306</v>
      </c>
      <c r="H107" t="s">
        <v>10</v>
      </c>
      <c r="I107" t="str">
        <f t="shared" si="3"/>
        <v/>
      </c>
    </row>
    <row r="108" spans="1:9">
      <c r="A108">
        <v>103</v>
      </c>
      <c r="B108" t="str">
        <f t="shared" si="2"/>
        <v>alice  vilardi</v>
      </c>
      <c r="C108" t="s">
        <v>307</v>
      </c>
      <c r="D108" t="s">
        <v>308</v>
      </c>
      <c r="E108" t="s">
        <v>4</v>
      </c>
      <c r="F108" t="s">
        <v>49</v>
      </c>
      <c r="G108" t="s">
        <v>309</v>
      </c>
      <c r="H108" t="s">
        <v>10</v>
      </c>
      <c r="I108" t="str">
        <f t="shared" si="3"/>
        <v/>
      </c>
    </row>
    <row r="109" spans="1:9">
      <c r="A109">
        <v>104</v>
      </c>
      <c r="B109" t="str">
        <f t="shared" si="2"/>
        <v>michael paul vicencia</v>
      </c>
      <c r="C109" t="s">
        <v>310</v>
      </c>
      <c r="D109" t="s">
        <v>219</v>
      </c>
      <c r="E109" t="s">
        <v>280</v>
      </c>
      <c r="F109" t="s">
        <v>25</v>
      </c>
      <c r="G109" t="s">
        <v>4</v>
      </c>
      <c r="H109" t="s">
        <v>10</v>
      </c>
      <c r="I109" t="str">
        <f t="shared" si="3"/>
        <v/>
      </c>
    </row>
    <row r="110" spans="1:9">
      <c r="A110">
        <v>105</v>
      </c>
      <c r="B110" t="str">
        <f t="shared" si="2"/>
        <v>michele tajang verderosa</v>
      </c>
      <c r="C110" t="s">
        <v>311</v>
      </c>
      <c r="D110" t="s">
        <v>312</v>
      </c>
      <c r="E110" t="s">
        <v>313</v>
      </c>
      <c r="F110" t="s">
        <v>314</v>
      </c>
      <c r="G110" t="s">
        <v>4</v>
      </c>
      <c r="H110" t="s">
        <v>36</v>
      </c>
      <c r="I110" t="str">
        <f t="shared" si="3"/>
        <v/>
      </c>
    </row>
    <row r="111" spans="1:9">
      <c r="A111">
        <v>106</v>
      </c>
      <c r="B111" t="str">
        <f t="shared" si="2"/>
        <v>yvette  verastegui</v>
      </c>
      <c r="C111" t="s">
        <v>315</v>
      </c>
      <c r="D111" t="s">
        <v>316</v>
      </c>
      <c r="E111" t="s">
        <v>4</v>
      </c>
      <c r="F111" t="s">
        <v>25</v>
      </c>
      <c r="G111" t="s">
        <v>25</v>
      </c>
      <c r="H111" t="s">
        <v>36</v>
      </c>
      <c r="I111" t="str">
        <f t="shared" si="3"/>
        <v/>
      </c>
    </row>
    <row r="112" spans="1:9">
      <c r="A112">
        <v>107</v>
      </c>
      <c r="B112" t="str">
        <f t="shared" si="2"/>
        <v>louie l. vega</v>
      </c>
      <c r="C112" t="s">
        <v>317</v>
      </c>
      <c r="D112" t="s">
        <v>318</v>
      </c>
      <c r="E112" t="s">
        <v>257</v>
      </c>
      <c r="F112" t="s">
        <v>319</v>
      </c>
      <c r="G112" t="s">
        <v>320</v>
      </c>
      <c r="H112" t="s">
        <v>10</v>
      </c>
      <c r="I112" t="str">
        <f t="shared" si="3"/>
        <v/>
      </c>
    </row>
    <row r="113" spans="1:9">
      <c r="A113">
        <v>108</v>
      </c>
      <c r="B113" t="str">
        <f t="shared" si="2"/>
        <v>craig elliott veals</v>
      </c>
      <c r="C113" t="s">
        <v>321</v>
      </c>
      <c r="D113" t="s">
        <v>322</v>
      </c>
      <c r="E113" t="s">
        <v>323</v>
      </c>
      <c r="F113" t="s">
        <v>25</v>
      </c>
      <c r="G113" t="s">
        <v>4</v>
      </c>
      <c r="H113" t="s">
        <v>10</v>
      </c>
      <c r="I113" t="str">
        <f t="shared" si="3"/>
        <v/>
      </c>
    </row>
    <row r="114" spans="1:9">
      <c r="A114">
        <v>109</v>
      </c>
      <c r="B114" t="str">
        <f t="shared" si="2"/>
        <v>carlos enrique vazquez</v>
      </c>
      <c r="C114" t="s">
        <v>324</v>
      </c>
      <c r="D114" t="s">
        <v>325</v>
      </c>
      <c r="E114" t="s">
        <v>326</v>
      </c>
      <c r="F114" t="s">
        <v>25</v>
      </c>
      <c r="G114" t="s">
        <v>4</v>
      </c>
      <c r="H114" t="s">
        <v>36</v>
      </c>
      <c r="I114" t="str">
        <f t="shared" si="3"/>
        <v/>
      </c>
    </row>
    <row r="115" spans="1:9">
      <c r="A115">
        <v>110</v>
      </c>
      <c r="B115" t="str">
        <f t="shared" si="2"/>
        <v>emily e. vasquez</v>
      </c>
      <c r="C115" t="s">
        <v>327</v>
      </c>
      <c r="D115" t="s">
        <v>328</v>
      </c>
      <c r="E115" t="s">
        <v>127</v>
      </c>
      <c r="F115" t="s">
        <v>32</v>
      </c>
      <c r="G115" t="s">
        <v>4</v>
      </c>
      <c r="H115" t="s">
        <v>10</v>
      </c>
      <c r="I115" t="str">
        <f t="shared" si="3"/>
        <v/>
      </c>
    </row>
    <row r="116" spans="1:9">
      <c r="A116">
        <v>111</v>
      </c>
      <c r="B116" t="str">
        <f t="shared" si="2"/>
        <v>luis r. vargas</v>
      </c>
      <c r="C116" t="s">
        <v>329</v>
      </c>
      <c r="D116" t="s">
        <v>330</v>
      </c>
      <c r="E116" t="s">
        <v>265</v>
      </c>
      <c r="F116" t="s">
        <v>101</v>
      </c>
      <c r="G116" t="s">
        <v>102</v>
      </c>
      <c r="H116" t="s">
        <v>103</v>
      </c>
      <c r="I116" t="str">
        <f t="shared" si="3"/>
        <v/>
      </c>
    </row>
    <row r="117" spans="1:9">
      <c r="A117">
        <v>112</v>
      </c>
      <c r="B117" t="str">
        <f t="shared" si="2"/>
        <v>robert c. vanderet</v>
      </c>
      <c r="C117" t="s">
        <v>331</v>
      </c>
      <c r="D117" t="s">
        <v>72</v>
      </c>
      <c r="E117" t="s">
        <v>332</v>
      </c>
      <c r="F117" t="s">
        <v>4008</v>
      </c>
      <c r="G117" t="s">
        <v>299</v>
      </c>
      <c r="H117" t="s">
        <v>4</v>
      </c>
      <c r="I117" t="str">
        <f t="shared" si="3"/>
        <v/>
      </c>
    </row>
    <row r="118" spans="1:9">
      <c r="A118">
        <v>113</v>
      </c>
      <c r="B118" t="str">
        <f t="shared" si="2"/>
        <v>judith ann vander lans</v>
      </c>
      <c r="C118" t="s">
        <v>333</v>
      </c>
      <c r="D118" t="s">
        <v>334</v>
      </c>
      <c r="E118" t="s">
        <v>3</v>
      </c>
      <c r="F118" t="s">
        <v>25</v>
      </c>
      <c r="G118" t="s">
        <v>4</v>
      </c>
      <c r="H118" t="s">
        <v>10</v>
      </c>
      <c r="I118" t="str">
        <f t="shared" si="3"/>
        <v/>
      </c>
    </row>
    <row r="119" spans="1:9">
      <c r="A119">
        <v>114</v>
      </c>
      <c r="B119" t="str">
        <f t="shared" si="2"/>
        <v>john peter vander feer</v>
      </c>
      <c r="C119" t="s">
        <v>335</v>
      </c>
      <c r="D119" t="s">
        <v>7</v>
      </c>
      <c r="E119" t="s">
        <v>336</v>
      </c>
      <c r="F119" t="s">
        <v>8</v>
      </c>
      <c r="G119" t="s">
        <v>337</v>
      </c>
      <c r="H119" t="s">
        <v>10</v>
      </c>
      <c r="I119" t="str">
        <f t="shared" si="3"/>
        <v/>
      </c>
    </row>
    <row r="120" spans="1:9">
      <c r="A120">
        <v>115</v>
      </c>
      <c r="B120" t="str">
        <f t="shared" si="2"/>
        <v>steven read van sicklen</v>
      </c>
      <c r="C120" t="s">
        <v>338</v>
      </c>
      <c r="D120" t="s">
        <v>339</v>
      </c>
      <c r="E120" t="s">
        <v>340</v>
      </c>
      <c r="F120" t="s">
        <v>4009</v>
      </c>
      <c r="G120" t="s">
        <v>4</v>
      </c>
      <c r="H120" t="s">
        <v>4</v>
      </c>
      <c r="I120" t="str">
        <f t="shared" si="3"/>
        <v/>
      </c>
    </row>
    <row r="121" spans="1:9">
      <c r="A121">
        <v>116</v>
      </c>
      <c r="B121" t="str">
        <f t="shared" si="2"/>
        <v>terrence r van oss</v>
      </c>
      <c r="C121" t="s">
        <v>341</v>
      </c>
      <c r="D121" t="s">
        <v>342</v>
      </c>
      <c r="E121" t="s">
        <v>53</v>
      </c>
      <c r="F121" t="s">
        <v>32</v>
      </c>
      <c r="G121" t="s">
        <v>292</v>
      </c>
      <c r="H121" t="s">
        <v>103</v>
      </c>
      <c r="I121" t="str">
        <f t="shared" si="3"/>
        <v/>
      </c>
    </row>
    <row r="122" spans="1:9">
      <c r="A122">
        <v>117</v>
      </c>
      <c r="B122" t="str">
        <f t="shared" si="2"/>
        <v>brian r. van camp</v>
      </c>
      <c r="C122" t="s">
        <v>343</v>
      </c>
      <c r="D122" t="s">
        <v>57</v>
      </c>
      <c r="E122" t="s">
        <v>265</v>
      </c>
      <c r="F122" t="s">
        <v>184</v>
      </c>
      <c r="G122" t="s">
        <v>4</v>
      </c>
      <c r="H122" t="s">
        <v>10</v>
      </c>
      <c r="I122" t="str">
        <f t="shared" si="3"/>
        <v/>
      </c>
    </row>
    <row r="123" spans="1:9">
      <c r="A123">
        <v>118</v>
      </c>
      <c r="B123" t="str">
        <f t="shared" si="2"/>
        <v>leo  valentine jr.</v>
      </c>
      <c r="C123" t="s">
        <v>344</v>
      </c>
      <c r="D123" t="s">
        <v>345</v>
      </c>
      <c r="E123" t="s">
        <v>4</v>
      </c>
      <c r="F123" t="s">
        <v>101</v>
      </c>
      <c r="G123" t="s">
        <v>102</v>
      </c>
      <c r="H123" t="s">
        <v>103</v>
      </c>
      <c r="I123" t="str">
        <f t="shared" si="3"/>
        <v/>
      </c>
    </row>
    <row r="124" spans="1:9">
      <c r="A124">
        <v>119</v>
      </c>
      <c r="B124" t="str">
        <f t="shared" si="2"/>
        <v>jesus  valencia</v>
      </c>
      <c r="C124" t="s">
        <v>346</v>
      </c>
      <c r="D124" t="s">
        <v>347</v>
      </c>
      <c r="E124" t="s">
        <v>4</v>
      </c>
      <c r="F124" t="s">
        <v>106</v>
      </c>
      <c r="G124" t="s">
        <v>4</v>
      </c>
      <c r="H124" t="s">
        <v>10</v>
      </c>
      <c r="I124" t="str">
        <f t="shared" si="3"/>
        <v/>
      </c>
    </row>
    <row r="125" spans="1:9">
      <c r="A125">
        <v>120</v>
      </c>
      <c r="B125" t="str">
        <f t="shared" si="2"/>
        <v>phillip relyea vrie</v>
      </c>
      <c r="C125" t="s">
        <v>348</v>
      </c>
      <c r="D125" t="s">
        <v>349</v>
      </c>
      <c r="E125" t="s">
        <v>350</v>
      </c>
      <c r="F125" t="s">
        <v>303</v>
      </c>
      <c r="G125" t="s">
        <v>4</v>
      </c>
      <c r="H125" t="s">
        <v>10</v>
      </c>
      <c r="I125" t="str">
        <f t="shared" si="3"/>
        <v/>
      </c>
    </row>
    <row r="126" spans="1:9">
      <c r="A126">
        <v>121</v>
      </c>
      <c r="B126" t="str">
        <f t="shared" si="2"/>
        <v>carlos a uranga</v>
      </c>
      <c r="C126" t="s">
        <v>351</v>
      </c>
      <c r="D126" t="s">
        <v>325</v>
      </c>
      <c r="E126" t="s">
        <v>39</v>
      </c>
      <c r="F126" t="s">
        <v>4010</v>
      </c>
      <c r="G126" t="s">
        <v>4</v>
      </c>
      <c r="H126" t="s">
        <v>4</v>
      </c>
      <c r="I126" t="str">
        <f t="shared" si="3"/>
        <v/>
      </c>
    </row>
    <row r="127" spans="1:9">
      <c r="A127">
        <v>122</v>
      </c>
      <c r="B127" t="str">
        <f t="shared" si="2"/>
        <v>cynda riggins unger</v>
      </c>
      <c r="C127" t="s">
        <v>352</v>
      </c>
      <c r="D127" t="s">
        <v>353</v>
      </c>
      <c r="E127" t="s">
        <v>354</v>
      </c>
      <c r="F127" t="s">
        <v>355</v>
      </c>
      <c r="G127" t="s">
        <v>356</v>
      </c>
      <c r="H127" t="s">
        <v>36</v>
      </c>
      <c r="I127" t="str">
        <f t="shared" si="3"/>
        <v/>
      </c>
    </row>
    <row r="128" spans="1:9">
      <c r="A128">
        <v>123</v>
      </c>
      <c r="B128" t="str">
        <f t="shared" si="2"/>
        <v>richard b ulmer</v>
      </c>
      <c r="C128" t="s">
        <v>357</v>
      </c>
      <c r="D128" t="s">
        <v>173</v>
      </c>
      <c r="E128" t="s">
        <v>358</v>
      </c>
      <c r="F128" t="s">
        <v>359</v>
      </c>
      <c r="G128" t="s">
        <v>4</v>
      </c>
      <c r="H128" t="s">
        <v>10</v>
      </c>
      <c r="I128" t="str">
        <f t="shared" si="3"/>
        <v/>
      </c>
    </row>
    <row r="129" spans="1:9">
      <c r="A129">
        <v>124</v>
      </c>
      <c r="B129" t="str">
        <f t="shared" si="2"/>
        <v>juan (nmn) ulloa</v>
      </c>
      <c r="C129" t="s">
        <v>360</v>
      </c>
      <c r="D129" t="s">
        <v>361</v>
      </c>
      <c r="E129" t="s">
        <v>362</v>
      </c>
      <c r="F129" t="s">
        <v>49</v>
      </c>
      <c r="G129" t="s">
        <v>363</v>
      </c>
      <c r="H129" t="s">
        <v>10</v>
      </c>
      <c r="I129" t="str">
        <f t="shared" si="3"/>
        <v/>
      </c>
    </row>
    <row r="130" spans="1:9">
      <c r="A130">
        <v>125</v>
      </c>
      <c r="B130" t="str">
        <f t="shared" si="2"/>
        <v>cynthia leigh ulfig</v>
      </c>
      <c r="C130" t="s">
        <v>364</v>
      </c>
      <c r="D130" t="s">
        <v>365</v>
      </c>
      <c r="E130" t="s">
        <v>366</v>
      </c>
      <c r="F130" t="s">
        <v>367</v>
      </c>
      <c r="G130" t="s">
        <v>4</v>
      </c>
      <c r="H130" t="s">
        <v>4</v>
      </c>
      <c r="I130" t="str">
        <f t="shared" si="3"/>
        <v/>
      </c>
    </row>
    <row r="131" spans="1:9">
      <c r="A131">
        <v>126</v>
      </c>
      <c r="B131" t="str">
        <f t="shared" ref="B131:B194" si="4">TRIM($D131) &amp; " " &amp; TRIM($E131) &amp; " " &amp; TRIM($C131)</f>
        <v>ingrid adamson uhler</v>
      </c>
      <c r="C131" t="s">
        <v>368</v>
      </c>
      <c r="D131" t="s">
        <v>369</v>
      </c>
      <c r="E131" t="s">
        <v>370</v>
      </c>
      <c r="F131" t="s">
        <v>371</v>
      </c>
      <c r="G131" t="s">
        <v>372</v>
      </c>
      <c r="H131" t="s">
        <v>36</v>
      </c>
      <c r="I131" t="str">
        <f t="shared" ref="I131:I194" si="5">IF(NOT(ISERROR(FIND("judge",F131))),"judge","")</f>
        <v/>
      </c>
    </row>
    <row r="132" spans="1:9">
      <c r="A132">
        <v>127</v>
      </c>
      <c r="B132" t="str">
        <f t="shared" si="4"/>
        <v>michael anthony tynan</v>
      </c>
      <c r="C132" t="s">
        <v>373</v>
      </c>
      <c r="D132" t="s">
        <v>219</v>
      </c>
      <c r="E132" t="s">
        <v>150</v>
      </c>
      <c r="F132" t="s">
        <v>374</v>
      </c>
      <c r="G132" t="s">
        <v>135</v>
      </c>
      <c r="H132" t="s">
        <v>10</v>
      </c>
      <c r="I132" t="str">
        <f t="shared" si="5"/>
        <v/>
      </c>
    </row>
    <row r="133" spans="1:9">
      <c r="A133">
        <v>128</v>
      </c>
      <c r="B133" t="str">
        <f t="shared" si="4"/>
        <v>kenneth c. twisselman ii</v>
      </c>
      <c r="C133" t="s">
        <v>375</v>
      </c>
      <c r="D133" t="s">
        <v>60</v>
      </c>
      <c r="E133" t="s">
        <v>332</v>
      </c>
      <c r="F133" t="s">
        <v>32</v>
      </c>
      <c r="G133" t="s">
        <v>95</v>
      </c>
      <c r="H133" t="s">
        <v>10</v>
      </c>
      <c r="I133" t="str">
        <f t="shared" si="5"/>
        <v/>
      </c>
    </row>
    <row r="134" spans="1:9">
      <c r="A134">
        <v>129</v>
      </c>
      <c r="B134" t="str">
        <f t="shared" si="4"/>
        <v xml:space="preserve">  twiss robert m.</v>
      </c>
      <c r="C134" t="s">
        <v>376</v>
      </c>
      <c r="D134" t="s">
        <v>4</v>
      </c>
      <c r="E134" t="s">
        <v>4</v>
      </c>
      <c r="F134" t="s">
        <v>32</v>
      </c>
      <c r="G134" t="s">
        <v>377</v>
      </c>
      <c r="H134" t="s">
        <v>36</v>
      </c>
      <c r="I134" t="str">
        <f t="shared" si="5"/>
        <v/>
      </c>
    </row>
    <row r="135" spans="1:9">
      <c r="A135">
        <v>130</v>
      </c>
      <c r="B135" t="str">
        <f t="shared" si="4"/>
        <v>peter b twede</v>
      </c>
      <c r="C135" t="s">
        <v>378</v>
      </c>
      <c r="D135" t="s">
        <v>336</v>
      </c>
      <c r="E135" t="s">
        <v>358</v>
      </c>
      <c r="F135" t="s">
        <v>379</v>
      </c>
      <c r="G135" t="s">
        <v>4</v>
      </c>
      <c r="H135" t="s">
        <v>10</v>
      </c>
      <c r="I135" t="str">
        <f t="shared" si="5"/>
        <v/>
      </c>
    </row>
    <row r="136" spans="1:9">
      <c r="A136">
        <v>131</v>
      </c>
      <c r="B136" t="str">
        <f t="shared" si="4"/>
        <v>paul arthur turner</v>
      </c>
      <c r="C136" t="s">
        <v>380</v>
      </c>
      <c r="D136" t="s">
        <v>280</v>
      </c>
      <c r="E136" t="s">
        <v>169</v>
      </c>
      <c r="F136" t="s">
        <v>19</v>
      </c>
      <c r="G136" t="s">
        <v>20</v>
      </c>
      <c r="H136" t="s">
        <v>21</v>
      </c>
      <c r="I136" t="str">
        <f t="shared" si="5"/>
        <v/>
      </c>
    </row>
    <row r="137" spans="1:9">
      <c r="A137">
        <v>132</v>
      </c>
      <c r="B137" t="str">
        <f t="shared" si="4"/>
        <v>jerold l. turner</v>
      </c>
      <c r="C137" t="s">
        <v>380</v>
      </c>
      <c r="D137" t="s">
        <v>381</v>
      </c>
      <c r="E137" t="s">
        <v>257</v>
      </c>
      <c r="F137" t="s">
        <v>32</v>
      </c>
      <c r="G137" t="s">
        <v>95</v>
      </c>
      <c r="H137" t="s">
        <v>10</v>
      </c>
      <c r="I137" t="str">
        <f t="shared" si="5"/>
        <v/>
      </c>
    </row>
    <row r="138" spans="1:9">
      <c r="A138">
        <v>133</v>
      </c>
      <c r="B138" t="str">
        <f t="shared" si="4"/>
        <v>ksenia kay tsenin</v>
      </c>
      <c r="C138" t="s">
        <v>382</v>
      </c>
      <c r="D138" t="s">
        <v>383</v>
      </c>
      <c r="E138" t="s">
        <v>384</v>
      </c>
      <c r="F138" t="s">
        <v>88</v>
      </c>
      <c r="G138" t="s">
        <v>4</v>
      </c>
      <c r="H138" t="s">
        <v>10</v>
      </c>
      <c r="I138" t="str">
        <f t="shared" si="5"/>
        <v/>
      </c>
    </row>
    <row r="139" spans="1:9">
      <c r="A139">
        <v>134</v>
      </c>
      <c r="B139" t="str">
        <f t="shared" si="4"/>
        <v>marshalliii  true john</v>
      </c>
      <c r="C139" t="s">
        <v>385</v>
      </c>
      <c r="D139" t="s">
        <v>386</v>
      </c>
      <c r="E139" t="s">
        <v>4</v>
      </c>
      <c r="F139" t="s">
        <v>387</v>
      </c>
      <c r="G139" t="s">
        <v>4</v>
      </c>
      <c r="H139" t="s">
        <v>10</v>
      </c>
      <c r="I139" t="str">
        <f t="shared" si="5"/>
        <v/>
      </c>
    </row>
    <row r="140" spans="1:9">
      <c r="A140">
        <v>135</v>
      </c>
      <c r="B140" t="str">
        <f t="shared" si="4"/>
        <v>john alexander trice</v>
      </c>
      <c r="C140" t="s">
        <v>388</v>
      </c>
      <c r="D140" t="s">
        <v>7</v>
      </c>
      <c r="E140" t="s">
        <v>389</v>
      </c>
      <c r="F140" t="s">
        <v>390</v>
      </c>
      <c r="G140" t="s">
        <v>4</v>
      </c>
      <c r="H140" t="s">
        <v>36</v>
      </c>
      <c r="I140" t="str">
        <f t="shared" si="5"/>
        <v/>
      </c>
    </row>
    <row r="141" spans="1:9">
      <c r="A141">
        <v>136</v>
      </c>
      <c r="B141" t="str">
        <f t="shared" si="4"/>
        <v>rolf michael treu</v>
      </c>
      <c r="C141" t="s">
        <v>391</v>
      </c>
      <c r="D141" t="s">
        <v>392</v>
      </c>
      <c r="E141" t="s">
        <v>219</v>
      </c>
      <c r="F141" t="s">
        <v>49</v>
      </c>
      <c r="G141" t="s">
        <v>393</v>
      </c>
      <c r="H141" t="s">
        <v>10</v>
      </c>
      <c r="I141" t="str">
        <f t="shared" si="5"/>
        <v/>
      </c>
    </row>
    <row r="142" spans="1:9">
      <c r="A142">
        <v>137</v>
      </c>
      <c r="B142" t="str">
        <f t="shared" si="4"/>
        <v>robert j. trentacosta</v>
      </c>
      <c r="C142" t="s">
        <v>394</v>
      </c>
      <c r="D142" t="s">
        <v>72</v>
      </c>
      <c r="E142" t="s">
        <v>94</v>
      </c>
      <c r="F142" t="s">
        <v>101</v>
      </c>
      <c r="G142" t="s">
        <v>102</v>
      </c>
      <c r="H142" t="s">
        <v>103</v>
      </c>
      <c r="I142" t="str">
        <f t="shared" si="5"/>
        <v/>
      </c>
    </row>
    <row r="143" spans="1:9">
      <c r="A143">
        <v>138</v>
      </c>
      <c r="B143" t="str">
        <f t="shared" si="4"/>
        <v>charles stephen treat</v>
      </c>
      <c r="C143" t="s">
        <v>395</v>
      </c>
      <c r="D143" t="s">
        <v>35</v>
      </c>
      <c r="E143" t="s">
        <v>183</v>
      </c>
      <c r="F143" t="s">
        <v>49</v>
      </c>
      <c r="G143" t="s">
        <v>4</v>
      </c>
      <c r="H143" t="s">
        <v>4</v>
      </c>
      <c r="I143" t="str">
        <f t="shared" si="5"/>
        <v/>
      </c>
    </row>
    <row r="144" spans="1:9">
      <c r="A144">
        <v>139</v>
      </c>
      <c r="B144" t="str">
        <f t="shared" si="4"/>
        <v>gloria connor trask</v>
      </c>
      <c r="C144" t="s">
        <v>396</v>
      </c>
      <c r="D144" t="s">
        <v>196</v>
      </c>
      <c r="E144" t="s">
        <v>267</v>
      </c>
      <c r="F144" t="s">
        <v>32</v>
      </c>
      <c r="G144" t="s">
        <v>247</v>
      </c>
      <c r="H144" t="s">
        <v>10</v>
      </c>
      <c r="I144" t="str">
        <f t="shared" si="5"/>
        <v/>
      </c>
    </row>
    <row r="145" spans="1:9">
      <c r="A145">
        <v>140</v>
      </c>
      <c r="B145" t="str">
        <f t="shared" si="4"/>
        <v>randa  trapp</v>
      </c>
      <c r="C145" t="s">
        <v>397</v>
      </c>
      <c r="D145" t="s">
        <v>398</v>
      </c>
      <c r="E145" t="s">
        <v>4</v>
      </c>
      <c r="F145" t="s">
        <v>101</v>
      </c>
      <c r="G145" t="s">
        <v>102</v>
      </c>
      <c r="H145" t="s">
        <v>103</v>
      </c>
      <c r="I145" t="str">
        <f t="shared" si="5"/>
        <v/>
      </c>
    </row>
    <row r="146" spans="1:9">
      <c r="A146">
        <v>140</v>
      </c>
      <c r="B146" t="str">
        <f t="shared" si="4"/>
        <v>randa  trapp</v>
      </c>
      <c r="C146" t="s">
        <v>397</v>
      </c>
      <c r="D146" t="s">
        <v>398</v>
      </c>
      <c r="E146" t="s">
        <v>4</v>
      </c>
      <c r="F146" t="s">
        <v>101</v>
      </c>
      <c r="G146" t="s">
        <v>102</v>
      </c>
      <c r="H146" t="s">
        <v>103</v>
      </c>
      <c r="I146" t="str">
        <f t="shared" si="5"/>
        <v/>
      </c>
    </row>
    <row r="147" spans="1:9">
      <c r="A147">
        <v>141</v>
      </c>
      <c r="B147" t="str">
        <f t="shared" si="4"/>
        <v>gary b. tranbarger</v>
      </c>
      <c r="C147" t="s">
        <v>399</v>
      </c>
      <c r="D147" t="s">
        <v>123</v>
      </c>
      <c r="E147" t="s">
        <v>400</v>
      </c>
      <c r="F147" t="s">
        <v>32</v>
      </c>
      <c r="G147" t="s">
        <v>247</v>
      </c>
      <c r="H147" t="s">
        <v>10</v>
      </c>
      <c r="I147" t="str">
        <f t="shared" si="5"/>
        <v/>
      </c>
    </row>
    <row r="148" spans="1:9">
      <c r="A148">
        <v>142</v>
      </c>
      <c r="B148" t="str">
        <f t="shared" si="4"/>
        <v>john albert torribio</v>
      </c>
      <c r="C148" t="s">
        <v>401</v>
      </c>
      <c r="D148" t="s">
        <v>7</v>
      </c>
      <c r="E148" t="s">
        <v>116</v>
      </c>
      <c r="F148" t="s">
        <v>1749</v>
      </c>
      <c r="G148" t="s">
        <v>4</v>
      </c>
      <c r="H148" t="s">
        <v>4</v>
      </c>
      <c r="I148" t="str">
        <f t="shared" si="5"/>
        <v/>
      </c>
    </row>
    <row r="149" spans="1:9">
      <c r="A149">
        <v>143</v>
      </c>
      <c r="B149" t="str">
        <f t="shared" si="4"/>
        <v>shelly b. torrealbia</v>
      </c>
      <c r="C149" t="s">
        <v>402</v>
      </c>
      <c r="D149" t="s">
        <v>403</v>
      </c>
      <c r="E149" t="s">
        <v>400</v>
      </c>
      <c r="F149" t="s">
        <v>4011</v>
      </c>
      <c r="G149" t="s">
        <v>4</v>
      </c>
      <c r="H149" t="s">
        <v>4</v>
      </c>
      <c r="I149" t="str">
        <f t="shared" si="5"/>
        <v/>
      </c>
    </row>
    <row r="150" spans="1:9">
      <c r="A150">
        <v>144</v>
      </c>
      <c r="B150" t="str">
        <f t="shared" si="4"/>
        <v>richard francis toohey</v>
      </c>
      <c r="C150" t="s">
        <v>404</v>
      </c>
      <c r="D150" t="s">
        <v>173</v>
      </c>
      <c r="E150" t="s">
        <v>405</v>
      </c>
      <c r="F150" t="s">
        <v>1335</v>
      </c>
      <c r="G150" t="s">
        <v>4</v>
      </c>
      <c r="H150" t="s">
        <v>36</v>
      </c>
      <c r="I150" t="str">
        <f t="shared" si="5"/>
        <v/>
      </c>
    </row>
    <row r="151" spans="1:9">
      <c r="A151">
        <v>145</v>
      </c>
      <c r="B151" t="str">
        <f t="shared" si="4"/>
        <v>patrick eugene tondreau</v>
      </c>
      <c r="C151" t="s">
        <v>406</v>
      </c>
      <c r="D151" t="s">
        <v>6</v>
      </c>
      <c r="E151" t="s">
        <v>407</v>
      </c>
      <c r="F151" t="s">
        <v>408</v>
      </c>
      <c r="G151" t="s">
        <v>15</v>
      </c>
      <c r="H151" t="s">
        <v>36</v>
      </c>
      <c r="I151" t="str">
        <f t="shared" si="5"/>
        <v/>
      </c>
    </row>
    <row r="152" spans="1:9">
      <c r="A152">
        <v>146</v>
      </c>
      <c r="B152" t="str">
        <f t="shared" si="4"/>
        <v>john m tomberlin</v>
      </c>
      <c r="C152" t="s">
        <v>409</v>
      </c>
      <c r="D152" t="s">
        <v>7</v>
      </c>
      <c r="E152" t="s">
        <v>410</v>
      </c>
      <c r="F152" t="s">
        <v>49</v>
      </c>
      <c r="G152" t="s">
        <v>411</v>
      </c>
      <c r="H152" t="s">
        <v>36</v>
      </c>
      <c r="I152" t="str">
        <f t="shared" si="5"/>
        <v/>
      </c>
    </row>
    <row r="153" spans="1:9">
      <c r="A153">
        <v>147</v>
      </c>
      <c r="B153" t="str">
        <f t="shared" si="4"/>
        <v>ronald i. toff</v>
      </c>
      <c r="C153" t="s">
        <v>412</v>
      </c>
      <c r="D153" t="s">
        <v>413</v>
      </c>
      <c r="E153" t="s">
        <v>414</v>
      </c>
      <c r="F153" t="s">
        <v>49</v>
      </c>
      <c r="G153" t="s">
        <v>15</v>
      </c>
      <c r="H153" t="s">
        <v>10</v>
      </c>
      <c r="I153" t="str">
        <f t="shared" si="5"/>
        <v/>
      </c>
    </row>
    <row r="154" spans="1:9">
      <c r="A154">
        <v>148</v>
      </c>
      <c r="B154" t="str">
        <f t="shared" si="4"/>
        <v xml:space="preserve">  todd kathryn doi</v>
      </c>
      <c r="C154" t="s">
        <v>415</v>
      </c>
      <c r="D154" t="s">
        <v>4</v>
      </c>
      <c r="E154" t="s">
        <v>4</v>
      </c>
      <c r="F154" t="s">
        <v>19</v>
      </c>
      <c r="G154" t="s">
        <v>20</v>
      </c>
      <c r="H154" t="s">
        <v>21</v>
      </c>
      <c r="I154" t="str">
        <f t="shared" si="5"/>
        <v/>
      </c>
    </row>
    <row r="155" spans="1:9">
      <c r="A155">
        <v>149</v>
      </c>
      <c r="B155" t="str">
        <f t="shared" si="4"/>
        <v>harry j  tobias harry</v>
      </c>
      <c r="C155" t="s">
        <v>416</v>
      </c>
      <c r="D155" t="s">
        <v>417</v>
      </c>
      <c r="E155" t="s">
        <v>4</v>
      </c>
      <c r="F155" t="s">
        <v>4012</v>
      </c>
      <c r="G155" t="s">
        <v>4</v>
      </c>
      <c r="H155" t="s">
        <v>4</v>
      </c>
      <c r="I155" t="str">
        <f t="shared" si="5"/>
        <v/>
      </c>
    </row>
    <row r="156" spans="1:9">
      <c r="A156">
        <v>150</v>
      </c>
      <c r="B156" t="str">
        <f t="shared" si="4"/>
        <v>patricia j. titus</v>
      </c>
      <c r="C156" t="s">
        <v>418</v>
      </c>
      <c r="D156" t="s">
        <v>419</v>
      </c>
      <c r="E156" t="s">
        <v>94</v>
      </c>
      <c r="F156" t="s">
        <v>25</v>
      </c>
      <c r="G156" t="s">
        <v>420</v>
      </c>
      <c r="H156" t="s">
        <v>10</v>
      </c>
      <c r="I156" t="str">
        <f t="shared" si="5"/>
        <v/>
      </c>
    </row>
    <row r="157" spans="1:9">
      <c r="A157">
        <v>151</v>
      </c>
      <c r="B157" t="str">
        <f t="shared" si="4"/>
        <v>francisca p. tisher</v>
      </c>
      <c r="C157" t="s">
        <v>421</v>
      </c>
      <c r="D157" t="s">
        <v>4013</v>
      </c>
      <c r="E157" t="s">
        <v>91</v>
      </c>
      <c r="F157" t="s">
        <v>422</v>
      </c>
      <c r="G157" t="s">
        <v>4</v>
      </c>
      <c r="H157" t="s">
        <v>36</v>
      </c>
      <c r="I157" t="str">
        <f t="shared" si="5"/>
        <v/>
      </c>
    </row>
    <row r="158" spans="1:9">
      <c r="A158">
        <v>152</v>
      </c>
      <c r="B158" t="str">
        <f t="shared" si="4"/>
        <v>leland herbert tipton</v>
      </c>
      <c r="C158" t="s">
        <v>423</v>
      </c>
      <c r="D158" t="s">
        <v>424</v>
      </c>
      <c r="E158" t="s">
        <v>425</v>
      </c>
      <c r="F158" t="s">
        <v>426</v>
      </c>
      <c r="G158" t="s">
        <v>427</v>
      </c>
      <c r="H158" t="s">
        <v>10</v>
      </c>
      <c r="I158" t="str">
        <f t="shared" si="5"/>
        <v/>
      </c>
    </row>
    <row r="159" spans="1:9">
      <c r="A159">
        <v>153</v>
      </c>
      <c r="B159" t="str">
        <f t="shared" si="4"/>
        <v>bobbi  tillmon</v>
      </c>
      <c r="C159" t="s">
        <v>428</v>
      </c>
      <c r="D159" t="s">
        <v>429</v>
      </c>
      <c r="E159" t="s">
        <v>4</v>
      </c>
      <c r="F159" t="s">
        <v>25</v>
      </c>
      <c r="G159" t="s">
        <v>4</v>
      </c>
      <c r="H159" t="s">
        <v>10</v>
      </c>
      <c r="I159" t="str">
        <f t="shared" si="5"/>
        <v/>
      </c>
    </row>
    <row r="160" spans="1:9">
      <c r="A160">
        <v>154</v>
      </c>
      <c r="B160" t="str">
        <f t="shared" si="4"/>
        <v>jon steven tigar</v>
      </c>
      <c r="C160" t="s">
        <v>430</v>
      </c>
      <c r="D160" t="s">
        <v>431</v>
      </c>
      <c r="E160" t="s">
        <v>339</v>
      </c>
      <c r="F160" t="s">
        <v>387</v>
      </c>
      <c r="G160" t="s">
        <v>4</v>
      </c>
      <c r="H160" t="s">
        <v>10</v>
      </c>
      <c r="I160" t="str">
        <f t="shared" si="5"/>
        <v/>
      </c>
    </row>
    <row r="161" spans="1:9">
      <c r="A161">
        <v>155</v>
      </c>
      <c r="B161" t="str">
        <f t="shared" si="4"/>
        <v>raoul m thorbourne</v>
      </c>
      <c r="C161" t="s">
        <v>432</v>
      </c>
      <c r="D161" t="s">
        <v>433</v>
      </c>
      <c r="E161" t="s">
        <v>410</v>
      </c>
      <c r="F161" t="s">
        <v>32</v>
      </c>
      <c r="G161" t="s">
        <v>434</v>
      </c>
      <c r="H161" t="s">
        <v>10</v>
      </c>
      <c r="I161" t="str">
        <f t="shared" si="5"/>
        <v/>
      </c>
    </row>
    <row r="162" spans="1:9">
      <c r="A162">
        <v>156</v>
      </c>
      <c r="B162" t="str">
        <f t="shared" si="4"/>
        <v>b scott thomsen</v>
      </c>
      <c r="C162" t="s">
        <v>435</v>
      </c>
      <c r="D162" t="s">
        <v>358</v>
      </c>
      <c r="E162" t="s">
        <v>436</v>
      </c>
      <c r="F162" t="s">
        <v>437</v>
      </c>
      <c r="G162" t="s">
        <v>4</v>
      </c>
      <c r="H162" t="s">
        <v>10</v>
      </c>
      <c r="I162" t="str">
        <f t="shared" si="5"/>
        <v/>
      </c>
    </row>
    <row r="163" spans="1:9">
      <c r="A163">
        <v>157</v>
      </c>
      <c r="B163" t="str">
        <f t="shared" si="4"/>
        <v>trina lynn thompson stanley</v>
      </c>
      <c r="C163" t="s">
        <v>438</v>
      </c>
      <c r="D163" t="s">
        <v>439</v>
      </c>
      <c r="E163" t="s">
        <v>197</v>
      </c>
      <c r="F163" t="s">
        <v>4014</v>
      </c>
      <c r="G163" t="s">
        <v>440</v>
      </c>
      <c r="H163" t="s">
        <v>4</v>
      </c>
      <c r="I163" t="str">
        <f t="shared" si="5"/>
        <v/>
      </c>
    </row>
    <row r="164" spans="1:9">
      <c r="A164">
        <v>158</v>
      </c>
      <c r="B164" t="str">
        <f t="shared" si="4"/>
        <v xml:space="preserve"> superior court thompsonsandra ann</v>
      </c>
      <c r="C164" t="s">
        <v>4015</v>
      </c>
      <c r="D164" t="s">
        <v>4</v>
      </c>
      <c r="E164" t="s">
        <v>49</v>
      </c>
      <c r="F164" t="s">
        <v>4016</v>
      </c>
      <c r="G164" t="s">
        <v>4</v>
      </c>
      <c r="H164" t="s">
        <v>4</v>
      </c>
      <c r="I164" t="str">
        <f t="shared" si="5"/>
        <v/>
      </c>
    </row>
    <row r="165" spans="1:9">
      <c r="A165">
        <v>159</v>
      </c>
      <c r="B165" t="str">
        <f t="shared" si="4"/>
        <v>nicholas six thompson</v>
      </c>
      <c r="C165" t="s">
        <v>441</v>
      </c>
      <c r="D165" t="s">
        <v>442</v>
      </c>
      <c r="E165" t="s">
        <v>443</v>
      </c>
      <c r="F165" t="s">
        <v>137</v>
      </c>
      <c r="G165" t="s">
        <v>444</v>
      </c>
      <c r="H165" t="s">
        <v>36</v>
      </c>
      <c r="I165" t="str">
        <f t="shared" si="5"/>
        <v/>
      </c>
    </row>
    <row r="166" spans="1:9">
      <c r="A166">
        <v>160</v>
      </c>
      <c r="B166" t="str">
        <f t="shared" si="4"/>
        <v>john m. thompson</v>
      </c>
      <c r="C166" t="s">
        <v>441</v>
      </c>
      <c r="D166" t="s">
        <v>7</v>
      </c>
      <c r="E166" t="s">
        <v>189</v>
      </c>
      <c r="F166" t="s">
        <v>101</v>
      </c>
      <c r="G166" t="s">
        <v>445</v>
      </c>
      <c r="H166" t="s">
        <v>103</v>
      </c>
      <c r="I166" t="str">
        <f t="shared" si="5"/>
        <v/>
      </c>
    </row>
    <row r="167" spans="1:9">
      <c r="A167">
        <v>161</v>
      </c>
      <c r="B167" t="str">
        <f t="shared" si="4"/>
        <v>jeffrey a. thompson</v>
      </c>
      <c r="C167" t="s">
        <v>441</v>
      </c>
      <c r="D167" t="s">
        <v>446</v>
      </c>
      <c r="E167" t="s">
        <v>447</v>
      </c>
      <c r="F167" t="s">
        <v>448</v>
      </c>
      <c r="G167" t="s">
        <v>449</v>
      </c>
      <c r="H167" t="s">
        <v>10</v>
      </c>
      <c r="I167" t="str">
        <f t="shared" si="5"/>
        <v/>
      </c>
    </row>
    <row r="168" spans="1:9">
      <c r="A168">
        <v>162</v>
      </c>
      <c r="B168" t="str">
        <f t="shared" si="4"/>
        <v>david arthur thompson</v>
      </c>
      <c r="C168" t="s">
        <v>441</v>
      </c>
      <c r="D168" t="s">
        <v>28</v>
      </c>
      <c r="E168" t="s">
        <v>169</v>
      </c>
      <c r="F168" t="s">
        <v>4017</v>
      </c>
      <c r="G168" t="s">
        <v>4</v>
      </c>
      <c r="H168" t="s">
        <v>4</v>
      </c>
      <c r="I168" t="str">
        <f t="shared" si="5"/>
        <v/>
      </c>
    </row>
    <row r="169" spans="1:9">
      <c r="A169">
        <v>163</v>
      </c>
      <c r="B169" t="str">
        <f t="shared" si="4"/>
        <v>lauren p. thomasson</v>
      </c>
      <c r="C169" t="s">
        <v>450</v>
      </c>
      <c r="D169" t="s">
        <v>451</v>
      </c>
      <c r="E169" t="s">
        <v>91</v>
      </c>
      <c r="F169" t="s">
        <v>8</v>
      </c>
      <c r="G169" t="s">
        <v>292</v>
      </c>
      <c r="H169" t="s">
        <v>103</v>
      </c>
      <c r="I169" t="str">
        <f t="shared" si="5"/>
        <v/>
      </c>
    </row>
    <row r="170" spans="1:9">
      <c r="A170">
        <v>164</v>
      </c>
      <c r="B170" t="str">
        <f t="shared" si="4"/>
        <v>ellen  thistlethwaite jamie</v>
      </c>
      <c r="C170" t="s">
        <v>452</v>
      </c>
      <c r="D170" t="s">
        <v>453</v>
      </c>
      <c r="E170" t="s">
        <v>4</v>
      </c>
      <c r="F170" t="s">
        <v>4018</v>
      </c>
      <c r="G170" t="s">
        <v>4</v>
      </c>
      <c r="H170" t="s">
        <v>4</v>
      </c>
      <c r="I170" t="str">
        <f t="shared" si="5"/>
        <v/>
      </c>
    </row>
    <row r="171" spans="1:9">
      <c r="A171">
        <v>165</v>
      </c>
      <c r="B171" t="str">
        <f t="shared" si="4"/>
        <v>christian f. thierbach</v>
      </c>
      <c r="C171" t="s">
        <v>454</v>
      </c>
      <c r="D171" t="s">
        <v>455</v>
      </c>
      <c r="E171" t="s">
        <v>161</v>
      </c>
      <c r="F171" t="s">
        <v>456</v>
      </c>
      <c r="G171" t="s">
        <v>4</v>
      </c>
      <c r="H171" t="s">
        <v>10</v>
      </c>
      <c r="I171" t="str">
        <f t="shared" si="5"/>
        <v/>
      </c>
    </row>
    <row r="172" spans="1:9">
      <c r="A172">
        <v>166</v>
      </c>
      <c r="B172" t="str">
        <f t="shared" si="4"/>
        <v>daniel tyler tharpe</v>
      </c>
      <c r="C172" t="s">
        <v>457</v>
      </c>
      <c r="D172" t="s">
        <v>23</v>
      </c>
      <c r="E172" t="s">
        <v>458</v>
      </c>
      <c r="F172" t="s">
        <v>459</v>
      </c>
      <c r="G172" t="s">
        <v>4</v>
      </c>
      <c r="H172" t="s">
        <v>10</v>
      </c>
      <c r="I172" t="str">
        <f t="shared" si="5"/>
        <v/>
      </c>
    </row>
    <row r="173" spans="1:9">
      <c r="A173">
        <v>167</v>
      </c>
      <c r="B173" t="str">
        <f t="shared" si="4"/>
        <v>michael  terrell</v>
      </c>
      <c r="C173" t="s">
        <v>460</v>
      </c>
      <c r="D173" t="s">
        <v>219</v>
      </c>
      <c r="E173" t="s">
        <v>4</v>
      </c>
      <c r="F173" t="s">
        <v>49</v>
      </c>
      <c r="G173" t="s">
        <v>461</v>
      </c>
      <c r="H173" t="s">
        <v>10</v>
      </c>
      <c r="I173" t="str">
        <f t="shared" si="5"/>
        <v/>
      </c>
    </row>
    <row r="174" spans="1:9">
      <c r="A174">
        <v>168</v>
      </c>
      <c r="B174" t="str">
        <f t="shared" si="4"/>
        <v>timothy b. taylor</v>
      </c>
      <c r="C174" t="s">
        <v>462</v>
      </c>
      <c r="D174" t="s">
        <v>264</v>
      </c>
      <c r="E174" t="s">
        <v>400</v>
      </c>
      <c r="F174" t="s">
        <v>101</v>
      </c>
      <c r="G174" t="s">
        <v>102</v>
      </c>
      <c r="H174" t="s">
        <v>103</v>
      </c>
      <c r="I174" t="str">
        <f t="shared" si="5"/>
        <v/>
      </c>
    </row>
    <row r="175" spans="1:9">
      <c r="A175">
        <v>169</v>
      </c>
      <c r="B175" t="str">
        <f t="shared" si="4"/>
        <v>eric charles taylor</v>
      </c>
      <c r="C175" t="s">
        <v>462</v>
      </c>
      <c r="D175" t="s">
        <v>463</v>
      </c>
      <c r="E175" t="s">
        <v>35</v>
      </c>
      <c r="F175" t="s">
        <v>1749</v>
      </c>
      <c r="G175" t="s">
        <v>464</v>
      </c>
      <c r="H175" t="s">
        <v>465</v>
      </c>
      <c r="I175" t="str">
        <f t="shared" si="5"/>
        <v/>
      </c>
    </row>
    <row r="176" spans="1:9">
      <c r="A176">
        <v>170</v>
      </c>
      <c r="B176" t="str">
        <f t="shared" si="4"/>
        <v>chet l. taylor</v>
      </c>
      <c r="C176" t="s">
        <v>462</v>
      </c>
      <c r="D176" t="s">
        <v>466</v>
      </c>
      <c r="E176" t="s">
        <v>257</v>
      </c>
      <c r="F176" t="s">
        <v>25</v>
      </c>
      <c r="G176" t="s">
        <v>4</v>
      </c>
      <c r="H176" t="s">
        <v>10</v>
      </c>
      <c r="I176" t="str">
        <f t="shared" si="5"/>
        <v/>
      </c>
    </row>
    <row r="177" spans="1:9">
      <c r="A177">
        <v>171</v>
      </c>
      <c r="B177" t="str">
        <f t="shared" si="4"/>
        <v>gregory s. tavill</v>
      </c>
      <c r="C177" t="s">
        <v>467</v>
      </c>
      <c r="D177" t="s">
        <v>468</v>
      </c>
      <c r="E177" t="s">
        <v>174</v>
      </c>
      <c r="F177" t="s">
        <v>32</v>
      </c>
      <c r="G177" t="s">
        <v>469</v>
      </c>
      <c r="H177" t="s">
        <v>10</v>
      </c>
      <c r="I177" t="str">
        <f t="shared" si="5"/>
        <v/>
      </c>
    </row>
    <row r="178" spans="1:9">
      <c r="A178">
        <v>172</v>
      </c>
      <c r="B178" t="str">
        <f t="shared" si="4"/>
        <v>donna l. tarter</v>
      </c>
      <c r="C178" t="s">
        <v>470</v>
      </c>
      <c r="D178" t="s">
        <v>471</v>
      </c>
      <c r="E178" t="s">
        <v>257</v>
      </c>
      <c r="F178" t="s">
        <v>32</v>
      </c>
      <c r="G178" t="s">
        <v>472</v>
      </c>
      <c r="H178" t="s">
        <v>10</v>
      </c>
      <c r="I178" t="str">
        <f t="shared" si="5"/>
        <v/>
      </c>
    </row>
    <row r="179" spans="1:9">
      <c r="A179">
        <v>172</v>
      </c>
      <c r="B179" t="str">
        <f t="shared" si="4"/>
        <v>donna l. tarter</v>
      </c>
      <c r="C179" t="s">
        <v>470</v>
      </c>
      <c r="D179" t="s">
        <v>471</v>
      </c>
      <c r="E179" t="s">
        <v>257</v>
      </c>
      <c r="F179" t="s">
        <v>32</v>
      </c>
      <c r="G179" t="s">
        <v>472</v>
      </c>
      <c r="H179" t="s">
        <v>10</v>
      </c>
      <c r="I179" t="str">
        <f t="shared" si="5"/>
        <v/>
      </c>
    </row>
    <row r="180" spans="1:9">
      <c r="A180">
        <v>173</v>
      </c>
      <c r="B180" t="str">
        <f t="shared" si="4"/>
        <v>norman perry tarle</v>
      </c>
      <c r="C180" t="s">
        <v>473</v>
      </c>
      <c r="D180" t="s">
        <v>474</v>
      </c>
      <c r="E180" t="s">
        <v>475</v>
      </c>
      <c r="F180" t="s">
        <v>46</v>
      </c>
      <c r="G180" t="s">
        <v>4</v>
      </c>
      <c r="H180" t="s">
        <v>10</v>
      </c>
      <c r="I180" t="str">
        <f t="shared" si="5"/>
        <v/>
      </c>
    </row>
    <row r="181" spans="1:9">
      <c r="A181">
        <v>174</v>
      </c>
      <c r="B181" t="str">
        <f t="shared" si="4"/>
        <v>mark  tansil</v>
      </c>
      <c r="C181" t="s">
        <v>476</v>
      </c>
      <c r="D181" t="s">
        <v>45</v>
      </c>
      <c r="E181" t="s">
        <v>4</v>
      </c>
      <c r="F181" t="s">
        <v>54</v>
      </c>
      <c r="G181" t="s">
        <v>171</v>
      </c>
      <c r="H181" t="s">
        <v>36</v>
      </c>
      <c r="I181" t="str">
        <f t="shared" si="5"/>
        <v/>
      </c>
    </row>
    <row r="182" spans="1:9">
      <c r="A182">
        <v>175</v>
      </c>
      <c r="B182" t="str">
        <f t="shared" si="4"/>
        <v>martin john tangeman</v>
      </c>
      <c r="C182" t="s">
        <v>477</v>
      </c>
      <c r="D182" t="s">
        <v>478</v>
      </c>
      <c r="E182" t="s">
        <v>7</v>
      </c>
      <c r="F182" t="s">
        <v>8</v>
      </c>
      <c r="G182" t="s">
        <v>479</v>
      </c>
      <c r="H182" t="s">
        <v>10</v>
      </c>
      <c r="I182" t="str">
        <f t="shared" si="5"/>
        <v/>
      </c>
    </row>
    <row r="183" spans="1:9">
      <c r="A183">
        <v>176</v>
      </c>
      <c r="B183" t="str">
        <f t="shared" si="4"/>
        <v>julie  tang</v>
      </c>
      <c r="C183" t="s">
        <v>480</v>
      </c>
      <c r="D183" t="s">
        <v>481</v>
      </c>
      <c r="E183" t="s">
        <v>4</v>
      </c>
      <c r="F183" t="s">
        <v>4019</v>
      </c>
      <c r="G183" t="s">
        <v>4</v>
      </c>
      <c r="H183" t="s">
        <v>4</v>
      </c>
      <c r="I183" t="str">
        <f t="shared" si="5"/>
        <v/>
      </c>
    </row>
    <row r="184" spans="1:9">
      <c r="A184">
        <v>177</v>
      </c>
      <c r="B184" t="str">
        <f t="shared" si="4"/>
        <v xml:space="preserve">  tanaka gary y.</v>
      </c>
      <c r="C184" t="s">
        <v>482</v>
      </c>
      <c r="D184" t="s">
        <v>4</v>
      </c>
      <c r="E184" t="s">
        <v>4</v>
      </c>
      <c r="F184" t="s">
        <v>1749</v>
      </c>
      <c r="G184" t="s">
        <v>483</v>
      </c>
      <c r="H184" t="s">
        <v>4</v>
      </c>
      <c r="I184" t="str">
        <f t="shared" si="5"/>
        <v/>
      </c>
    </row>
    <row r="185" spans="1:9">
      <c r="A185">
        <v>178</v>
      </c>
      <c r="B185" t="str">
        <f t="shared" si="4"/>
        <v>robert lynn tamietti</v>
      </c>
      <c r="C185" t="s">
        <v>484</v>
      </c>
      <c r="D185" t="s">
        <v>72</v>
      </c>
      <c r="E185" t="s">
        <v>197</v>
      </c>
      <c r="F185" t="s">
        <v>437</v>
      </c>
      <c r="G185" t="s">
        <v>4</v>
      </c>
      <c r="H185" t="s">
        <v>10</v>
      </c>
      <c r="I185" t="str">
        <f t="shared" si="5"/>
        <v/>
      </c>
    </row>
    <row r="186" spans="1:9">
      <c r="A186">
        <v>179</v>
      </c>
      <c r="B186" t="str">
        <f t="shared" si="4"/>
        <v>jon robert takasugi</v>
      </c>
      <c r="C186" t="s">
        <v>485</v>
      </c>
      <c r="D186" t="s">
        <v>431</v>
      </c>
      <c r="E186" t="s">
        <v>72</v>
      </c>
      <c r="F186" t="s">
        <v>25</v>
      </c>
      <c r="G186" t="s">
        <v>4</v>
      </c>
      <c r="H186" t="s">
        <v>36</v>
      </c>
      <c r="I186" t="str">
        <f t="shared" si="5"/>
        <v/>
      </c>
    </row>
    <row r="187" spans="1:9">
      <c r="A187">
        <v>180</v>
      </c>
      <c r="B187" t="str">
        <f t="shared" si="4"/>
        <v>drew c. takaichi</v>
      </c>
      <c r="C187" t="s">
        <v>486</v>
      </c>
      <c r="D187" t="s">
        <v>487</v>
      </c>
      <c r="E187" t="s">
        <v>332</v>
      </c>
      <c r="F187" t="s">
        <v>488</v>
      </c>
      <c r="G187" t="s">
        <v>15</v>
      </c>
      <c r="H187" t="s">
        <v>10</v>
      </c>
      <c r="I187" t="str">
        <f t="shared" si="5"/>
        <v/>
      </c>
    </row>
    <row r="188" spans="1:9">
      <c r="A188">
        <v>181</v>
      </c>
      <c r="B188" t="str">
        <f t="shared" si="4"/>
        <v>robert s tafoya</v>
      </c>
      <c r="C188" t="s">
        <v>489</v>
      </c>
      <c r="D188" t="s">
        <v>72</v>
      </c>
      <c r="E188" t="s">
        <v>182</v>
      </c>
      <c r="F188" t="s">
        <v>32</v>
      </c>
      <c r="G188" t="s">
        <v>95</v>
      </c>
      <c r="H188" t="s">
        <v>10</v>
      </c>
      <c r="I188" t="str">
        <f t="shared" si="5"/>
        <v/>
      </c>
    </row>
    <row r="189" spans="1:9">
      <c r="A189">
        <v>182</v>
      </c>
      <c r="B189" t="str">
        <f t="shared" si="4"/>
        <v>david michael szumowski</v>
      </c>
      <c r="C189" t="s">
        <v>4020</v>
      </c>
      <c r="D189" t="s">
        <v>28</v>
      </c>
      <c r="E189" t="s">
        <v>219</v>
      </c>
      <c r="F189" t="s">
        <v>101</v>
      </c>
      <c r="G189" t="s">
        <v>102</v>
      </c>
      <c r="H189" t="s">
        <v>103</v>
      </c>
      <c r="I189" t="str">
        <f t="shared" si="5"/>
        <v/>
      </c>
    </row>
    <row r="190" spans="1:9">
      <c r="A190">
        <v>183</v>
      </c>
      <c r="B190" t="str">
        <f t="shared" si="4"/>
        <v>ariadne  symons</v>
      </c>
      <c r="C190" t="s">
        <v>490</v>
      </c>
      <c r="D190" t="s">
        <v>491</v>
      </c>
      <c r="E190" t="s">
        <v>4</v>
      </c>
      <c r="F190" t="s">
        <v>492</v>
      </c>
      <c r="G190" t="s">
        <v>493</v>
      </c>
      <c r="H190" t="s">
        <v>36</v>
      </c>
      <c r="I190" t="str">
        <f t="shared" si="5"/>
        <v/>
      </c>
    </row>
    <row r="191" spans="1:9">
      <c r="A191">
        <v>184</v>
      </c>
      <c r="B191" t="str">
        <f t="shared" si="4"/>
        <v>virgil raymond swope iii</v>
      </c>
      <c r="C191" t="s">
        <v>494</v>
      </c>
      <c r="D191" t="s">
        <v>495</v>
      </c>
      <c r="E191" t="s">
        <v>496</v>
      </c>
      <c r="F191" t="s">
        <v>231</v>
      </c>
      <c r="G191" t="s">
        <v>4</v>
      </c>
      <c r="H191" t="s">
        <v>10</v>
      </c>
      <c r="I191" t="str">
        <f t="shared" si="5"/>
        <v/>
      </c>
    </row>
    <row r="192" spans="1:9">
      <c r="A192">
        <v>185</v>
      </c>
      <c r="B192" t="str">
        <f t="shared" si="4"/>
        <v>michael warren sweet</v>
      </c>
      <c r="C192" t="s">
        <v>497</v>
      </c>
      <c r="D192" t="s">
        <v>219</v>
      </c>
      <c r="E192" t="s">
        <v>145</v>
      </c>
      <c r="F192" t="s">
        <v>498</v>
      </c>
      <c r="G192" t="s">
        <v>499</v>
      </c>
      <c r="H192" t="s">
        <v>36</v>
      </c>
      <c r="I192" t="str">
        <f t="shared" si="5"/>
        <v/>
      </c>
    </row>
    <row r="193" spans="1:9">
      <c r="A193">
        <v>186</v>
      </c>
      <c r="B193" t="str">
        <f t="shared" si="4"/>
        <v>andrew edward sweet</v>
      </c>
      <c r="C193" t="s">
        <v>497</v>
      </c>
      <c r="D193" t="s">
        <v>170</v>
      </c>
      <c r="E193" t="s">
        <v>236</v>
      </c>
      <c r="F193" t="s">
        <v>4021</v>
      </c>
      <c r="G193" t="s">
        <v>4</v>
      </c>
      <c r="H193" t="s">
        <v>4</v>
      </c>
      <c r="I193" t="str">
        <f t="shared" si="5"/>
        <v/>
      </c>
    </row>
    <row r="194" spans="1:9">
      <c r="A194">
        <v>187</v>
      </c>
      <c r="B194" t="str">
        <f t="shared" si="4"/>
        <v>leslie ann swain</v>
      </c>
      <c r="C194" t="s">
        <v>500</v>
      </c>
      <c r="D194" t="s">
        <v>501</v>
      </c>
      <c r="E194" t="s">
        <v>3</v>
      </c>
      <c r="F194" t="s">
        <v>49</v>
      </c>
      <c r="G194" t="s">
        <v>135</v>
      </c>
      <c r="H194" t="s">
        <v>10</v>
      </c>
      <c r="I194" t="str">
        <f t="shared" si="5"/>
        <v/>
      </c>
    </row>
    <row r="195" spans="1:9">
      <c r="A195">
        <v>188</v>
      </c>
      <c r="B195" t="str">
        <f t="shared" ref="B195:B258" si="6">TRIM($D195) &amp; " " &amp; TRIM($E195) &amp; " " &amp; TRIM($C195)</f>
        <v>paul ted suzuki</v>
      </c>
      <c r="C195" t="s">
        <v>502</v>
      </c>
      <c r="D195" t="s">
        <v>280</v>
      </c>
      <c r="E195" t="s">
        <v>503</v>
      </c>
      <c r="F195" t="s">
        <v>2025</v>
      </c>
      <c r="G195" t="s">
        <v>299</v>
      </c>
      <c r="H195" t="s">
        <v>10</v>
      </c>
      <c r="I195" t="str">
        <f t="shared" ref="I195:I258" si="7">IF(NOT(ISERROR(FIND("judge",F195))),"judge","")</f>
        <v/>
      </c>
    </row>
    <row r="196" spans="1:9">
      <c r="A196">
        <v>189</v>
      </c>
      <c r="B196" t="str">
        <f t="shared" si="6"/>
        <v>steven craig suzukawa</v>
      </c>
      <c r="C196" t="s">
        <v>504</v>
      </c>
      <c r="D196" t="s">
        <v>339</v>
      </c>
      <c r="E196" t="s">
        <v>322</v>
      </c>
      <c r="F196" t="s">
        <v>19</v>
      </c>
      <c r="G196" t="s">
        <v>20</v>
      </c>
      <c r="H196" t="s">
        <v>21</v>
      </c>
      <c r="I196" t="str">
        <f t="shared" si="7"/>
        <v/>
      </c>
    </row>
    <row r="197" spans="1:9">
      <c r="A197">
        <v>190</v>
      </c>
      <c r="B197" t="str">
        <f t="shared" si="6"/>
        <v>allen howard sumner</v>
      </c>
      <c r="C197" t="s">
        <v>505</v>
      </c>
      <c r="D197" t="s">
        <v>192</v>
      </c>
      <c r="E197" t="s">
        <v>506</v>
      </c>
      <c r="F197" t="s">
        <v>507</v>
      </c>
      <c r="G197" t="s">
        <v>4</v>
      </c>
      <c r="H197" t="s">
        <v>10</v>
      </c>
      <c r="I197" t="str">
        <f t="shared" si="7"/>
        <v/>
      </c>
    </row>
    <row r="198" spans="1:9">
      <c r="A198">
        <v>191</v>
      </c>
      <c r="B198" t="str">
        <f t="shared" si="6"/>
        <v>donald james sullivan</v>
      </c>
      <c r="C198" t="s">
        <v>508</v>
      </c>
      <c r="D198" t="s">
        <v>509</v>
      </c>
      <c r="E198" t="s">
        <v>90</v>
      </c>
      <c r="F198" t="s">
        <v>4022</v>
      </c>
      <c r="G198" t="s">
        <v>4</v>
      </c>
      <c r="H198" t="s">
        <v>4</v>
      </c>
      <c r="I198" t="str">
        <f t="shared" si="7"/>
        <v/>
      </c>
    </row>
    <row r="199" spans="1:9">
      <c r="A199">
        <v>192</v>
      </c>
      <c r="B199" t="str">
        <f t="shared" si="6"/>
        <v>john hideki sugiyama</v>
      </c>
      <c r="C199" t="s">
        <v>510</v>
      </c>
      <c r="D199" t="s">
        <v>7</v>
      </c>
      <c r="E199" t="s">
        <v>511</v>
      </c>
      <c r="F199" t="s">
        <v>49</v>
      </c>
      <c r="G199" t="s">
        <v>512</v>
      </c>
      <c r="H199" t="s">
        <v>10</v>
      </c>
      <c r="I199" t="str">
        <f t="shared" si="7"/>
        <v/>
      </c>
    </row>
    <row r="200" spans="1:9">
      <c r="A200">
        <v>193</v>
      </c>
      <c r="B200" t="str">
        <f t="shared" si="6"/>
        <v>richard k sueyoshi</v>
      </c>
      <c r="C200" t="s">
        <v>513</v>
      </c>
      <c r="D200" t="s">
        <v>173</v>
      </c>
      <c r="E200" t="s">
        <v>514</v>
      </c>
      <c r="F200" t="s">
        <v>184</v>
      </c>
      <c r="G200" t="s">
        <v>4</v>
      </c>
      <c r="H200" t="s">
        <v>10</v>
      </c>
      <c r="I200" t="str">
        <f t="shared" si="7"/>
        <v/>
      </c>
    </row>
    <row r="201" spans="1:9">
      <c r="A201">
        <v>194</v>
      </c>
      <c r="B201" t="str">
        <f t="shared" si="6"/>
        <v>ronald l styn</v>
      </c>
      <c r="C201" t="s">
        <v>515</v>
      </c>
      <c r="D201" t="s">
        <v>413</v>
      </c>
      <c r="E201" t="s">
        <v>77</v>
      </c>
      <c r="F201" t="s">
        <v>101</v>
      </c>
      <c r="G201" t="s">
        <v>102</v>
      </c>
      <c r="H201" t="s">
        <v>103</v>
      </c>
      <c r="I201" t="str">
        <f t="shared" si="7"/>
        <v/>
      </c>
    </row>
    <row r="202" spans="1:9">
      <c r="A202">
        <v>195</v>
      </c>
      <c r="B202" t="str">
        <f t="shared" si="6"/>
        <v>eddie c. sturgeon</v>
      </c>
      <c r="C202" t="s">
        <v>516</v>
      </c>
      <c r="D202" t="s">
        <v>517</v>
      </c>
      <c r="E202" t="s">
        <v>332</v>
      </c>
      <c r="F202" t="s">
        <v>101</v>
      </c>
      <c r="G202" t="s">
        <v>102</v>
      </c>
      <c r="H202" t="s">
        <v>103</v>
      </c>
      <c r="I202" t="str">
        <f t="shared" si="7"/>
        <v/>
      </c>
    </row>
    <row r="203" spans="1:9">
      <c r="A203">
        <v>196</v>
      </c>
      <c r="B203" t="str">
        <f t="shared" si="6"/>
        <v>victor r stull</v>
      </c>
      <c r="C203" t="s">
        <v>518</v>
      </c>
      <c r="D203" t="s">
        <v>76</v>
      </c>
      <c r="E203" t="s">
        <v>53</v>
      </c>
      <c r="F203" t="s">
        <v>32</v>
      </c>
      <c r="G203" t="s">
        <v>519</v>
      </c>
      <c r="H203" t="s">
        <v>36</v>
      </c>
      <c r="I203" t="str">
        <f t="shared" si="7"/>
        <v/>
      </c>
    </row>
    <row r="204" spans="1:9">
      <c r="A204">
        <v>197</v>
      </c>
      <c r="B204" t="str">
        <f t="shared" si="6"/>
        <v>jon e stuebbe</v>
      </c>
      <c r="C204" t="s">
        <v>520</v>
      </c>
      <c r="D204" t="s">
        <v>431</v>
      </c>
      <c r="E204" t="s">
        <v>134</v>
      </c>
      <c r="F204" t="s">
        <v>32</v>
      </c>
      <c r="G204" t="s">
        <v>95</v>
      </c>
      <c r="H204" t="s">
        <v>10</v>
      </c>
      <c r="I204" t="str">
        <f t="shared" si="7"/>
        <v/>
      </c>
    </row>
    <row r="205" spans="1:9">
      <c r="A205">
        <v>198</v>
      </c>
      <c r="B205" t="str">
        <f t="shared" si="6"/>
        <v>david w. stuart</v>
      </c>
      <c r="C205" t="s">
        <v>521</v>
      </c>
      <c r="D205" t="s">
        <v>28</v>
      </c>
      <c r="E205" t="s">
        <v>65</v>
      </c>
      <c r="F205" t="s">
        <v>522</v>
      </c>
      <c r="G205" t="s">
        <v>4</v>
      </c>
      <c r="H205" t="s">
        <v>4</v>
      </c>
      <c r="I205" t="str">
        <f t="shared" si="7"/>
        <v/>
      </c>
    </row>
    <row r="206" spans="1:9">
      <c r="A206">
        <v>199</v>
      </c>
      <c r="B206" t="str">
        <f t="shared" si="6"/>
        <v>mary h strobel</v>
      </c>
      <c r="C206" t="s">
        <v>523</v>
      </c>
      <c r="D206" t="s">
        <v>126</v>
      </c>
      <c r="E206" t="s">
        <v>250</v>
      </c>
      <c r="F206" t="s">
        <v>25</v>
      </c>
      <c r="G206" t="s">
        <v>4</v>
      </c>
      <c r="H206" t="s">
        <v>10</v>
      </c>
      <c r="I206" t="str">
        <f t="shared" si="7"/>
        <v/>
      </c>
    </row>
    <row r="207" spans="1:9">
      <c r="A207">
        <v>200</v>
      </c>
      <c r="B207" t="str">
        <f t="shared" si="6"/>
        <v>elaine  streger</v>
      </c>
      <c r="C207" t="s">
        <v>524</v>
      </c>
      <c r="D207" t="s">
        <v>525</v>
      </c>
      <c r="E207" t="s">
        <v>4</v>
      </c>
      <c r="F207" t="s">
        <v>4023</v>
      </c>
      <c r="G207" t="s">
        <v>4</v>
      </c>
      <c r="H207" t="s">
        <v>4</v>
      </c>
      <c r="I207" t="str">
        <f t="shared" si="7"/>
        <v/>
      </c>
    </row>
    <row r="208" spans="1:9">
      <c r="A208">
        <v>201</v>
      </c>
      <c r="B208" t="str">
        <f t="shared" si="6"/>
        <v>richard e.l strauss</v>
      </c>
      <c r="C208" t="s">
        <v>526</v>
      </c>
      <c r="D208" t="s">
        <v>173</v>
      </c>
      <c r="E208" t="s">
        <v>527</v>
      </c>
      <c r="F208" t="s">
        <v>101</v>
      </c>
      <c r="G208" t="s">
        <v>102</v>
      </c>
      <c r="H208" t="s">
        <v>103</v>
      </c>
      <c r="I208" t="str">
        <f t="shared" si="7"/>
        <v/>
      </c>
    </row>
    <row r="209" spans="1:9">
      <c r="A209">
        <v>202</v>
      </c>
      <c r="B209" t="str">
        <f t="shared" si="6"/>
        <v>maria elena stratton</v>
      </c>
      <c r="C209" t="s">
        <v>528</v>
      </c>
      <c r="D209" t="s">
        <v>529</v>
      </c>
      <c r="E209" t="s">
        <v>530</v>
      </c>
      <c r="F209" t="s">
        <v>25</v>
      </c>
      <c r="G209" t="s">
        <v>531</v>
      </c>
      <c r="H209" t="s">
        <v>103</v>
      </c>
      <c r="I209" t="str">
        <f t="shared" si="7"/>
        <v/>
      </c>
    </row>
    <row r="210" spans="1:9">
      <c r="A210">
        <v>203</v>
      </c>
      <c r="B210" t="str">
        <f t="shared" si="6"/>
        <v>warren curtis stracener</v>
      </c>
      <c r="C210" t="s">
        <v>532</v>
      </c>
      <c r="D210" t="s">
        <v>145</v>
      </c>
      <c r="E210" t="s">
        <v>533</v>
      </c>
      <c r="F210" t="s">
        <v>49</v>
      </c>
      <c r="G210" t="s">
        <v>276</v>
      </c>
      <c r="H210" t="s">
        <v>224</v>
      </c>
      <c r="I210" t="str">
        <f t="shared" si="7"/>
        <v/>
      </c>
    </row>
    <row r="211" spans="1:9">
      <c r="A211">
        <v>204</v>
      </c>
      <c r="B211" t="str">
        <f t="shared" si="6"/>
        <v>dean thomas stout</v>
      </c>
      <c r="C211" t="s">
        <v>534</v>
      </c>
      <c r="D211" t="s">
        <v>535</v>
      </c>
      <c r="E211" t="s">
        <v>27</v>
      </c>
      <c r="F211" t="s">
        <v>4024</v>
      </c>
      <c r="G211" t="s">
        <v>4</v>
      </c>
      <c r="H211" t="s">
        <v>4</v>
      </c>
      <c r="I211" t="str">
        <f t="shared" si="7"/>
        <v/>
      </c>
    </row>
    <row r="212" spans="1:9">
      <c r="A212">
        <v>205</v>
      </c>
      <c r="B212" t="str">
        <f t="shared" si="6"/>
        <v>james allen stotler</v>
      </c>
      <c r="C212" t="s">
        <v>536</v>
      </c>
      <c r="D212" t="s">
        <v>90</v>
      </c>
      <c r="E212" t="s">
        <v>192</v>
      </c>
      <c r="F212" t="s">
        <v>137</v>
      </c>
      <c r="G212" t="s">
        <v>4</v>
      </c>
      <c r="H212" t="s">
        <v>4</v>
      </c>
      <c r="I212" t="str">
        <f t="shared" si="7"/>
        <v/>
      </c>
    </row>
    <row r="213" spans="1:9">
      <c r="A213">
        <v>206</v>
      </c>
      <c r="B213" t="str">
        <f t="shared" si="6"/>
        <v>steven edward stone</v>
      </c>
      <c r="C213" t="s">
        <v>537</v>
      </c>
      <c r="D213" t="s">
        <v>339</v>
      </c>
      <c r="E213" t="s">
        <v>236</v>
      </c>
      <c r="F213" t="s">
        <v>101</v>
      </c>
      <c r="G213" t="s">
        <v>102</v>
      </c>
      <c r="H213" t="s">
        <v>103</v>
      </c>
      <c r="I213" t="str">
        <f t="shared" si="7"/>
        <v/>
      </c>
    </row>
    <row r="214" spans="1:9">
      <c r="A214">
        <v>207</v>
      </c>
      <c r="B214" t="str">
        <f t="shared" si="6"/>
        <v>rodney g. stone</v>
      </c>
      <c r="C214" t="s">
        <v>537</v>
      </c>
      <c r="D214" t="s">
        <v>538</v>
      </c>
      <c r="E214" t="s">
        <v>156</v>
      </c>
      <c r="F214" t="s">
        <v>422</v>
      </c>
      <c r="G214" t="s">
        <v>4</v>
      </c>
      <c r="H214" t="s">
        <v>10</v>
      </c>
      <c r="I214" t="str">
        <f t="shared" si="7"/>
        <v/>
      </c>
    </row>
    <row r="215" spans="1:9">
      <c r="A215">
        <v>208</v>
      </c>
      <c r="B215" t="str">
        <f t="shared" si="6"/>
        <v>richard a stone</v>
      </c>
      <c r="C215" t="s">
        <v>537</v>
      </c>
      <c r="D215" t="s">
        <v>173</v>
      </c>
      <c r="E215" t="s">
        <v>39</v>
      </c>
      <c r="F215" t="s">
        <v>1749</v>
      </c>
      <c r="G215" t="s">
        <v>4</v>
      </c>
      <c r="H215" t="s">
        <v>4</v>
      </c>
      <c r="I215" t="str">
        <f t="shared" si="7"/>
        <v/>
      </c>
    </row>
    <row r="216" spans="1:9">
      <c r="A216">
        <v>209</v>
      </c>
      <c r="B216" t="str">
        <f t="shared" si="6"/>
        <v>james louis stoelker</v>
      </c>
      <c r="C216" t="s">
        <v>539</v>
      </c>
      <c r="D216" t="s">
        <v>90</v>
      </c>
      <c r="E216" t="s">
        <v>540</v>
      </c>
      <c r="F216" t="s">
        <v>106</v>
      </c>
      <c r="G216" t="s">
        <v>36</v>
      </c>
      <c r="H216" t="s">
        <v>4</v>
      </c>
      <c r="I216" t="str">
        <f t="shared" si="7"/>
        <v/>
      </c>
    </row>
    <row r="217" spans="1:9">
      <c r="A217">
        <v>210</v>
      </c>
      <c r="B217" t="str">
        <f t="shared" si="6"/>
        <v>nancy wieben stock</v>
      </c>
      <c r="C217" t="s">
        <v>541</v>
      </c>
      <c r="D217" t="s">
        <v>542</v>
      </c>
      <c r="E217" t="s">
        <v>543</v>
      </c>
      <c r="F217" t="s">
        <v>544</v>
      </c>
      <c r="G217" t="s">
        <v>4</v>
      </c>
      <c r="H217" t="s">
        <v>36</v>
      </c>
      <c r="I217" t="str">
        <f t="shared" si="7"/>
        <v/>
      </c>
    </row>
    <row r="218" spans="1:9">
      <c r="A218">
        <v>211</v>
      </c>
      <c r="B218" t="str">
        <f t="shared" si="6"/>
        <v>william david stewart</v>
      </c>
      <c r="C218" t="s">
        <v>545</v>
      </c>
      <c r="D218" t="s">
        <v>155</v>
      </c>
      <c r="E218" t="s">
        <v>28</v>
      </c>
      <c r="F218" t="s">
        <v>32</v>
      </c>
      <c r="G218" t="s">
        <v>40</v>
      </c>
      <c r="H218" t="s">
        <v>10</v>
      </c>
      <c r="I218" t="str">
        <f t="shared" si="7"/>
        <v/>
      </c>
    </row>
    <row r="219" spans="1:9">
      <c r="A219">
        <v>212</v>
      </c>
      <c r="B219" t="str">
        <f t="shared" si="6"/>
        <v>john kennedy stewart</v>
      </c>
      <c r="C219" t="s">
        <v>545</v>
      </c>
      <c r="D219" t="s">
        <v>7</v>
      </c>
      <c r="E219" t="s">
        <v>546</v>
      </c>
      <c r="F219" t="s">
        <v>4025</v>
      </c>
      <c r="G219" t="s">
        <v>4</v>
      </c>
      <c r="H219" t="s">
        <v>4</v>
      </c>
      <c r="I219" t="str">
        <f t="shared" si="7"/>
        <v/>
      </c>
    </row>
    <row r="220" spans="1:9">
      <c r="A220">
        <v>213</v>
      </c>
      <c r="B220" t="str">
        <f t="shared" si="6"/>
        <v>colleen kathryn sterne</v>
      </c>
      <c r="C220" t="s">
        <v>547</v>
      </c>
      <c r="D220" t="s">
        <v>193</v>
      </c>
      <c r="E220" t="s">
        <v>209</v>
      </c>
      <c r="F220" t="s">
        <v>548</v>
      </c>
      <c r="G220" t="s">
        <v>4</v>
      </c>
      <c r="H220" t="s">
        <v>10</v>
      </c>
      <c r="I220" t="str">
        <f t="shared" si="7"/>
        <v/>
      </c>
    </row>
    <row r="221" spans="1:9">
      <c r="A221">
        <v>214</v>
      </c>
      <c r="B221" t="str">
        <f t="shared" si="6"/>
        <v>michael larwed stern</v>
      </c>
      <c r="C221" t="s">
        <v>549</v>
      </c>
      <c r="D221" t="s">
        <v>219</v>
      </c>
      <c r="E221" t="s">
        <v>550</v>
      </c>
      <c r="F221" t="s">
        <v>4026</v>
      </c>
      <c r="G221" t="s">
        <v>4</v>
      </c>
      <c r="H221" t="s">
        <v>4</v>
      </c>
      <c r="I221" t="str">
        <f t="shared" si="7"/>
        <v/>
      </c>
    </row>
    <row r="222" spans="1:9">
      <c r="A222">
        <v>215</v>
      </c>
      <c r="B222" t="str">
        <f t="shared" si="6"/>
        <v>jacqueline marion stern</v>
      </c>
      <c r="C222" t="s">
        <v>549</v>
      </c>
      <c r="D222" t="s">
        <v>551</v>
      </c>
      <c r="E222" t="s">
        <v>552</v>
      </c>
      <c r="F222" t="s">
        <v>101</v>
      </c>
      <c r="G222" t="s">
        <v>102</v>
      </c>
      <c r="H222" t="s">
        <v>103</v>
      </c>
      <c r="I222" t="str">
        <f t="shared" si="7"/>
        <v/>
      </c>
    </row>
    <row r="223" spans="1:9">
      <c r="A223">
        <v>216</v>
      </c>
      <c r="B223" t="str">
        <f t="shared" si="6"/>
        <v>william nathan sterling</v>
      </c>
      <c r="C223" t="s">
        <v>553</v>
      </c>
      <c r="D223" t="s">
        <v>155</v>
      </c>
      <c r="E223" t="s">
        <v>255</v>
      </c>
      <c r="F223" t="s">
        <v>1749</v>
      </c>
      <c r="G223" t="s">
        <v>4</v>
      </c>
      <c r="H223" t="s">
        <v>4</v>
      </c>
      <c r="I223" t="str">
        <f t="shared" si="7"/>
        <v/>
      </c>
    </row>
    <row r="224" spans="1:9">
      <c r="A224">
        <v>217</v>
      </c>
      <c r="B224" t="str">
        <f t="shared" si="6"/>
        <v>franklin m stephenson</v>
      </c>
      <c r="C224" t="s">
        <v>554</v>
      </c>
      <c r="D224" t="s">
        <v>555</v>
      </c>
      <c r="E224" t="s">
        <v>410</v>
      </c>
      <c r="F224" t="s">
        <v>49</v>
      </c>
      <c r="G224" t="s">
        <v>556</v>
      </c>
      <c r="H224" t="s">
        <v>10</v>
      </c>
      <c r="I224" t="str">
        <f t="shared" si="7"/>
        <v/>
      </c>
    </row>
    <row r="225" spans="1:9">
      <c r="A225">
        <v>218</v>
      </c>
      <c r="B225" t="str">
        <f t="shared" si="6"/>
        <v>scott bf a deputy steiner</v>
      </c>
      <c r="C225" t="s">
        <v>557</v>
      </c>
      <c r="D225" t="s">
        <v>436</v>
      </c>
      <c r="E225" t="s">
        <v>558</v>
      </c>
      <c r="F225" t="s">
        <v>32</v>
      </c>
      <c r="G225" t="s">
        <v>559</v>
      </c>
      <c r="H225" t="s">
        <v>36</v>
      </c>
      <c r="I225" t="str">
        <f t="shared" si="7"/>
        <v/>
      </c>
    </row>
    <row r="226" spans="1:9">
      <c r="A226">
        <v>219</v>
      </c>
      <c r="B226" t="str">
        <f t="shared" si="6"/>
        <v>marjorie s. steinberg</v>
      </c>
      <c r="C226" t="s">
        <v>560</v>
      </c>
      <c r="D226" t="s">
        <v>561</v>
      </c>
      <c r="E226" t="s">
        <v>174</v>
      </c>
      <c r="F226" t="s">
        <v>1749</v>
      </c>
      <c r="G226" t="s">
        <v>4</v>
      </c>
      <c r="H226" t="s">
        <v>4</v>
      </c>
      <c r="I226" t="str">
        <f t="shared" si="7"/>
        <v/>
      </c>
    </row>
    <row r="227" spans="1:9">
      <c r="A227">
        <v>220</v>
      </c>
      <c r="B227" t="str">
        <f t="shared" si="6"/>
        <v>scott t steffen</v>
      </c>
      <c r="C227" t="s">
        <v>562</v>
      </c>
      <c r="D227" t="s">
        <v>436</v>
      </c>
      <c r="E227" t="s">
        <v>140</v>
      </c>
      <c r="F227" t="s">
        <v>29</v>
      </c>
      <c r="G227" t="s">
        <v>4</v>
      </c>
      <c r="H227" t="s">
        <v>10</v>
      </c>
      <c r="I227" t="str">
        <f t="shared" si="7"/>
        <v/>
      </c>
    </row>
    <row r="228" spans="1:9">
      <c r="A228">
        <v>221</v>
      </c>
      <c r="B228" t="str">
        <f t="shared" si="6"/>
        <v>james andrew  steele ja</v>
      </c>
      <c r="C228" t="s">
        <v>563</v>
      </c>
      <c r="D228" t="s">
        <v>564</v>
      </c>
      <c r="E228" t="s">
        <v>4</v>
      </c>
      <c r="F228" t="s">
        <v>25</v>
      </c>
      <c r="G228" t="s">
        <v>565</v>
      </c>
      <c r="H228" t="s">
        <v>103</v>
      </c>
      <c r="I228" t="str">
        <f t="shared" si="7"/>
        <v/>
      </c>
    </row>
    <row r="229" spans="1:9">
      <c r="A229">
        <v>222</v>
      </c>
      <c r="B229" t="str">
        <f t="shared" si="6"/>
        <v>donna l stashyn</v>
      </c>
      <c r="C229" t="s">
        <v>566</v>
      </c>
      <c r="D229" t="s">
        <v>471</v>
      </c>
      <c r="E229" t="s">
        <v>77</v>
      </c>
      <c r="F229" t="s">
        <v>567</v>
      </c>
      <c r="G229" t="s">
        <v>4</v>
      </c>
      <c r="H229" t="s">
        <v>568</v>
      </c>
      <c r="I229" t="str">
        <f t="shared" si="7"/>
        <v/>
      </c>
    </row>
    <row r="230" spans="1:9">
      <c r="A230">
        <v>223</v>
      </c>
      <c r="B230" t="str">
        <f t="shared" si="6"/>
        <v>nancy d stark</v>
      </c>
      <c r="C230" t="s">
        <v>569</v>
      </c>
      <c r="D230" t="s">
        <v>542</v>
      </c>
      <c r="E230" t="s">
        <v>570</v>
      </c>
      <c r="F230" t="s">
        <v>571</v>
      </c>
      <c r="G230" t="s">
        <v>4</v>
      </c>
      <c r="H230" t="s">
        <v>36</v>
      </c>
      <c r="I230" t="str">
        <f t="shared" si="7"/>
        <v/>
      </c>
    </row>
    <row r="231" spans="1:9">
      <c r="A231">
        <v>224</v>
      </c>
      <c r="B231" t="str">
        <f t="shared" si="6"/>
        <v>richard bf n. stanford</v>
      </c>
      <c r="C231" t="s">
        <v>572</v>
      </c>
      <c r="D231" t="s">
        <v>173</v>
      </c>
      <c r="E231" t="s">
        <v>573</v>
      </c>
      <c r="F231" t="s">
        <v>1414</v>
      </c>
      <c r="G231" t="s">
        <v>4</v>
      </c>
      <c r="H231" t="s">
        <v>4</v>
      </c>
      <c r="I231" t="str">
        <f t="shared" si="7"/>
        <v/>
      </c>
    </row>
    <row r="232" spans="1:9">
      <c r="A232">
        <v>225</v>
      </c>
      <c r="B232" t="str">
        <f t="shared" si="6"/>
        <v>bryan k. stainfield</v>
      </c>
      <c r="C232" t="s">
        <v>574</v>
      </c>
      <c r="D232" t="s">
        <v>575</v>
      </c>
      <c r="E232" t="s">
        <v>576</v>
      </c>
      <c r="F232" t="s">
        <v>32</v>
      </c>
      <c r="G232" t="s">
        <v>95</v>
      </c>
      <c r="H232" t="s">
        <v>10</v>
      </c>
      <c r="I232" t="str">
        <f t="shared" si="7"/>
        <v/>
      </c>
    </row>
    <row r="233" spans="1:9">
      <c r="A233">
        <v>226</v>
      </c>
      <c r="B233" t="str">
        <f t="shared" si="6"/>
        <v>charles everett stafford jr.</v>
      </c>
      <c r="C233" t="s">
        <v>577</v>
      </c>
      <c r="D233" t="s">
        <v>35</v>
      </c>
      <c r="E233" t="s">
        <v>578</v>
      </c>
      <c r="F233" t="s">
        <v>492</v>
      </c>
      <c r="G233" t="s">
        <v>247</v>
      </c>
      <c r="H233" t="s">
        <v>103</v>
      </c>
      <c r="I233" t="str">
        <f t="shared" si="7"/>
        <v/>
      </c>
    </row>
    <row r="234" spans="1:9">
      <c r="A234">
        <v>227</v>
      </c>
      <c r="B234" t="str">
        <f t="shared" si="6"/>
        <v>timothy j. staffel</v>
      </c>
      <c r="C234" t="s">
        <v>579</v>
      </c>
      <c r="D234" t="s">
        <v>264</v>
      </c>
      <c r="E234" t="s">
        <v>94</v>
      </c>
      <c r="F234" t="s">
        <v>548</v>
      </c>
      <c r="G234" t="s">
        <v>580</v>
      </c>
      <c r="H234" t="s">
        <v>103</v>
      </c>
      <c r="I234" t="str">
        <f t="shared" si="7"/>
        <v/>
      </c>
    </row>
    <row r="235" spans="1:9">
      <c r="A235">
        <v>228</v>
      </c>
      <c r="B235" t="str">
        <f t="shared" si="6"/>
        <v>m.  speer susan</v>
      </c>
      <c r="C235" t="s">
        <v>581</v>
      </c>
      <c r="D235" t="s">
        <v>189</v>
      </c>
      <c r="E235" t="s">
        <v>4</v>
      </c>
      <c r="F235" t="s">
        <v>3996</v>
      </c>
      <c r="G235" t="s">
        <v>4</v>
      </c>
      <c r="H235" t="s">
        <v>4</v>
      </c>
      <c r="I235" t="str">
        <f t="shared" si="7"/>
        <v/>
      </c>
    </row>
    <row r="236" spans="1:9">
      <c r="A236">
        <v>229</v>
      </c>
      <c r="B236" t="str">
        <f t="shared" si="6"/>
        <v>george w spanos</v>
      </c>
      <c r="C236" t="s">
        <v>582</v>
      </c>
      <c r="D236" t="s">
        <v>237</v>
      </c>
      <c r="E236" t="s">
        <v>583</v>
      </c>
      <c r="F236" t="s">
        <v>32</v>
      </c>
      <c r="G236" t="s">
        <v>584</v>
      </c>
      <c r="H236" t="s">
        <v>36</v>
      </c>
      <c r="I236" t="str">
        <f t="shared" si="7"/>
        <v/>
      </c>
    </row>
    <row r="237" spans="1:9">
      <c r="A237">
        <v>230</v>
      </c>
      <c r="B237" t="str">
        <f t="shared" si="6"/>
        <v>julia angeline spain</v>
      </c>
      <c r="C237" t="s">
        <v>585</v>
      </c>
      <c r="D237" t="s">
        <v>586</v>
      </c>
      <c r="E237" t="s">
        <v>587</v>
      </c>
      <c r="F237" t="s">
        <v>4027</v>
      </c>
      <c r="G237" t="s">
        <v>4</v>
      </c>
      <c r="H237" t="s">
        <v>4</v>
      </c>
      <c r="I237" t="str">
        <f t="shared" si="7"/>
        <v/>
      </c>
    </row>
    <row r="238" spans="1:9">
      <c r="A238">
        <v>231</v>
      </c>
      <c r="B238" t="str">
        <f t="shared" si="6"/>
        <v>philip l. soto</v>
      </c>
      <c r="C238" t="s">
        <v>588</v>
      </c>
      <c r="D238" t="s">
        <v>589</v>
      </c>
      <c r="E238" t="s">
        <v>257</v>
      </c>
      <c r="F238" t="s">
        <v>590</v>
      </c>
      <c r="G238" t="s">
        <v>4</v>
      </c>
      <c r="H238" t="s">
        <v>10</v>
      </c>
      <c r="I238" t="str">
        <f t="shared" si="7"/>
        <v/>
      </c>
    </row>
    <row r="239" spans="1:9">
      <c r="A239">
        <v>232</v>
      </c>
      <c r="B239" t="str">
        <f t="shared" si="6"/>
        <v>david  sotelo</v>
      </c>
      <c r="C239" t="s">
        <v>591</v>
      </c>
      <c r="D239" t="s">
        <v>28</v>
      </c>
      <c r="E239" t="s">
        <v>4</v>
      </c>
      <c r="F239" t="s">
        <v>1749</v>
      </c>
      <c r="G239" t="s">
        <v>4</v>
      </c>
      <c r="H239" t="s">
        <v>4</v>
      </c>
      <c r="I239" t="str">
        <f t="shared" si="7"/>
        <v/>
      </c>
    </row>
    <row r="240" spans="1:9">
      <c r="A240">
        <v>233</v>
      </c>
      <c r="B240" t="str">
        <f t="shared" si="6"/>
        <v>douglas warren sortino</v>
      </c>
      <c r="C240" t="s">
        <v>592</v>
      </c>
      <c r="D240" t="s">
        <v>593</v>
      </c>
      <c r="E240" t="s">
        <v>145</v>
      </c>
      <c r="F240" t="s">
        <v>46</v>
      </c>
      <c r="G240" t="s">
        <v>4</v>
      </c>
      <c r="H240" t="s">
        <v>10</v>
      </c>
      <c r="I240" t="str">
        <f t="shared" si="7"/>
        <v/>
      </c>
    </row>
    <row r="241" spans="1:9">
      <c r="A241">
        <v>234</v>
      </c>
      <c r="B241" t="str">
        <f t="shared" si="6"/>
        <v>stephanie  sontag</v>
      </c>
      <c r="C241" t="s">
        <v>594</v>
      </c>
      <c r="D241" t="s">
        <v>595</v>
      </c>
      <c r="E241" t="s">
        <v>4</v>
      </c>
      <c r="F241" t="s">
        <v>101</v>
      </c>
      <c r="G241" t="s">
        <v>102</v>
      </c>
      <c r="H241" t="s">
        <v>103</v>
      </c>
      <c r="I241" t="str">
        <f t="shared" si="7"/>
        <v/>
      </c>
    </row>
    <row r="242" spans="1:9">
      <c r="A242">
        <v>235</v>
      </c>
      <c r="B242" t="str">
        <f t="shared" si="6"/>
        <v>john stanley somers</v>
      </c>
      <c r="C242" t="s">
        <v>596</v>
      </c>
      <c r="D242" t="s">
        <v>7</v>
      </c>
      <c r="E242" t="s">
        <v>597</v>
      </c>
      <c r="F242" t="s">
        <v>32</v>
      </c>
      <c r="G242" t="s">
        <v>95</v>
      </c>
      <c r="H242" t="s">
        <v>10</v>
      </c>
      <c r="I242" t="str">
        <f t="shared" si="7"/>
        <v/>
      </c>
    </row>
    <row r="243" spans="1:9">
      <c r="A243">
        <v>236</v>
      </c>
      <c r="B243" t="str">
        <f t="shared" si="6"/>
        <v>kadtryn ann soconzano</v>
      </c>
      <c r="C243" t="s">
        <v>598</v>
      </c>
      <c r="D243" t="s">
        <v>599</v>
      </c>
      <c r="E243" t="s">
        <v>3</v>
      </c>
      <c r="F243" t="s">
        <v>25</v>
      </c>
      <c r="G243" t="s">
        <v>600</v>
      </c>
      <c r="H243" t="s">
        <v>4</v>
      </c>
      <c r="I243" t="str">
        <f t="shared" si="7"/>
        <v/>
      </c>
    </row>
    <row r="244" spans="1:9">
      <c r="A244">
        <v>237</v>
      </c>
      <c r="B244" t="str">
        <f t="shared" si="6"/>
        <v>michael charles solner</v>
      </c>
      <c r="C244" t="s">
        <v>601</v>
      </c>
      <c r="D244" t="s">
        <v>219</v>
      </c>
      <c r="E244" t="s">
        <v>35</v>
      </c>
      <c r="F244" t="s">
        <v>32</v>
      </c>
      <c r="G244" t="s">
        <v>40</v>
      </c>
      <c r="H244" t="s">
        <v>10</v>
      </c>
      <c r="I244" t="str">
        <f t="shared" si="7"/>
        <v/>
      </c>
    </row>
    <row r="245" spans="1:9">
      <c r="A245">
        <v>238</v>
      </c>
      <c r="B245" t="str">
        <f t="shared" si="6"/>
        <v>joseph a soldani</v>
      </c>
      <c r="C245" t="s">
        <v>602</v>
      </c>
      <c r="D245" t="s">
        <v>80</v>
      </c>
      <c r="E245" t="s">
        <v>39</v>
      </c>
      <c r="F245" t="s">
        <v>164</v>
      </c>
      <c r="G245" t="s">
        <v>4</v>
      </c>
      <c r="H245" t="s">
        <v>36</v>
      </c>
      <c r="I245" t="str">
        <f t="shared" si="7"/>
        <v/>
      </c>
    </row>
    <row r="246" spans="1:9">
      <c r="A246">
        <v>239</v>
      </c>
      <c r="B246" t="str">
        <f t="shared" si="6"/>
        <v>thomas r sokolov</v>
      </c>
      <c r="C246" t="s">
        <v>603</v>
      </c>
      <c r="D246" t="s">
        <v>27</v>
      </c>
      <c r="E246" t="s">
        <v>53</v>
      </c>
      <c r="F246" t="s">
        <v>8</v>
      </c>
      <c r="G246" t="s">
        <v>135</v>
      </c>
      <c r="H246" t="s">
        <v>36</v>
      </c>
      <c r="I246" t="str">
        <f t="shared" si="7"/>
        <v/>
      </c>
    </row>
    <row r="247" spans="1:9">
      <c r="A247">
        <v>84</v>
      </c>
      <c r="B247" t="str">
        <f t="shared" si="6"/>
        <v>frank donald sokol</v>
      </c>
      <c r="C247" t="s">
        <v>604</v>
      </c>
      <c r="D247" t="s">
        <v>605</v>
      </c>
      <c r="E247" t="s">
        <v>509</v>
      </c>
      <c r="F247" t="s">
        <v>606</v>
      </c>
      <c r="G247" t="s">
        <v>607</v>
      </c>
      <c r="H247" t="s">
        <v>36</v>
      </c>
      <c r="I247" t="str">
        <f t="shared" si="7"/>
        <v/>
      </c>
    </row>
    <row r="248" spans="1:9">
      <c r="A248">
        <v>240</v>
      </c>
      <c r="B248" t="str">
        <f t="shared" si="6"/>
        <v>m.  sohigian ronald</v>
      </c>
      <c r="C248" t="s">
        <v>608</v>
      </c>
      <c r="D248" t="s">
        <v>189</v>
      </c>
      <c r="E248" t="s">
        <v>4</v>
      </c>
      <c r="F248" t="s">
        <v>32</v>
      </c>
      <c r="G248" t="s">
        <v>40</v>
      </c>
      <c r="H248" t="s">
        <v>103</v>
      </c>
      <c r="I248" t="str">
        <f t="shared" si="7"/>
        <v/>
      </c>
    </row>
    <row r="249" spans="1:9">
      <c r="A249">
        <v>241</v>
      </c>
      <c r="B249" t="str">
        <f t="shared" si="6"/>
        <v>kenneth k. so</v>
      </c>
      <c r="C249" t="s">
        <v>609</v>
      </c>
      <c r="D249" t="s">
        <v>60</v>
      </c>
      <c r="E249" t="s">
        <v>576</v>
      </c>
      <c r="F249" t="s">
        <v>101</v>
      </c>
      <c r="G249" t="s">
        <v>102</v>
      </c>
      <c r="H249" t="s">
        <v>103</v>
      </c>
      <c r="I249" t="str">
        <f t="shared" si="7"/>
        <v/>
      </c>
    </row>
    <row r="250" spans="1:9">
      <c r="A250">
        <v>242</v>
      </c>
      <c r="B250" t="str">
        <f t="shared" si="6"/>
        <v>mark w snauffer</v>
      </c>
      <c r="C250" t="s">
        <v>610</v>
      </c>
      <c r="D250" t="s">
        <v>45</v>
      </c>
      <c r="E250" t="s">
        <v>583</v>
      </c>
      <c r="F250" t="s">
        <v>32</v>
      </c>
      <c r="G250" t="s">
        <v>289</v>
      </c>
      <c r="H250" t="s">
        <v>10</v>
      </c>
      <c r="I250" t="str">
        <f t="shared" si="7"/>
        <v/>
      </c>
    </row>
    <row r="251" spans="1:9">
      <c r="A251">
        <v>243</v>
      </c>
      <c r="B251" t="str">
        <f t="shared" si="6"/>
        <v>michael thomas smyth</v>
      </c>
      <c r="C251" t="s">
        <v>611</v>
      </c>
      <c r="D251" t="s">
        <v>219</v>
      </c>
      <c r="E251" t="s">
        <v>27</v>
      </c>
      <c r="F251" t="s">
        <v>101</v>
      </c>
      <c r="G251" t="s">
        <v>102</v>
      </c>
      <c r="H251" t="s">
        <v>103</v>
      </c>
      <c r="I251" t="str">
        <f t="shared" si="7"/>
        <v/>
      </c>
    </row>
    <row r="252" spans="1:9">
      <c r="A252">
        <v>244</v>
      </c>
      <c r="B252" t="str">
        <f t="shared" si="6"/>
        <v>winifred y. smith</v>
      </c>
      <c r="C252" t="s">
        <v>612</v>
      </c>
      <c r="D252" t="s">
        <v>613</v>
      </c>
      <c r="E252" t="s">
        <v>614</v>
      </c>
      <c r="F252" t="s">
        <v>4028</v>
      </c>
      <c r="G252" t="s">
        <v>4</v>
      </c>
      <c r="H252" t="s">
        <v>4</v>
      </c>
      <c r="I252" t="str">
        <f t="shared" si="7"/>
        <v/>
      </c>
    </row>
    <row r="253" spans="1:9">
      <c r="A253">
        <v>245</v>
      </c>
      <c r="B253" t="str">
        <f t="shared" si="6"/>
        <v>tamela lynn smith-steward</v>
      </c>
      <c r="C253" t="s">
        <v>615</v>
      </c>
      <c r="D253" t="s">
        <v>616</v>
      </c>
      <c r="E253" t="s">
        <v>197</v>
      </c>
      <c r="F253" t="s">
        <v>32</v>
      </c>
      <c r="G253" t="s">
        <v>434</v>
      </c>
      <c r="H253" t="s">
        <v>10</v>
      </c>
      <c r="I253" t="str">
        <f t="shared" si="7"/>
        <v/>
      </c>
    </row>
    <row r="254" spans="1:9">
      <c r="A254">
        <v>246</v>
      </c>
      <c r="B254" t="str">
        <f t="shared" si="6"/>
        <v>spurgeon emmerson smith</v>
      </c>
      <c r="C254" t="s">
        <v>612</v>
      </c>
      <c r="D254" t="s">
        <v>617</v>
      </c>
      <c r="E254" t="s">
        <v>618</v>
      </c>
      <c r="F254" t="s">
        <v>619</v>
      </c>
      <c r="G254" t="s">
        <v>4</v>
      </c>
      <c r="H254" t="s">
        <v>10</v>
      </c>
      <c r="I254" t="str">
        <f t="shared" si="7"/>
        <v/>
      </c>
    </row>
    <row r="255" spans="1:9">
      <c r="A255">
        <v>247</v>
      </c>
      <c r="B255" t="str">
        <f t="shared" si="6"/>
        <v xml:space="preserve"> bruce smith</v>
      </c>
      <c r="C255" t="s">
        <v>612</v>
      </c>
      <c r="D255" t="s">
        <v>4</v>
      </c>
      <c r="E255" t="s">
        <v>47</v>
      </c>
      <c r="F255" t="s">
        <v>492</v>
      </c>
      <c r="G255" t="s">
        <v>289</v>
      </c>
      <c r="H255" t="s">
        <v>36</v>
      </c>
      <c r="I255" t="str">
        <f t="shared" si="7"/>
        <v/>
      </c>
    </row>
    <row r="256" spans="1:9">
      <c r="A256">
        <v>248</v>
      </c>
      <c r="B256" t="str">
        <f t="shared" si="6"/>
        <v>clay m. smith</v>
      </c>
      <c r="C256" t="s">
        <v>612</v>
      </c>
      <c r="D256" t="s">
        <v>620</v>
      </c>
      <c r="E256" t="s">
        <v>189</v>
      </c>
      <c r="F256" t="s">
        <v>4029</v>
      </c>
      <c r="G256" t="s">
        <v>4</v>
      </c>
      <c r="H256" t="s">
        <v>4</v>
      </c>
      <c r="I256" t="str">
        <f t="shared" si="7"/>
        <v/>
      </c>
    </row>
    <row r="257" spans="1:9">
      <c r="A257">
        <v>249</v>
      </c>
      <c r="B257" t="str">
        <f t="shared" si="6"/>
        <v>john  smiley</v>
      </c>
      <c r="C257" t="s">
        <v>621</v>
      </c>
      <c r="D257" t="s">
        <v>7</v>
      </c>
      <c r="E257" t="s">
        <v>4</v>
      </c>
      <c r="F257" t="s">
        <v>2025</v>
      </c>
      <c r="G257" t="s">
        <v>4</v>
      </c>
      <c r="H257" t="s">
        <v>4</v>
      </c>
      <c r="I257" t="str">
        <f t="shared" si="7"/>
        <v/>
      </c>
    </row>
    <row r="258" spans="1:9">
      <c r="A258">
        <v>250</v>
      </c>
      <c r="B258" t="str">
        <f t="shared" si="6"/>
        <v>terry  smerling</v>
      </c>
      <c r="C258" t="s">
        <v>622</v>
      </c>
      <c r="D258" t="s">
        <v>623</v>
      </c>
      <c r="E258" t="s">
        <v>4</v>
      </c>
      <c r="F258" t="s">
        <v>46</v>
      </c>
      <c r="G258" t="s">
        <v>4</v>
      </c>
      <c r="H258" t="s">
        <v>10</v>
      </c>
      <c r="I258" t="str">
        <f t="shared" si="7"/>
        <v/>
      </c>
    </row>
    <row r="259" spans="1:9">
      <c r="A259">
        <v>251</v>
      </c>
      <c r="B259" t="str">
        <f t="shared" ref="B259:B322" si="8">TRIM($D259) &amp; " " &amp; TRIM($E259) &amp; " " &amp; TRIM($C259)</f>
        <v>marsha g. slough</v>
      </c>
      <c r="C259" t="s">
        <v>624</v>
      </c>
      <c r="D259" t="s">
        <v>625</v>
      </c>
      <c r="E259" t="s">
        <v>156</v>
      </c>
      <c r="F259" t="s">
        <v>371</v>
      </c>
      <c r="G259" t="s">
        <v>626</v>
      </c>
      <c r="H259" t="s">
        <v>36</v>
      </c>
      <c r="I259" t="str">
        <f t="shared" ref="I259:I322" si="9">IF(NOT(ISERROR(FIND("judge",F259))),"judge","")</f>
        <v/>
      </c>
    </row>
    <row r="260" spans="1:9">
      <c r="A260">
        <v>252</v>
      </c>
      <c r="B260" t="str">
        <f t="shared" si="8"/>
        <v>ronald victor skyers</v>
      </c>
      <c r="C260" t="s">
        <v>627</v>
      </c>
      <c r="D260" t="s">
        <v>413</v>
      </c>
      <c r="E260" t="s">
        <v>76</v>
      </c>
      <c r="F260" t="s">
        <v>4</v>
      </c>
      <c r="G260" t="s">
        <v>628</v>
      </c>
      <c r="H260" t="s">
        <v>10</v>
      </c>
      <c r="I260" t="str">
        <f t="shared" si="9"/>
        <v/>
      </c>
    </row>
    <row r="261" spans="1:9">
      <c r="A261">
        <v>253</v>
      </c>
      <c r="B261" t="str">
        <f t="shared" si="8"/>
        <v>jonathan william skillman</v>
      </c>
      <c r="C261" t="s">
        <v>629</v>
      </c>
      <c r="D261" t="s">
        <v>630</v>
      </c>
      <c r="E261" t="s">
        <v>155</v>
      </c>
      <c r="F261" t="s">
        <v>4030</v>
      </c>
      <c r="G261" t="s">
        <v>49</v>
      </c>
      <c r="H261" t="s">
        <v>631</v>
      </c>
      <c r="I261" t="str">
        <f t="shared" si="9"/>
        <v/>
      </c>
    </row>
    <row r="262" spans="1:9">
      <c r="A262">
        <v>254</v>
      </c>
      <c r="B262" t="str">
        <f t="shared" si="8"/>
        <v>jonathan mark skiles</v>
      </c>
      <c r="C262" t="s">
        <v>632</v>
      </c>
      <c r="D262" t="s">
        <v>630</v>
      </c>
      <c r="E262" t="s">
        <v>45</v>
      </c>
      <c r="F262" t="s">
        <v>633</v>
      </c>
      <c r="G262" t="s">
        <v>4</v>
      </c>
      <c r="H262" t="s">
        <v>10</v>
      </c>
      <c r="I262" t="str">
        <f t="shared" si="9"/>
        <v/>
      </c>
    </row>
    <row r="263" spans="1:9">
      <c r="A263">
        <v>255</v>
      </c>
      <c r="B263" t="str">
        <f t="shared" si="8"/>
        <v>salvatore t. sirna</v>
      </c>
      <c r="C263" t="s">
        <v>634</v>
      </c>
      <c r="D263" t="s">
        <v>635</v>
      </c>
      <c r="E263" t="s">
        <v>636</v>
      </c>
      <c r="F263" t="s">
        <v>25</v>
      </c>
      <c r="G263" t="s">
        <v>637</v>
      </c>
      <c r="H263" t="s">
        <v>10</v>
      </c>
      <c r="I263" t="str">
        <f t="shared" si="9"/>
        <v/>
      </c>
    </row>
    <row r="264" spans="1:9">
      <c r="A264">
        <v>256</v>
      </c>
      <c r="B264" t="str">
        <f t="shared" si="8"/>
        <v>carla m. singer</v>
      </c>
      <c r="C264" t="s">
        <v>638</v>
      </c>
      <c r="D264" t="s">
        <v>639</v>
      </c>
      <c r="E264" t="s">
        <v>189</v>
      </c>
      <c r="F264" t="s">
        <v>640</v>
      </c>
      <c r="G264" t="s">
        <v>4</v>
      </c>
      <c r="H264" t="s">
        <v>36</v>
      </c>
      <c r="I264" t="str">
        <f t="shared" si="9"/>
        <v/>
      </c>
    </row>
    <row r="265" spans="1:9">
      <c r="A265">
        <v>257</v>
      </c>
      <c r="B265" t="str">
        <f t="shared" si="8"/>
        <v>lillian k sing</v>
      </c>
      <c r="C265" t="s">
        <v>641</v>
      </c>
      <c r="D265" t="s">
        <v>642</v>
      </c>
      <c r="E265" t="s">
        <v>514</v>
      </c>
      <c r="F265" t="s">
        <v>4031</v>
      </c>
      <c r="G265" t="s">
        <v>4</v>
      </c>
      <c r="H265" t="s">
        <v>4</v>
      </c>
      <c r="I265" t="str">
        <f t="shared" si="9"/>
        <v/>
      </c>
    </row>
    <row r="266" spans="1:9">
      <c r="A266">
        <v>258</v>
      </c>
      <c r="B266" t="str">
        <f t="shared" si="8"/>
        <v>zaven v. sinanian</v>
      </c>
      <c r="C266" t="s">
        <v>643</v>
      </c>
      <c r="D266" t="s">
        <v>644</v>
      </c>
      <c r="E266" t="s">
        <v>645</v>
      </c>
      <c r="F266" t="s">
        <v>32</v>
      </c>
      <c r="G266" t="s">
        <v>40</v>
      </c>
      <c r="H266" t="s">
        <v>10</v>
      </c>
      <c r="I266" t="str">
        <f t="shared" si="9"/>
        <v/>
      </c>
    </row>
    <row r="267" spans="1:9">
      <c r="A267">
        <v>259</v>
      </c>
      <c r="B267" t="str">
        <f t="shared" si="8"/>
        <v>c. edward simpson</v>
      </c>
      <c r="C267" t="s">
        <v>646</v>
      </c>
      <c r="D267" t="s">
        <v>332</v>
      </c>
      <c r="E267" t="s">
        <v>236</v>
      </c>
      <c r="F267" t="s">
        <v>647</v>
      </c>
      <c r="G267" t="s">
        <v>4</v>
      </c>
      <c r="H267" t="s">
        <v>10</v>
      </c>
      <c r="I267" t="str">
        <f t="shared" si="9"/>
        <v/>
      </c>
    </row>
    <row r="268" spans="1:9">
      <c r="A268">
        <v>260</v>
      </c>
      <c r="B268" t="str">
        <f t="shared" si="8"/>
        <v>alan michael simpson</v>
      </c>
      <c r="C268" t="s">
        <v>646</v>
      </c>
      <c r="D268" t="s">
        <v>48</v>
      </c>
      <c r="E268" t="s">
        <v>219</v>
      </c>
      <c r="F268" t="s">
        <v>32</v>
      </c>
      <c r="G268" t="s">
        <v>289</v>
      </c>
      <c r="H268" t="s">
        <v>36</v>
      </c>
      <c r="I268" t="str">
        <f t="shared" si="9"/>
        <v/>
      </c>
    </row>
    <row r="269" spans="1:9">
      <c r="A269">
        <v>261</v>
      </c>
      <c r="B269" t="str">
        <f t="shared" si="8"/>
        <v>mark b. simons</v>
      </c>
      <c r="C269" t="s">
        <v>648</v>
      </c>
      <c r="D269" t="s">
        <v>45</v>
      </c>
      <c r="E269" t="s">
        <v>400</v>
      </c>
      <c r="F269" t="s">
        <v>649</v>
      </c>
      <c r="G269" t="s">
        <v>650</v>
      </c>
      <c r="H269" t="s">
        <v>651</v>
      </c>
      <c r="I269" t="str">
        <f t="shared" si="9"/>
        <v/>
      </c>
    </row>
    <row r="270" spans="1:9">
      <c r="A270">
        <v>262</v>
      </c>
      <c r="B270" t="str">
        <f t="shared" si="8"/>
        <v>dana beernink simonds</v>
      </c>
      <c r="C270" t="s">
        <v>652</v>
      </c>
      <c r="D270" t="s">
        <v>261</v>
      </c>
      <c r="E270" t="s">
        <v>653</v>
      </c>
      <c r="F270" t="s">
        <v>654</v>
      </c>
      <c r="G270" t="s">
        <v>4</v>
      </c>
      <c r="H270" t="s">
        <v>36</v>
      </c>
      <c r="I270" t="str">
        <f t="shared" si="9"/>
        <v/>
      </c>
    </row>
    <row r="271" spans="1:9">
      <c r="A271">
        <v>263</v>
      </c>
      <c r="B271" t="str">
        <f t="shared" si="8"/>
        <v>kelly vieira by: e. ramazzura deputy simmons</v>
      </c>
      <c r="C271" t="s">
        <v>655</v>
      </c>
      <c r="D271" t="s">
        <v>656</v>
      </c>
      <c r="E271" t="s">
        <v>657</v>
      </c>
      <c r="F271" t="s">
        <v>658</v>
      </c>
      <c r="G271" t="s">
        <v>4</v>
      </c>
      <c r="H271" t="s">
        <v>10</v>
      </c>
      <c r="I271" t="str">
        <f t="shared" si="9"/>
        <v/>
      </c>
    </row>
    <row r="272" spans="1:9">
      <c r="A272">
        <v>264</v>
      </c>
      <c r="B272" t="str">
        <f t="shared" si="8"/>
        <v>jessica perrin silvers</v>
      </c>
      <c r="C272" t="s">
        <v>659</v>
      </c>
      <c r="D272" t="s">
        <v>660</v>
      </c>
      <c r="E272" t="s">
        <v>661</v>
      </c>
      <c r="F272" t="s">
        <v>1964</v>
      </c>
      <c r="G272" t="s">
        <v>461</v>
      </c>
      <c r="H272" t="s">
        <v>4</v>
      </c>
      <c r="I272" t="str">
        <f t="shared" si="9"/>
        <v/>
      </c>
    </row>
    <row r="273" spans="1:9">
      <c r="A273">
        <v>265</v>
      </c>
      <c r="B273" t="str">
        <f t="shared" si="8"/>
        <v>b. scott silverman</v>
      </c>
      <c r="C273" t="s">
        <v>662</v>
      </c>
      <c r="D273" t="s">
        <v>400</v>
      </c>
      <c r="E273" t="s">
        <v>436</v>
      </c>
      <c r="F273" t="s">
        <v>25</v>
      </c>
      <c r="G273" t="s">
        <v>299</v>
      </c>
      <c r="H273" t="s">
        <v>10</v>
      </c>
      <c r="I273" t="str">
        <f t="shared" si="9"/>
        <v/>
      </c>
    </row>
    <row r="274" spans="1:9">
      <c r="A274">
        <v>266</v>
      </c>
      <c r="B274" t="str">
        <f t="shared" si="8"/>
        <v>shari kreisler silver</v>
      </c>
      <c r="C274" t="s">
        <v>663</v>
      </c>
      <c r="D274" t="s">
        <v>664</v>
      </c>
      <c r="E274" t="s">
        <v>665</v>
      </c>
      <c r="F274" t="s">
        <v>1749</v>
      </c>
      <c r="G274" t="s">
        <v>4</v>
      </c>
      <c r="H274" t="s">
        <v>4</v>
      </c>
      <c r="I274" t="str">
        <f t="shared" si="9"/>
        <v/>
      </c>
    </row>
    <row r="275" spans="1:9">
      <c r="A275">
        <v>267</v>
      </c>
      <c r="B275" t="str">
        <f t="shared" si="8"/>
        <v>marie  silveira</v>
      </c>
      <c r="C275" t="s">
        <v>666</v>
      </c>
      <c r="D275" t="s">
        <v>43</v>
      </c>
      <c r="E275" t="s">
        <v>4</v>
      </c>
      <c r="F275" t="s">
        <v>49</v>
      </c>
      <c r="G275" t="s">
        <v>667</v>
      </c>
      <c r="H275" t="s">
        <v>10</v>
      </c>
      <c r="I275" t="str">
        <f t="shared" si="9"/>
        <v/>
      </c>
    </row>
    <row r="276" spans="1:9">
      <c r="A276">
        <v>268</v>
      </c>
      <c r="B276" t="str">
        <f t="shared" si="8"/>
        <v>harvey a. silberman</v>
      </c>
      <c r="C276" t="s">
        <v>668</v>
      </c>
      <c r="D276" t="s">
        <v>669</v>
      </c>
      <c r="E276" t="s">
        <v>447</v>
      </c>
      <c r="F276" t="s">
        <v>25</v>
      </c>
      <c r="G276" t="s">
        <v>4</v>
      </c>
      <c r="H276" t="s">
        <v>10</v>
      </c>
      <c r="I276" t="str">
        <f t="shared" si="9"/>
        <v/>
      </c>
    </row>
    <row r="277" spans="1:9">
      <c r="A277">
        <v>269</v>
      </c>
      <c r="B277" t="str">
        <f t="shared" si="8"/>
        <v>clandia  silbar</v>
      </c>
      <c r="C277" t="s">
        <v>670</v>
      </c>
      <c r="D277" t="s">
        <v>671</v>
      </c>
      <c r="E277" t="s">
        <v>4</v>
      </c>
      <c r="F277" t="s">
        <v>672</v>
      </c>
      <c r="G277" t="s">
        <v>49</v>
      </c>
      <c r="H277" t="s">
        <v>10</v>
      </c>
      <c r="I277" t="str">
        <f t="shared" si="9"/>
        <v/>
      </c>
    </row>
    <row r="278" spans="1:9">
      <c r="A278">
        <v>270</v>
      </c>
      <c r="B278" t="str">
        <f t="shared" si="8"/>
        <v>peter john siggins</v>
      </c>
      <c r="C278" t="s">
        <v>673</v>
      </c>
      <c r="D278" t="s">
        <v>336</v>
      </c>
      <c r="E278" t="s">
        <v>7</v>
      </c>
      <c r="F278" t="s">
        <v>674</v>
      </c>
      <c r="G278" t="s">
        <v>4032</v>
      </c>
      <c r="H278" t="s">
        <v>212</v>
      </c>
      <c r="I278" t="str">
        <f t="shared" si="9"/>
        <v/>
      </c>
    </row>
    <row r="279" spans="1:9">
      <c r="A279">
        <v>271</v>
      </c>
      <c r="B279" t="str">
        <f t="shared" si="8"/>
        <v>susan  siefkin susan</v>
      </c>
      <c r="C279" t="s">
        <v>675</v>
      </c>
      <c r="D279" t="s">
        <v>676</v>
      </c>
      <c r="E279" t="s">
        <v>4</v>
      </c>
      <c r="F279" t="s">
        <v>4033</v>
      </c>
      <c r="G279" t="s">
        <v>4</v>
      </c>
      <c r="H279" t="s">
        <v>4</v>
      </c>
      <c r="I279" t="str">
        <f t="shared" si="9"/>
        <v/>
      </c>
    </row>
    <row r="280" spans="1:9">
      <c r="A280">
        <v>272</v>
      </c>
      <c r="B280" t="str">
        <f t="shared" si="8"/>
        <v>elsabeth  sichel</v>
      </c>
      <c r="C280" t="s">
        <v>677</v>
      </c>
      <c r="D280" t="s">
        <v>678</v>
      </c>
      <c r="E280" t="s">
        <v>4</v>
      </c>
      <c r="F280" t="s">
        <v>679</v>
      </c>
      <c r="G280" t="s">
        <v>4</v>
      </c>
      <c r="H280" t="s">
        <v>10</v>
      </c>
      <c r="I280" t="str">
        <f t="shared" si="9"/>
        <v/>
      </c>
    </row>
    <row r="281" spans="1:9">
      <c r="A281">
        <v>273</v>
      </c>
      <c r="B281" t="str">
        <f t="shared" si="8"/>
        <v>dorothy lynn shubin</v>
      </c>
      <c r="C281" t="s">
        <v>680</v>
      </c>
      <c r="D281" t="s">
        <v>681</v>
      </c>
      <c r="E281" t="s">
        <v>197</v>
      </c>
      <c r="F281" t="s">
        <v>682</v>
      </c>
      <c r="G281" t="s">
        <v>4</v>
      </c>
      <c r="H281" t="s">
        <v>10</v>
      </c>
      <c r="I281" t="str">
        <f t="shared" si="9"/>
        <v/>
      </c>
    </row>
    <row r="282" spans="1:9">
      <c r="A282">
        <v>274</v>
      </c>
      <c r="B282" t="str">
        <f t="shared" si="8"/>
        <v>howard h shore</v>
      </c>
      <c r="C282" t="s">
        <v>683</v>
      </c>
      <c r="D282" t="s">
        <v>506</v>
      </c>
      <c r="E282" t="s">
        <v>250</v>
      </c>
      <c r="F282" t="s">
        <v>101</v>
      </c>
      <c r="G282" t="s">
        <v>102</v>
      </c>
      <c r="H282" t="s">
        <v>103</v>
      </c>
      <c r="I282" t="str">
        <f t="shared" si="9"/>
        <v/>
      </c>
    </row>
    <row r="283" spans="1:9">
      <c r="A283">
        <v>275</v>
      </c>
      <c r="B283" t="str">
        <f t="shared" si="8"/>
        <v>jennifer  shirk</v>
      </c>
      <c r="C283" t="s">
        <v>684</v>
      </c>
      <c r="D283" t="s">
        <v>685</v>
      </c>
      <c r="E283" t="s">
        <v>4</v>
      </c>
      <c r="F283" t="s">
        <v>281</v>
      </c>
      <c r="G283" t="s">
        <v>686</v>
      </c>
      <c r="H283" t="s">
        <v>10</v>
      </c>
      <c r="I283" t="str">
        <f t="shared" si="9"/>
        <v/>
      </c>
    </row>
    <row r="284" spans="1:9">
      <c r="A284">
        <v>276</v>
      </c>
      <c r="B284" t="str">
        <f t="shared" si="8"/>
        <v>randall jeffrey sherman</v>
      </c>
      <c r="C284" t="s">
        <v>687</v>
      </c>
      <c r="D284" t="s">
        <v>185</v>
      </c>
      <c r="E284" t="s">
        <v>446</v>
      </c>
      <c r="F284" t="s">
        <v>137</v>
      </c>
      <c r="G284" t="s">
        <v>4</v>
      </c>
      <c r="H284" t="s">
        <v>36</v>
      </c>
      <c r="I284" t="str">
        <f t="shared" si="9"/>
        <v/>
      </c>
    </row>
    <row r="285" spans="1:9">
      <c r="A285">
        <v>277</v>
      </c>
      <c r="B285" t="str">
        <f t="shared" si="8"/>
        <v>roderick ward shelton</v>
      </c>
      <c r="C285" t="s">
        <v>688</v>
      </c>
      <c r="D285" t="s">
        <v>689</v>
      </c>
      <c r="E285" t="s">
        <v>690</v>
      </c>
      <c r="F285" t="s">
        <v>101</v>
      </c>
      <c r="G285" t="s">
        <v>102</v>
      </c>
      <c r="H285" t="s">
        <v>103</v>
      </c>
      <c r="I285" t="str">
        <f t="shared" si="9"/>
        <v/>
      </c>
    </row>
    <row r="286" spans="1:9">
      <c r="A286">
        <v>278</v>
      </c>
      <c r="B286" t="str">
        <f t="shared" si="8"/>
        <v>charles d sheldon</v>
      </c>
      <c r="C286" t="s">
        <v>691</v>
      </c>
      <c r="D286" t="s">
        <v>35</v>
      </c>
      <c r="E286" t="s">
        <v>570</v>
      </c>
      <c r="F286" t="s">
        <v>25</v>
      </c>
      <c r="G286" t="s">
        <v>692</v>
      </c>
      <c r="H286" t="s">
        <v>10</v>
      </c>
      <c r="I286" t="str">
        <f t="shared" si="9"/>
        <v/>
      </c>
    </row>
    <row r="287" spans="1:9">
      <c r="A287">
        <v>279</v>
      </c>
      <c r="B287" t="str">
        <f t="shared" si="8"/>
        <v>norm j. shapiro</v>
      </c>
      <c r="C287" t="s">
        <v>693</v>
      </c>
      <c r="D287" t="s">
        <v>694</v>
      </c>
      <c r="E287" t="s">
        <v>94</v>
      </c>
      <c r="F287" t="s">
        <v>4034</v>
      </c>
      <c r="G287" t="s">
        <v>4</v>
      </c>
      <c r="H287" t="s">
        <v>4</v>
      </c>
      <c r="I287" t="str">
        <f t="shared" si="9"/>
        <v/>
      </c>
    </row>
    <row r="288" spans="1:9">
      <c r="A288">
        <v>280</v>
      </c>
      <c r="B288" t="str">
        <f t="shared" si="8"/>
        <v>kenneth l shapero</v>
      </c>
      <c r="C288" t="s">
        <v>695</v>
      </c>
      <c r="D288" t="s">
        <v>60</v>
      </c>
      <c r="E288" t="s">
        <v>77</v>
      </c>
      <c r="F288" t="s">
        <v>106</v>
      </c>
      <c r="G288" t="s">
        <v>4</v>
      </c>
      <c r="H288" t="s">
        <v>10</v>
      </c>
      <c r="I288" t="str">
        <f t="shared" si="9"/>
        <v/>
      </c>
    </row>
    <row r="289" spans="1:9">
      <c r="A289">
        <v>281</v>
      </c>
      <c r="B289" t="str">
        <f t="shared" si="8"/>
        <v xml:space="preserve">  shamoon polly h.</v>
      </c>
      <c r="C289" t="s">
        <v>696</v>
      </c>
      <c r="D289" t="s">
        <v>4</v>
      </c>
      <c r="E289" t="s">
        <v>4</v>
      </c>
      <c r="F289" t="s">
        <v>101</v>
      </c>
      <c r="G289" t="s">
        <v>102</v>
      </c>
      <c r="H289" t="s">
        <v>103</v>
      </c>
      <c r="I289" t="str">
        <f t="shared" si="9"/>
        <v/>
      </c>
    </row>
    <row r="290" spans="1:9">
      <c r="A290">
        <v>282</v>
      </c>
      <c r="B290" t="str">
        <f t="shared" si="8"/>
        <v>frederick carl shaller</v>
      </c>
      <c r="C290" t="s">
        <v>697</v>
      </c>
      <c r="D290" t="s">
        <v>254</v>
      </c>
      <c r="E290" t="s">
        <v>206</v>
      </c>
      <c r="F290" t="s">
        <v>698</v>
      </c>
      <c r="G290" t="s">
        <v>699</v>
      </c>
      <c r="H290" t="s">
        <v>10</v>
      </c>
      <c r="I290" t="str">
        <f t="shared" si="9"/>
        <v/>
      </c>
    </row>
    <row r="291" spans="1:9">
      <c r="A291">
        <v>283</v>
      </c>
      <c r="B291" t="str">
        <f t="shared" si="8"/>
        <v>nancy case shaffer</v>
      </c>
      <c r="C291" t="s">
        <v>700</v>
      </c>
      <c r="D291" t="s">
        <v>542</v>
      </c>
      <c r="E291" t="s">
        <v>701</v>
      </c>
      <c r="F291" t="s">
        <v>654</v>
      </c>
      <c r="G291" t="s">
        <v>4</v>
      </c>
      <c r="H291" t="s">
        <v>10</v>
      </c>
      <c r="I291" t="str">
        <f t="shared" si="9"/>
        <v/>
      </c>
    </row>
    <row r="292" spans="1:9">
      <c r="A292">
        <v>284</v>
      </c>
      <c r="B292" t="str">
        <f t="shared" si="8"/>
        <v>gerald  sevier</v>
      </c>
      <c r="C292" t="s">
        <v>702</v>
      </c>
      <c r="D292" t="s">
        <v>703</v>
      </c>
      <c r="E292" t="s">
        <v>4</v>
      </c>
      <c r="F292" t="s">
        <v>281</v>
      </c>
      <c r="G292" t="s">
        <v>686</v>
      </c>
      <c r="H292" t="s">
        <v>10</v>
      </c>
      <c r="I292" t="str">
        <f t="shared" si="9"/>
        <v/>
      </c>
    </row>
    <row r="293" spans="1:9">
      <c r="A293">
        <v>285</v>
      </c>
      <c r="B293" t="str">
        <f t="shared" si="8"/>
        <v>patricia k. sepulveda</v>
      </c>
      <c r="C293" t="s">
        <v>704</v>
      </c>
      <c r="D293" t="s">
        <v>419</v>
      </c>
      <c r="E293" t="s">
        <v>576</v>
      </c>
      <c r="F293" t="s">
        <v>19</v>
      </c>
      <c r="G293" t="s">
        <v>705</v>
      </c>
      <c r="H293" t="s">
        <v>212</v>
      </c>
      <c r="I293" t="str">
        <f t="shared" si="9"/>
        <v/>
      </c>
    </row>
    <row r="294" spans="1:9">
      <c r="A294">
        <v>286</v>
      </c>
      <c r="B294" t="str">
        <f t="shared" si="8"/>
        <v>john l segal</v>
      </c>
      <c r="C294" t="s">
        <v>706</v>
      </c>
      <c r="D294" t="s">
        <v>7</v>
      </c>
      <c r="E294" t="s">
        <v>77</v>
      </c>
      <c r="F294" t="s">
        <v>54</v>
      </c>
      <c r="G294" t="s">
        <v>135</v>
      </c>
      <c r="H294" t="s">
        <v>36</v>
      </c>
      <c r="I294" t="str">
        <f t="shared" si="9"/>
        <v/>
      </c>
    </row>
    <row r="295" spans="1:9">
      <c r="A295">
        <v>287</v>
      </c>
      <c r="B295" t="str">
        <f t="shared" si="8"/>
        <v>paul daniel seeman</v>
      </c>
      <c r="C295" t="s">
        <v>707</v>
      </c>
      <c r="D295" t="s">
        <v>280</v>
      </c>
      <c r="E295" t="s">
        <v>23</v>
      </c>
      <c r="F295" t="s">
        <v>387</v>
      </c>
      <c r="G295" t="s">
        <v>4</v>
      </c>
      <c r="H295" t="s">
        <v>10</v>
      </c>
      <c r="I295" t="str">
        <f t="shared" si="9"/>
        <v/>
      </c>
    </row>
    <row r="296" spans="1:9">
      <c r="A296">
        <v>288</v>
      </c>
      <c r="B296" t="str">
        <f t="shared" si="8"/>
        <v>ramona gail see</v>
      </c>
      <c r="C296" t="s">
        <v>708</v>
      </c>
      <c r="D296" t="s">
        <v>709</v>
      </c>
      <c r="E296" t="s">
        <v>710</v>
      </c>
      <c r="F296" t="s">
        <v>1749</v>
      </c>
      <c r="G296" t="s">
        <v>4</v>
      </c>
      <c r="H296" t="s">
        <v>4</v>
      </c>
      <c r="I296" t="str">
        <f t="shared" si="9"/>
        <v/>
      </c>
    </row>
    <row r="297" spans="1:9">
      <c r="A297">
        <v>289</v>
      </c>
      <c r="B297" t="str">
        <f t="shared" si="8"/>
        <v>r carlton seaver</v>
      </c>
      <c r="C297" t="s">
        <v>711</v>
      </c>
      <c r="D297" t="s">
        <v>53</v>
      </c>
      <c r="E297" t="s">
        <v>712</v>
      </c>
      <c r="F297" t="s">
        <v>25</v>
      </c>
      <c r="G297" t="s">
        <v>4</v>
      </c>
      <c r="H297" t="s">
        <v>10</v>
      </c>
      <c r="I297" t="str">
        <f t="shared" si="9"/>
        <v/>
      </c>
    </row>
    <row r="298" spans="1:9">
      <c r="A298">
        <v>290</v>
      </c>
      <c r="B298" t="str">
        <f t="shared" si="8"/>
        <v>paul l. seave</v>
      </c>
      <c r="C298" t="s">
        <v>713</v>
      </c>
      <c r="D298" t="s">
        <v>280</v>
      </c>
      <c r="E298" t="s">
        <v>257</v>
      </c>
      <c r="F298" t="s">
        <v>714</v>
      </c>
      <c r="G298" t="s">
        <v>4</v>
      </c>
      <c r="H298" t="s">
        <v>715</v>
      </c>
      <c r="I298" t="str">
        <f t="shared" si="9"/>
        <v/>
      </c>
    </row>
    <row r="299" spans="1:9">
      <c r="A299">
        <v>291</v>
      </c>
      <c r="B299" t="str">
        <f t="shared" si="8"/>
        <v>julia l. scrogin</v>
      </c>
      <c r="C299" t="s">
        <v>716</v>
      </c>
      <c r="D299" t="s">
        <v>586</v>
      </c>
      <c r="E299" t="s">
        <v>257</v>
      </c>
      <c r="F299" t="s">
        <v>717</v>
      </c>
      <c r="G299" t="s">
        <v>718</v>
      </c>
      <c r="H299" t="s">
        <v>36</v>
      </c>
      <c r="I299" t="str">
        <f t="shared" si="9"/>
        <v/>
      </c>
    </row>
    <row r="300" spans="1:9">
      <c r="A300">
        <v>292</v>
      </c>
      <c r="B300" t="str">
        <f t="shared" si="8"/>
        <v>william stephen stephen scott</v>
      </c>
      <c r="C300" t="s">
        <v>436</v>
      </c>
      <c r="D300" t="s">
        <v>719</v>
      </c>
      <c r="E300" t="s">
        <v>183</v>
      </c>
      <c r="F300" t="s">
        <v>720</v>
      </c>
      <c r="G300" t="s">
        <v>4</v>
      </c>
      <c r="H300" t="s">
        <v>10</v>
      </c>
      <c r="I300" t="str">
        <f t="shared" si="9"/>
        <v/>
      </c>
    </row>
    <row r="301" spans="1:9">
      <c r="A301">
        <v>293</v>
      </c>
      <c r="B301" t="str">
        <f t="shared" si="8"/>
        <v>russell d. scott</v>
      </c>
      <c r="C301" t="s">
        <v>436</v>
      </c>
      <c r="D301" t="s">
        <v>721</v>
      </c>
      <c r="E301" t="s">
        <v>186</v>
      </c>
      <c r="F301" t="s">
        <v>722</v>
      </c>
      <c r="G301" t="s">
        <v>4</v>
      </c>
      <c r="H301" t="s">
        <v>10</v>
      </c>
      <c r="I301" t="str">
        <f t="shared" si="9"/>
        <v/>
      </c>
    </row>
    <row r="302" spans="1:9">
      <c r="A302">
        <v>294</v>
      </c>
      <c r="B302" t="str">
        <f t="shared" si="8"/>
        <v>joseph c. scott</v>
      </c>
      <c r="C302" t="s">
        <v>436</v>
      </c>
      <c r="D302" t="s">
        <v>80</v>
      </c>
      <c r="E302" t="s">
        <v>332</v>
      </c>
      <c r="F302" t="s">
        <v>231</v>
      </c>
      <c r="G302" t="s">
        <v>4</v>
      </c>
      <c r="H302" t="s">
        <v>10</v>
      </c>
      <c r="I302" t="str">
        <f t="shared" si="9"/>
        <v/>
      </c>
    </row>
    <row r="303" spans="1:9">
      <c r="A303">
        <v>295</v>
      </c>
      <c r="B303" t="str">
        <f t="shared" si="8"/>
        <v>daphne sykes scott</v>
      </c>
      <c r="C303" t="s">
        <v>436</v>
      </c>
      <c r="D303" t="s">
        <v>723</v>
      </c>
      <c r="E303" t="s">
        <v>724</v>
      </c>
      <c r="F303" t="s">
        <v>1964</v>
      </c>
      <c r="G303" t="s">
        <v>725</v>
      </c>
      <c r="H303" t="s">
        <v>4</v>
      </c>
      <c r="I303" t="str">
        <f t="shared" si="9"/>
        <v/>
      </c>
    </row>
    <row r="304" spans="1:9">
      <c r="A304">
        <v>296</v>
      </c>
      <c r="B304" t="str">
        <f t="shared" si="8"/>
        <v>shawna marie schwarz</v>
      </c>
      <c r="C304" t="s">
        <v>726</v>
      </c>
      <c r="D304" t="s">
        <v>727</v>
      </c>
      <c r="E304" t="s">
        <v>43</v>
      </c>
      <c r="F304" t="s">
        <v>728</v>
      </c>
      <c r="G304" t="s">
        <v>4</v>
      </c>
      <c r="H304" t="s">
        <v>36</v>
      </c>
      <c r="I304" t="str">
        <f t="shared" si="9"/>
        <v/>
      </c>
    </row>
    <row r="305" spans="1:9">
      <c r="A305">
        <v>297</v>
      </c>
      <c r="B305" t="str">
        <f t="shared" si="8"/>
        <v>i  schwartz teri</v>
      </c>
      <c r="C305" t="s">
        <v>729</v>
      </c>
      <c r="D305" t="s">
        <v>730</v>
      </c>
      <c r="E305" t="s">
        <v>4</v>
      </c>
      <c r="F305" t="s">
        <v>4035</v>
      </c>
      <c r="G305" t="s">
        <v>4</v>
      </c>
      <c r="H305" t="s">
        <v>4</v>
      </c>
      <c r="I305" t="str">
        <f t="shared" si="9"/>
        <v/>
      </c>
    </row>
    <row r="306" spans="1:9">
      <c r="A306">
        <v>298</v>
      </c>
      <c r="B306" t="str">
        <f t="shared" si="8"/>
        <v>keith l schwartz</v>
      </c>
      <c r="C306" t="s">
        <v>731</v>
      </c>
      <c r="D306" t="s">
        <v>732</v>
      </c>
      <c r="E306" t="s">
        <v>77</v>
      </c>
      <c r="F306" t="s">
        <v>1749</v>
      </c>
      <c r="G306" t="s">
        <v>4</v>
      </c>
      <c r="H306" t="s">
        <v>4</v>
      </c>
      <c r="I306" t="str">
        <f t="shared" si="9"/>
        <v/>
      </c>
    </row>
    <row r="307" spans="1:9">
      <c r="A307">
        <v>299</v>
      </c>
      <c r="B307" t="str">
        <f t="shared" si="8"/>
        <v>bernard julian schwartz</v>
      </c>
      <c r="C307" t="s">
        <v>731</v>
      </c>
      <c r="D307" t="s">
        <v>733</v>
      </c>
      <c r="E307" t="s">
        <v>734</v>
      </c>
      <c r="F307" t="s">
        <v>216</v>
      </c>
      <c r="G307" t="s">
        <v>4</v>
      </c>
      <c r="H307" t="s">
        <v>10</v>
      </c>
      <c r="I307" t="str">
        <f t="shared" si="9"/>
        <v/>
      </c>
    </row>
    <row r="308" spans="1:9">
      <c r="A308">
        <v>300</v>
      </c>
      <c r="B308" t="str">
        <f t="shared" si="8"/>
        <v>palmer  schwarm walter</v>
      </c>
      <c r="C308" t="s">
        <v>735</v>
      </c>
      <c r="D308" t="s">
        <v>736</v>
      </c>
      <c r="E308" t="s">
        <v>4</v>
      </c>
      <c r="F308" t="s">
        <v>4036</v>
      </c>
      <c r="G308" t="s">
        <v>4</v>
      </c>
      <c r="H308" t="s">
        <v>4</v>
      </c>
      <c r="I308" t="str">
        <f t="shared" si="9"/>
        <v/>
      </c>
    </row>
    <row r="309" spans="1:9">
      <c r="A309">
        <v>301</v>
      </c>
      <c r="B309" t="str">
        <f t="shared" si="8"/>
        <v>tam bk schumann</v>
      </c>
      <c r="C309" t="s">
        <v>737</v>
      </c>
      <c r="D309" t="s">
        <v>738</v>
      </c>
      <c r="E309" t="s">
        <v>739</v>
      </c>
      <c r="F309" t="s">
        <v>4037</v>
      </c>
      <c r="G309" t="s">
        <v>4</v>
      </c>
      <c r="H309" t="s">
        <v>4</v>
      </c>
      <c r="I309" t="str">
        <f t="shared" si="9"/>
        <v/>
      </c>
    </row>
    <row r="310" spans="1:9">
      <c r="A310">
        <v>302</v>
      </c>
      <c r="B310" t="str">
        <f t="shared" si="8"/>
        <v>mury fingal schulte</v>
      </c>
      <c r="C310" t="s">
        <v>740</v>
      </c>
      <c r="D310" t="s">
        <v>741</v>
      </c>
      <c r="E310" t="s">
        <v>742</v>
      </c>
      <c r="F310" t="s">
        <v>4038</v>
      </c>
      <c r="G310" t="s">
        <v>4</v>
      </c>
      <c r="H310" t="s">
        <v>4</v>
      </c>
      <c r="I310" t="str">
        <f t="shared" si="9"/>
        <v/>
      </c>
    </row>
    <row r="311" spans="1:9">
      <c r="A311">
        <v>303</v>
      </c>
      <c r="B311" t="str">
        <f t="shared" si="8"/>
        <v>robert john schuit</v>
      </c>
      <c r="C311" t="s">
        <v>743</v>
      </c>
      <c r="D311" t="s">
        <v>72</v>
      </c>
      <c r="E311" t="s">
        <v>7</v>
      </c>
      <c r="F311" t="s">
        <v>49</v>
      </c>
      <c r="G311" t="s">
        <v>4</v>
      </c>
      <c r="H311" t="s">
        <v>103</v>
      </c>
      <c r="I311" t="str">
        <f t="shared" si="9"/>
        <v/>
      </c>
    </row>
    <row r="312" spans="1:9">
      <c r="A312">
        <v>304</v>
      </c>
      <c r="B312" t="str">
        <f t="shared" si="8"/>
        <v>stephen d. schuett</v>
      </c>
      <c r="C312" t="s">
        <v>744</v>
      </c>
      <c r="D312" t="s">
        <v>183</v>
      </c>
      <c r="E312" t="s">
        <v>186</v>
      </c>
      <c r="F312" t="s">
        <v>32</v>
      </c>
      <c r="G312" t="s">
        <v>95</v>
      </c>
      <c r="H312" t="s">
        <v>10</v>
      </c>
      <c r="I312" t="str">
        <f t="shared" si="9"/>
        <v/>
      </c>
    </row>
    <row r="313" spans="1:9">
      <c r="A313">
        <v>305</v>
      </c>
      <c r="B313" t="str">
        <f t="shared" si="8"/>
        <v>wilfred j. schneiderjr.</v>
      </c>
      <c r="C313" t="s">
        <v>745</v>
      </c>
      <c r="D313" t="s">
        <v>746</v>
      </c>
      <c r="E313" t="s">
        <v>94</v>
      </c>
      <c r="F313" t="s">
        <v>371</v>
      </c>
      <c r="G313" t="s">
        <v>626</v>
      </c>
      <c r="H313" t="s">
        <v>36</v>
      </c>
      <c r="I313" t="str">
        <f t="shared" si="9"/>
        <v/>
      </c>
    </row>
    <row r="314" spans="1:9">
      <c r="A314">
        <v>306</v>
      </c>
      <c r="B314" t="str">
        <f t="shared" si="8"/>
        <v>alan k schneider</v>
      </c>
      <c r="C314" t="s">
        <v>747</v>
      </c>
      <c r="D314" t="s">
        <v>48</v>
      </c>
      <c r="E314" t="s">
        <v>514</v>
      </c>
      <c r="F314" t="s">
        <v>4039</v>
      </c>
      <c r="G314" t="s">
        <v>4</v>
      </c>
      <c r="H314" t="s">
        <v>4</v>
      </c>
      <c r="I314" t="str">
        <f t="shared" si="9"/>
        <v/>
      </c>
    </row>
    <row r="315" spans="1:9">
      <c r="A315">
        <v>307</v>
      </c>
      <c r="B315" t="str">
        <f t="shared" si="8"/>
        <v>patricia mary schnegg</v>
      </c>
      <c r="C315" t="s">
        <v>748</v>
      </c>
      <c r="D315" t="s">
        <v>419</v>
      </c>
      <c r="E315" t="s">
        <v>126</v>
      </c>
      <c r="F315" t="s">
        <v>1749</v>
      </c>
      <c r="G315" t="s">
        <v>4</v>
      </c>
      <c r="H315" t="s">
        <v>4</v>
      </c>
      <c r="I315" t="str">
        <f t="shared" si="9"/>
        <v/>
      </c>
    </row>
    <row r="316" spans="1:9">
      <c r="A316">
        <v>308</v>
      </c>
      <c r="B316" t="str">
        <f t="shared" si="8"/>
        <v>richard bryan scheuler</v>
      </c>
      <c r="C316" t="s">
        <v>749</v>
      </c>
      <c r="D316" t="s">
        <v>173</v>
      </c>
      <c r="E316" t="s">
        <v>575</v>
      </c>
      <c r="F316" t="s">
        <v>4040</v>
      </c>
      <c r="G316" t="s">
        <v>4</v>
      </c>
      <c r="H316" t="s">
        <v>4</v>
      </c>
      <c r="I316" t="str">
        <f t="shared" si="9"/>
        <v/>
      </c>
    </row>
    <row r="317" spans="1:9">
      <c r="A317">
        <v>309</v>
      </c>
      <c r="B317" t="str">
        <f t="shared" si="8"/>
        <v>barbara m scheper</v>
      </c>
      <c r="C317" t="s">
        <v>750</v>
      </c>
      <c r="D317" t="s">
        <v>2</v>
      </c>
      <c r="E317" t="s">
        <v>410</v>
      </c>
      <c r="F317" t="s">
        <v>46</v>
      </c>
      <c r="G317" t="s">
        <v>751</v>
      </c>
      <c r="H317" t="s">
        <v>10</v>
      </c>
      <c r="I317" t="str">
        <f t="shared" si="9"/>
        <v/>
      </c>
    </row>
    <row r="318" spans="1:9">
      <c r="A318">
        <v>310</v>
      </c>
      <c r="B318" t="str">
        <f t="shared" si="8"/>
        <v>lisa  schall</v>
      </c>
      <c r="C318" t="s">
        <v>752</v>
      </c>
      <c r="D318" t="s">
        <v>753</v>
      </c>
      <c r="E318" t="s">
        <v>4</v>
      </c>
      <c r="F318" t="s">
        <v>101</v>
      </c>
      <c r="G318" t="s">
        <v>102</v>
      </c>
      <c r="H318" t="s">
        <v>103</v>
      </c>
      <c r="I318" t="str">
        <f t="shared" si="9"/>
        <v/>
      </c>
    </row>
    <row r="319" spans="1:9">
      <c r="A319">
        <v>311</v>
      </c>
      <c r="B319" t="str">
        <f t="shared" si="8"/>
        <v>patricia mary scanlon</v>
      </c>
      <c r="C319" t="s">
        <v>754</v>
      </c>
      <c r="D319" t="s">
        <v>419</v>
      </c>
      <c r="E319" t="s">
        <v>126</v>
      </c>
      <c r="F319" t="s">
        <v>755</v>
      </c>
      <c r="G319" t="s">
        <v>4</v>
      </c>
      <c r="H319" t="s">
        <v>10</v>
      </c>
      <c r="I319" t="str">
        <f t="shared" si="9"/>
        <v/>
      </c>
    </row>
    <row r="320" spans="1:9">
      <c r="A320">
        <v>312</v>
      </c>
      <c r="B320" t="str">
        <f t="shared" si="8"/>
        <v>ernest wayne sawtelle</v>
      </c>
      <c r="C320" t="s">
        <v>756</v>
      </c>
      <c r="D320" t="s">
        <v>757</v>
      </c>
      <c r="E320" t="s">
        <v>758</v>
      </c>
      <c r="F320" t="s">
        <v>714</v>
      </c>
      <c r="G320" t="s">
        <v>4</v>
      </c>
      <c r="H320" t="s">
        <v>10</v>
      </c>
      <c r="I320" t="str">
        <f t="shared" si="9"/>
        <v/>
      </c>
    </row>
    <row r="321" spans="1:9">
      <c r="A321">
        <v>313</v>
      </c>
      <c r="B321" t="str">
        <f t="shared" si="8"/>
        <v>michael allen savage</v>
      </c>
      <c r="C321" t="s">
        <v>759</v>
      </c>
      <c r="D321" t="s">
        <v>219</v>
      </c>
      <c r="E321" t="s">
        <v>192</v>
      </c>
      <c r="F321" t="s">
        <v>714</v>
      </c>
      <c r="G321" t="s">
        <v>4</v>
      </c>
      <c r="H321" t="s">
        <v>103</v>
      </c>
      <c r="I321" t="str">
        <f t="shared" si="9"/>
        <v/>
      </c>
    </row>
    <row r="322" spans="1:9">
      <c r="A322">
        <v>314</v>
      </c>
      <c r="B322" t="str">
        <f t="shared" si="8"/>
        <v>stephanie  sautner</v>
      </c>
      <c r="C322" t="s">
        <v>760</v>
      </c>
      <c r="D322" t="s">
        <v>595</v>
      </c>
      <c r="E322" t="s">
        <v>4</v>
      </c>
      <c r="F322" t="s">
        <v>1749</v>
      </c>
      <c r="G322" t="s">
        <v>4</v>
      </c>
      <c r="H322" t="s">
        <v>4</v>
      </c>
      <c r="I322" t="str">
        <f t="shared" si="9"/>
        <v/>
      </c>
    </row>
    <row r="323" spans="1:9">
      <c r="A323">
        <v>315</v>
      </c>
      <c r="B323" t="str">
        <f t="shared" ref="B323:B386" si="10">TRIM($D323) &amp; " " &amp; TRIM($E323) &amp; " " &amp; TRIM($C323)</f>
        <v>reginald p saunders</v>
      </c>
      <c r="C323" t="s">
        <v>761</v>
      </c>
      <c r="D323" t="s">
        <v>762</v>
      </c>
      <c r="E323" t="s">
        <v>252</v>
      </c>
      <c r="F323" t="s">
        <v>387</v>
      </c>
      <c r="G323" t="s">
        <v>4</v>
      </c>
      <c r="H323" t="s">
        <v>10</v>
      </c>
      <c r="I323" t="str">
        <f t="shared" ref="I323:I386" si="11">IF(NOT(ISERROR(FIND("judge",F323))),"judge","")</f>
        <v/>
      </c>
    </row>
    <row r="324" spans="1:9">
      <c r="A324">
        <v>316</v>
      </c>
      <c r="B324" t="str">
        <f t="shared" si="10"/>
        <v>brian d saunders</v>
      </c>
      <c r="C324" t="s">
        <v>761</v>
      </c>
      <c r="D324" t="s">
        <v>57</v>
      </c>
      <c r="E324" t="s">
        <v>570</v>
      </c>
      <c r="F324" t="s">
        <v>32</v>
      </c>
      <c r="G324" t="s">
        <v>763</v>
      </c>
      <c r="H324" t="s">
        <v>36</v>
      </c>
      <c r="I324" t="str">
        <f t="shared" si="11"/>
        <v/>
      </c>
    </row>
    <row r="325" spans="1:9">
      <c r="A325">
        <v>317</v>
      </c>
      <c r="B325" t="str">
        <f t="shared" si="10"/>
        <v>valeriano (nmn) saucedo</v>
      </c>
      <c r="C325" t="s">
        <v>764</v>
      </c>
      <c r="D325" t="s">
        <v>765</v>
      </c>
      <c r="E325" t="s">
        <v>362</v>
      </c>
      <c r="F325" t="s">
        <v>281</v>
      </c>
      <c r="G325" t="s">
        <v>4</v>
      </c>
      <c r="H325" t="s">
        <v>10</v>
      </c>
      <c r="I325" t="str">
        <f t="shared" si="11"/>
        <v/>
      </c>
    </row>
    <row r="326" spans="1:9">
      <c r="A326">
        <v>317</v>
      </c>
      <c r="B326" t="str">
        <f t="shared" si="10"/>
        <v>valeriano (nmn) saucedo</v>
      </c>
      <c r="C326" t="s">
        <v>764</v>
      </c>
      <c r="D326" t="s">
        <v>765</v>
      </c>
      <c r="E326" t="s">
        <v>362</v>
      </c>
      <c r="F326" t="s">
        <v>281</v>
      </c>
      <c r="G326" t="s">
        <v>4</v>
      </c>
      <c r="H326" t="s">
        <v>10</v>
      </c>
      <c r="I326" t="str">
        <f t="shared" si="11"/>
        <v/>
      </c>
    </row>
    <row r="327" spans="1:9">
      <c r="A327">
        <v>318</v>
      </c>
      <c r="B327" t="str">
        <f t="shared" si="10"/>
        <v xml:space="preserve"> bf sarmientosalvador</v>
      </c>
      <c r="C327" t="s">
        <v>766</v>
      </c>
      <c r="D327" t="s">
        <v>4</v>
      </c>
      <c r="E327" t="s">
        <v>767</v>
      </c>
      <c r="F327" t="s">
        <v>137</v>
      </c>
      <c r="G327" t="s">
        <v>4</v>
      </c>
      <c r="H327" t="s">
        <v>4</v>
      </c>
      <c r="I327" t="str">
        <f t="shared" si="11"/>
        <v/>
      </c>
    </row>
    <row r="328" spans="1:9">
      <c r="A328">
        <v>319</v>
      </c>
      <c r="B328" t="str">
        <f t="shared" si="10"/>
        <v>cesar c sarmiento</v>
      </c>
      <c r="C328" t="s">
        <v>768</v>
      </c>
      <c r="D328" t="s">
        <v>769</v>
      </c>
      <c r="E328" t="s">
        <v>770</v>
      </c>
      <c r="F328" t="s">
        <v>1749</v>
      </c>
      <c r="G328" t="s">
        <v>4</v>
      </c>
      <c r="H328" t="s">
        <v>4</v>
      </c>
      <c r="I328" t="str">
        <f t="shared" si="11"/>
        <v/>
      </c>
    </row>
    <row r="329" spans="1:9">
      <c r="A329">
        <v>320</v>
      </c>
      <c r="B329" t="str">
        <f t="shared" si="10"/>
        <v>edward jr.  sarkisian</v>
      </c>
      <c r="C329" t="s">
        <v>771</v>
      </c>
      <c r="D329" t="s">
        <v>772</v>
      </c>
      <c r="E329" t="s">
        <v>4</v>
      </c>
      <c r="F329" t="s">
        <v>773</v>
      </c>
      <c r="G329" t="s">
        <v>571</v>
      </c>
      <c r="H329" t="s">
        <v>774</v>
      </c>
      <c r="I329" t="str">
        <f t="shared" si="11"/>
        <v/>
      </c>
    </row>
    <row r="330" spans="1:9">
      <c r="A330">
        <v>321</v>
      </c>
      <c r="B330" t="str">
        <f t="shared" si="10"/>
        <v>ray finance section santana</v>
      </c>
      <c r="C330" t="s">
        <v>775</v>
      </c>
      <c r="D330" t="s">
        <v>776</v>
      </c>
      <c r="E330" t="s">
        <v>777</v>
      </c>
      <c r="F330" t="s">
        <v>4041</v>
      </c>
      <c r="G330" t="s">
        <v>4</v>
      </c>
      <c r="H330" t="s">
        <v>4</v>
      </c>
      <c r="I330" t="str">
        <f t="shared" si="11"/>
        <v/>
      </c>
    </row>
    <row r="331" spans="1:9">
      <c r="A331">
        <v>322</v>
      </c>
      <c r="B331" t="str">
        <f t="shared" si="10"/>
        <v>steven paul sanora</v>
      </c>
      <c r="C331" t="s">
        <v>778</v>
      </c>
      <c r="D331" t="s">
        <v>339</v>
      </c>
      <c r="E331" t="s">
        <v>280</v>
      </c>
      <c r="F331" t="s">
        <v>25</v>
      </c>
      <c r="G331" t="s">
        <v>637</v>
      </c>
      <c r="H331" t="s">
        <v>10</v>
      </c>
      <c r="I331" t="str">
        <f t="shared" si="11"/>
        <v/>
      </c>
    </row>
    <row r="332" spans="1:9">
      <c r="A332">
        <v>323</v>
      </c>
      <c r="B332" t="str">
        <f t="shared" si="10"/>
        <v>melvin d sandvig</v>
      </c>
      <c r="C332" t="s">
        <v>779</v>
      </c>
      <c r="D332" t="s">
        <v>780</v>
      </c>
      <c r="E332" t="s">
        <v>570</v>
      </c>
      <c r="F332" t="s">
        <v>25</v>
      </c>
      <c r="G332" t="s">
        <v>781</v>
      </c>
      <c r="H332" t="s">
        <v>782</v>
      </c>
      <c r="I332" t="str">
        <f t="shared" si="11"/>
        <v/>
      </c>
    </row>
    <row r="333" spans="1:9">
      <c r="A333">
        <v>324</v>
      </c>
      <c r="B333" t="str">
        <f t="shared" si="10"/>
        <v>jose i sandoval</v>
      </c>
      <c r="C333" t="s">
        <v>783</v>
      </c>
      <c r="D333" t="s">
        <v>784</v>
      </c>
      <c r="E333" t="s">
        <v>730</v>
      </c>
      <c r="F333" t="s">
        <v>4042</v>
      </c>
      <c r="G333" t="s">
        <v>4</v>
      </c>
      <c r="H333" t="s">
        <v>4</v>
      </c>
      <c r="I333" t="str">
        <f t="shared" si="11"/>
        <v/>
      </c>
    </row>
    <row r="334" spans="1:9">
      <c r="A334">
        <v>325</v>
      </c>
      <c r="B334" t="str">
        <f t="shared" si="10"/>
        <v>gerardo campos sandoval</v>
      </c>
      <c r="C334" t="s">
        <v>783</v>
      </c>
      <c r="D334" t="s">
        <v>785</v>
      </c>
      <c r="E334" t="s">
        <v>786</v>
      </c>
      <c r="F334" t="s">
        <v>88</v>
      </c>
      <c r="G334" t="s">
        <v>787</v>
      </c>
      <c r="H334" t="s">
        <v>10</v>
      </c>
      <c r="I334" t="str">
        <f t="shared" si="11"/>
        <v/>
      </c>
    </row>
    <row r="335" spans="1:9">
      <c r="A335">
        <v>326</v>
      </c>
      <c r="B335" t="str">
        <f t="shared" si="10"/>
        <v>houry a sanderson</v>
      </c>
      <c r="C335" t="s">
        <v>788</v>
      </c>
      <c r="D335" t="s">
        <v>789</v>
      </c>
      <c r="E335" t="s">
        <v>39</v>
      </c>
      <c r="F335" t="s">
        <v>790</v>
      </c>
      <c r="G335" t="s">
        <v>4</v>
      </c>
      <c r="H335" t="s">
        <v>10</v>
      </c>
      <c r="I335" t="str">
        <f t="shared" si="11"/>
        <v/>
      </c>
    </row>
    <row r="336" spans="1:9">
      <c r="A336">
        <v>327</v>
      </c>
      <c r="B336" t="str">
        <f t="shared" si="10"/>
        <v>steven r sanders</v>
      </c>
      <c r="C336" t="s">
        <v>791</v>
      </c>
      <c r="D336" t="s">
        <v>339</v>
      </c>
      <c r="E336" t="s">
        <v>53</v>
      </c>
      <c r="F336" t="s">
        <v>4043</v>
      </c>
      <c r="G336" t="s">
        <v>792</v>
      </c>
      <c r="H336" t="s">
        <v>10</v>
      </c>
      <c r="I336" t="str">
        <f t="shared" si="11"/>
        <v/>
      </c>
    </row>
    <row r="337" spans="1:9">
      <c r="A337">
        <v>328</v>
      </c>
      <c r="B337" t="str">
        <f t="shared" si="10"/>
        <v>glenda (none)deputy sanders</v>
      </c>
      <c r="C337" t="s">
        <v>791</v>
      </c>
      <c r="D337" t="s">
        <v>793</v>
      </c>
      <c r="E337" t="s">
        <v>794</v>
      </c>
      <c r="F337" t="s">
        <v>137</v>
      </c>
      <c r="G337" t="s">
        <v>4</v>
      </c>
      <c r="H337" t="s">
        <v>36</v>
      </c>
      <c r="I337" t="str">
        <f t="shared" si="11"/>
        <v/>
      </c>
    </row>
    <row r="338" spans="1:9">
      <c r="A338">
        <v>329</v>
      </c>
      <c r="B338" t="str">
        <f t="shared" si="10"/>
        <v>yuonne theresa resa sanchez</v>
      </c>
      <c r="C338" t="s">
        <v>795</v>
      </c>
      <c r="D338" t="s">
        <v>796</v>
      </c>
      <c r="E338" t="s">
        <v>797</v>
      </c>
      <c r="F338" t="s">
        <v>1749</v>
      </c>
      <c r="G338" t="s">
        <v>4</v>
      </c>
      <c r="H338" t="s">
        <v>4</v>
      </c>
      <c r="I338" t="str">
        <f t="shared" si="11"/>
        <v/>
      </c>
    </row>
    <row r="339" spans="1:9">
      <c r="A339">
        <v>330</v>
      </c>
      <c r="B339" t="str">
        <f t="shared" si="10"/>
        <v>teresa officer/clerk os angeles sanche2- giroon</v>
      </c>
      <c r="C339" t="s">
        <v>798</v>
      </c>
      <c r="D339" t="s">
        <v>799</v>
      </c>
      <c r="E339" t="s">
        <v>800</v>
      </c>
      <c r="F339" t="s">
        <v>1749</v>
      </c>
      <c r="G339" t="s">
        <v>4</v>
      </c>
      <c r="H339" t="s">
        <v>4</v>
      </c>
      <c r="I339" t="str">
        <f t="shared" si="11"/>
        <v/>
      </c>
    </row>
    <row r="340" spans="1:9">
      <c r="A340">
        <v>331</v>
      </c>
      <c r="B340" t="str">
        <f t="shared" si="10"/>
        <v>deborah l. sanchez</v>
      </c>
      <c r="C340" t="s">
        <v>795</v>
      </c>
      <c r="D340" t="s">
        <v>801</v>
      </c>
      <c r="E340" t="s">
        <v>257</v>
      </c>
      <c r="F340" t="s">
        <v>4044</v>
      </c>
      <c r="G340" t="s">
        <v>802</v>
      </c>
      <c r="H340" t="s">
        <v>4</v>
      </c>
      <c r="I340" t="str">
        <f t="shared" si="11"/>
        <v/>
      </c>
    </row>
    <row r="341" spans="1:9">
      <c r="A341">
        <v>332</v>
      </c>
      <c r="B341" t="str">
        <f t="shared" si="10"/>
        <v>shellie l samuels</v>
      </c>
      <c r="C341" t="s">
        <v>803</v>
      </c>
      <c r="D341" t="s">
        <v>804</v>
      </c>
      <c r="E341" t="s">
        <v>77</v>
      </c>
      <c r="F341" t="s">
        <v>4045</v>
      </c>
      <c r="G341" t="s">
        <v>4</v>
      </c>
      <c r="H341" t="s">
        <v>4</v>
      </c>
      <c r="I341" t="str">
        <f t="shared" si="11"/>
        <v/>
      </c>
    </row>
    <row r="342" spans="1:9">
      <c r="A342">
        <v>333</v>
      </c>
      <c r="B342" t="str">
        <f t="shared" si="10"/>
        <v>timothy wayne salter</v>
      </c>
      <c r="C342" t="s">
        <v>805</v>
      </c>
      <c r="D342" t="s">
        <v>264</v>
      </c>
      <c r="E342" t="s">
        <v>758</v>
      </c>
      <c r="F342" t="s">
        <v>4046</v>
      </c>
      <c r="G342" t="s">
        <v>4</v>
      </c>
      <c r="H342" t="s">
        <v>10</v>
      </c>
      <c r="I342" t="str">
        <f t="shared" si="11"/>
        <v/>
      </c>
    </row>
    <row r="343" spans="1:9">
      <c r="A343">
        <v>334</v>
      </c>
      <c r="B343" t="str">
        <f t="shared" si="10"/>
        <v>glenn robert salter</v>
      </c>
      <c r="C343" t="s">
        <v>805</v>
      </c>
      <c r="D343" t="s">
        <v>73</v>
      </c>
      <c r="E343" t="s">
        <v>72</v>
      </c>
      <c r="F343" t="s">
        <v>4036</v>
      </c>
      <c r="G343" t="s">
        <v>4</v>
      </c>
      <c r="H343" t="s">
        <v>4</v>
      </c>
      <c r="I343" t="str">
        <f t="shared" si="11"/>
        <v/>
      </c>
    </row>
    <row r="344" spans="1:9">
      <c r="A344">
        <v>335</v>
      </c>
      <c r="B344" t="str">
        <f t="shared" si="10"/>
        <v>valerie  salkin</v>
      </c>
      <c r="C344" t="s">
        <v>806</v>
      </c>
      <c r="D344" t="s">
        <v>807</v>
      </c>
      <c r="E344" t="s">
        <v>4</v>
      </c>
      <c r="F344" t="s">
        <v>808</v>
      </c>
      <c r="G344" t="s">
        <v>809</v>
      </c>
      <c r="H344" t="s">
        <v>10</v>
      </c>
      <c r="I344" t="str">
        <f t="shared" si="11"/>
        <v/>
      </c>
    </row>
    <row r="345" spans="1:9">
      <c r="A345">
        <v>336</v>
      </c>
      <c r="B345" t="str">
        <f t="shared" si="10"/>
        <v>stephan gray saleson</v>
      </c>
      <c r="C345" t="s">
        <v>810</v>
      </c>
      <c r="D345" t="s">
        <v>811</v>
      </c>
      <c r="E345" t="s">
        <v>812</v>
      </c>
      <c r="F345" t="s">
        <v>49</v>
      </c>
      <c r="G345" t="s">
        <v>151</v>
      </c>
      <c r="H345" t="s">
        <v>10</v>
      </c>
      <c r="I345" t="str">
        <f t="shared" si="11"/>
        <v/>
      </c>
    </row>
    <row r="346" spans="1:9">
      <c r="A346">
        <v>337</v>
      </c>
      <c r="B346" t="str">
        <f t="shared" si="10"/>
        <v>john steven salazar</v>
      </c>
      <c r="C346" t="s">
        <v>813</v>
      </c>
      <c r="D346" t="s">
        <v>7</v>
      </c>
      <c r="E346" t="s">
        <v>339</v>
      </c>
      <c r="F346" t="s">
        <v>1490</v>
      </c>
      <c r="G346" t="s">
        <v>4</v>
      </c>
      <c r="H346" t="s">
        <v>36</v>
      </c>
      <c r="I346" t="str">
        <f t="shared" si="11"/>
        <v/>
      </c>
    </row>
    <row r="347" spans="1:9">
      <c r="A347">
        <v>338</v>
      </c>
      <c r="B347" t="str">
        <f t="shared" si="10"/>
        <v>timothy rex saito</v>
      </c>
      <c r="C347" t="s">
        <v>814</v>
      </c>
      <c r="D347" t="s">
        <v>264</v>
      </c>
      <c r="E347" t="s">
        <v>815</v>
      </c>
      <c r="F347" t="s">
        <v>25</v>
      </c>
      <c r="G347" t="s">
        <v>816</v>
      </c>
      <c r="H347" t="s">
        <v>10</v>
      </c>
      <c r="I347" t="str">
        <f t="shared" si="11"/>
        <v/>
      </c>
    </row>
    <row r="348" spans="1:9">
      <c r="A348">
        <v>339</v>
      </c>
      <c r="B348" t="str">
        <f t="shared" si="10"/>
        <v>raul anthony sahagun</v>
      </c>
      <c r="C348" t="s">
        <v>817</v>
      </c>
      <c r="D348" t="s">
        <v>818</v>
      </c>
      <c r="E348" t="s">
        <v>150</v>
      </c>
      <c r="F348" t="s">
        <v>2204</v>
      </c>
      <c r="G348" t="s">
        <v>4</v>
      </c>
      <c r="H348" t="s">
        <v>4</v>
      </c>
      <c r="I348" t="str">
        <f t="shared" si="11"/>
        <v/>
      </c>
    </row>
    <row r="349" spans="1:9">
      <c r="A349">
        <v>340</v>
      </c>
      <c r="B349" t="str">
        <f t="shared" si="10"/>
        <v>michael a. sachs</v>
      </c>
      <c r="C349" t="s">
        <v>819</v>
      </c>
      <c r="D349" t="s">
        <v>219</v>
      </c>
      <c r="E349" t="s">
        <v>447</v>
      </c>
      <c r="F349" t="s">
        <v>49</v>
      </c>
      <c r="G349" t="s">
        <v>151</v>
      </c>
      <c r="H349" t="s">
        <v>10</v>
      </c>
      <c r="I349" t="str">
        <f t="shared" si="11"/>
        <v/>
      </c>
    </row>
    <row r="350" spans="1:9">
      <c r="A350">
        <v>341</v>
      </c>
      <c r="B350" t="str">
        <f t="shared" si="10"/>
        <v>shahla s. sabet</v>
      </c>
      <c r="C350" t="s">
        <v>820</v>
      </c>
      <c r="D350" t="s">
        <v>821</v>
      </c>
      <c r="E350" t="s">
        <v>174</v>
      </c>
      <c r="F350" t="s">
        <v>822</v>
      </c>
      <c r="G350" t="s">
        <v>823</v>
      </c>
      <c r="H350" t="s">
        <v>10</v>
      </c>
      <c r="I350" t="str">
        <f t="shared" si="11"/>
        <v/>
      </c>
    </row>
    <row r="351" spans="1:9">
      <c r="A351">
        <v>342</v>
      </c>
      <c r="B351" t="str">
        <f t="shared" si="10"/>
        <v>tammy chung ryu</v>
      </c>
      <c r="C351" t="s">
        <v>824</v>
      </c>
      <c r="D351" t="s">
        <v>825</v>
      </c>
      <c r="E351" t="s">
        <v>826</v>
      </c>
      <c r="F351" t="s">
        <v>1964</v>
      </c>
      <c r="G351" t="s">
        <v>135</v>
      </c>
      <c r="H351" t="s">
        <v>4</v>
      </c>
      <c r="I351" t="str">
        <f t="shared" si="11"/>
        <v/>
      </c>
    </row>
    <row r="352" spans="1:9">
      <c r="A352">
        <v>343</v>
      </c>
      <c r="B352" t="str">
        <f t="shared" si="10"/>
        <v>william f rylaarsdam</v>
      </c>
      <c r="C352" t="s">
        <v>827</v>
      </c>
      <c r="D352" t="s">
        <v>155</v>
      </c>
      <c r="E352" t="s">
        <v>288</v>
      </c>
      <c r="F352" t="s">
        <v>674</v>
      </c>
      <c r="G352" t="s">
        <v>828</v>
      </c>
      <c r="H352" t="s">
        <v>212</v>
      </c>
      <c r="I352" t="str">
        <f t="shared" si="11"/>
        <v/>
      </c>
    </row>
    <row r="353" spans="1:9">
      <c r="A353">
        <v>344</v>
      </c>
      <c r="B353" t="str">
        <f t="shared" si="10"/>
        <v>william c. ryan</v>
      </c>
      <c r="C353" t="s">
        <v>79</v>
      </c>
      <c r="D353" t="s">
        <v>155</v>
      </c>
      <c r="E353" t="s">
        <v>332</v>
      </c>
      <c r="F353" t="s">
        <v>2204</v>
      </c>
      <c r="G353" t="s">
        <v>4</v>
      </c>
      <c r="H353" t="s">
        <v>4</v>
      </c>
      <c r="I353" t="str">
        <f t="shared" si="11"/>
        <v/>
      </c>
    </row>
    <row r="354" spans="1:9">
      <c r="A354">
        <v>345</v>
      </c>
      <c r="B354" t="str">
        <f t="shared" si="10"/>
        <v>deborah ann ryan</v>
      </c>
      <c r="C354" t="s">
        <v>79</v>
      </c>
      <c r="D354" t="s">
        <v>801</v>
      </c>
      <c r="E354" t="s">
        <v>3</v>
      </c>
      <c r="F354" t="s">
        <v>829</v>
      </c>
      <c r="G354" t="s">
        <v>4</v>
      </c>
      <c r="H354" t="s">
        <v>10</v>
      </c>
      <c r="I354" t="str">
        <f t="shared" si="11"/>
        <v/>
      </c>
    </row>
    <row r="355" spans="1:9">
      <c r="A355">
        <v>346</v>
      </c>
      <c r="B355" t="str">
        <f t="shared" si="10"/>
        <v>ignazio john ruvolo</v>
      </c>
      <c r="C355" t="s">
        <v>830</v>
      </c>
      <c r="D355" t="s">
        <v>831</v>
      </c>
      <c r="E355" t="s">
        <v>7</v>
      </c>
      <c r="F355" t="s">
        <v>19</v>
      </c>
      <c r="G355" t="s">
        <v>832</v>
      </c>
      <c r="H355" t="s">
        <v>833</v>
      </c>
      <c r="I355" t="str">
        <f t="shared" si="11"/>
        <v/>
      </c>
    </row>
    <row r="356" spans="1:9">
      <c r="A356">
        <v>347</v>
      </c>
      <c r="B356" t="str">
        <f t="shared" si="10"/>
        <v>michael joseph rushton</v>
      </c>
      <c r="C356" t="s">
        <v>834</v>
      </c>
      <c r="D356" t="s">
        <v>219</v>
      </c>
      <c r="E356" t="s">
        <v>80</v>
      </c>
      <c r="F356" t="s">
        <v>835</v>
      </c>
      <c r="G356" t="s">
        <v>4</v>
      </c>
      <c r="H356" t="s">
        <v>36</v>
      </c>
      <c r="I356" t="str">
        <f t="shared" si="11"/>
        <v/>
      </c>
    </row>
    <row r="357" spans="1:9">
      <c r="A357">
        <v>348</v>
      </c>
      <c r="B357" t="str">
        <f t="shared" si="10"/>
        <v>conrad l rushing</v>
      </c>
      <c r="C357" t="s">
        <v>836</v>
      </c>
      <c r="D357" t="s">
        <v>837</v>
      </c>
      <c r="E357" t="s">
        <v>77</v>
      </c>
      <c r="F357" t="s">
        <v>19</v>
      </c>
      <c r="G357" t="s">
        <v>838</v>
      </c>
      <c r="H357" t="s">
        <v>839</v>
      </c>
      <c r="I357" t="str">
        <f t="shared" si="11"/>
        <v/>
      </c>
    </row>
    <row r="358" spans="1:9">
      <c r="A358">
        <v>349</v>
      </c>
      <c r="B358" t="str">
        <f t="shared" si="10"/>
        <v>james  ruggiero</v>
      </c>
      <c r="C358" t="s">
        <v>840</v>
      </c>
      <c r="D358" t="s">
        <v>90</v>
      </c>
      <c r="E358" t="s">
        <v>4</v>
      </c>
      <c r="F358" t="s">
        <v>841</v>
      </c>
      <c r="G358" t="s">
        <v>4</v>
      </c>
      <c r="H358" t="s">
        <v>10</v>
      </c>
      <c r="I358" t="str">
        <f t="shared" si="11"/>
        <v/>
      </c>
    </row>
    <row r="359" spans="1:9">
      <c r="A359">
        <v>350</v>
      </c>
      <c r="B359" t="str">
        <f t="shared" si="10"/>
        <v>thomas  rubwson</v>
      </c>
      <c r="C359" t="s">
        <v>842</v>
      </c>
      <c r="D359" t="s">
        <v>27</v>
      </c>
      <c r="E359" t="s">
        <v>4</v>
      </c>
      <c r="F359" t="s">
        <v>25</v>
      </c>
      <c r="G359" t="s">
        <v>843</v>
      </c>
      <c r="H359" t="s">
        <v>10</v>
      </c>
      <c r="I359" t="str">
        <f t="shared" si="11"/>
        <v/>
      </c>
    </row>
    <row r="360" spans="1:9">
      <c r="A360">
        <v>351</v>
      </c>
      <c r="B360" t="str">
        <f t="shared" si="10"/>
        <v>rand steven rubin</v>
      </c>
      <c r="C360" t="s">
        <v>844</v>
      </c>
      <c r="D360" t="s">
        <v>845</v>
      </c>
      <c r="E360" t="s">
        <v>339</v>
      </c>
      <c r="F360" t="s">
        <v>4047</v>
      </c>
      <c r="G360" t="s">
        <v>299</v>
      </c>
      <c r="H360" t="s">
        <v>461</v>
      </c>
      <c r="I360" t="str">
        <f t="shared" si="11"/>
        <v/>
      </c>
    </row>
    <row r="361" spans="1:9">
      <c r="A361">
        <v>352</v>
      </c>
      <c r="B361" t="str">
        <f t="shared" si="10"/>
        <v>laurence d rubin</v>
      </c>
      <c r="C361" t="s">
        <v>844</v>
      </c>
      <c r="D361" t="s">
        <v>846</v>
      </c>
      <c r="E361" t="s">
        <v>570</v>
      </c>
      <c r="F361" t="s">
        <v>19</v>
      </c>
      <c r="G361" t="s">
        <v>20</v>
      </c>
      <c r="H361" t="s">
        <v>21</v>
      </c>
      <c r="I361" t="str">
        <f t="shared" si="11"/>
        <v/>
      </c>
    </row>
    <row r="362" spans="1:9">
      <c r="A362">
        <v>353</v>
      </c>
      <c r="B362" t="str">
        <f t="shared" si="10"/>
        <v>david morris rubin</v>
      </c>
      <c r="C362" t="s">
        <v>844</v>
      </c>
      <c r="D362" t="s">
        <v>28</v>
      </c>
      <c r="E362" t="s">
        <v>847</v>
      </c>
      <c r="F362" t="s">
        <v>101</v>
      </c>
      <c r="G362" t="s">
        <v>102</v>
      </c>
      <c r="H362" t="s">
        <v>103</v>
      </c>
      <c r="I362" t="str">
        <f t="shared" si="11"/>
        <v/>
      </c>
    </row>
    <row r="363" spans="1:9">
      <c r="A363">
        <v>354</v>
      </c>
      <c r="B363" t="str">
        <f t="shared" si="10"/>
        <v>frances deputy clerk rothschild</v>
      </c>
      <c r="C363" t="s">
        <v>848</v>
      </c>
      <c r="D363" t="s">
        <v>849</v>
      </c>
      <c r="E363" t="s">
        <v>850</v>
      </c>
      <c r="F363" t="s">
        <v>19</v>
      </c>
      <c r="G363" t="s">
        <v>20</v>
      </c>
      <c r="H363" t="s">
        <v>21</v>
      </c>
      <c r="I363" t="str">
        <f t="shared" si="11"/>
        <v/>
      </c>
    </row>
    <row r="364" spans="1:9">
      <c r="A364">
        <v>355</v>
      </c>
      <c r="B364" t="str">
        <f t="shared" si="10"/>
        <v>frederick r rotenberg</v>
      </c>
      <c r="C364" t="s">
        <v>851</v>
      </c>
      <c r="D364" t="s">
        <v>254</v>
      </c>
      <c r="E364" t="s">
        <v>53</v>
      </c>
      <c r="F364" t="s">
        <v>4035</v>
      </c>
      <c r="G364" t="s">
        <v>4</v>
      </c>
      <c r="H364" t="s">
        <v>4</v>
      </c>
      <c r="I364" t="str">
        <f t="shared" si="11"/>
        <v/>
      </c>
    </row>
    <row r="365" spans="1:9">
      <c r="A365">
        <v>356</v>
      </c>
      <c r="B365" t="str">
        <f t="shared" si="10"/>
        <v>roger  ross</v>
      </c>
      <c r="C365" t="s">
        <v>852</v>
      </c>
      <c r="D365" t="s">
        <v>853</v>
      </c>
      <c r="E365" t="s">
        <v>4</v>
      </c>
      <c r="F365" t="s">
        <v>32</v>
      </c>
      <c r="G365" t="s">
        <v>4</v>
      </c>
      <c r="H365" t="s">
        <v>10</v>
      </c>
      <c r="I365" t="str">
        <f t="shared" si="11"/>
        <v/>
      </c>
    </row>
    <row r="366" spans="1:9">
      <c r="A366">
        <v>357</v>
      </c>
      <c r="B366" t="str">
        <f t="shared" si="10"/>
        <v>jeffrey steven ross</v>
      </c>
      <c r="C366" t="s">
        <v>852</v>
      </c>
      <c r="D366" t="s">
        <v>446</v>
      </c>
      <c r="E366" t="s">
        <v>339</v>
      </c>
      <c r="F366" t="s">
        <v>88</v>
      </c>
      <c r="G366" t="s">
        <v>4</v>
      </c>
      <c r="H366" t="s">
        <v>10</v>
      </c>
      <c r="I366" t="str">
        <f t="shared" si="11"/>
        <v/>
      </c>
    </row>
    <row r="367" spans="1:9">
      <c r="A367">
        <v>358</v>
      </c>
      <c r="B367" t="str">
        <f t="shared" si="10"/>
        <v>alan s. rosenfield</v>
      </c>
      <c r="C367" t="s">
        <v>854</v>
      </c>
      <c r="D367" t="s">
        <v>48</v>
      </c>
      <c r="E367" t="s">
        <v>174</v>
      </c>
      <c r="F367" t="s">
        <v>49</v>
      </c>
      <c r="G367" t="s">
        <v>461</v>
      </c>
      <c r="H367" t="s">
        <v>10</v>
      </c>
      <c r="I367" t="str">
        <f t="shared" si="11"/>
        <v/>
      </c>
    </row>
    <row r="368" spans="1:9">
      <c r="A368">
        <v>359</v>
      </c>
      <c r="B368" t="str">
        <f t="shared" si="10"/>
        <v>michelle r. rosenblatt</v>
      </c>
      <c r="C368" t="s">
        <v>855</v>
      </c>
      <c r="D368" t="s">
        <v>856</v>
      </c>
      <c r="E368" t="s">
        <v>265</v>
      </c>
      <c r="F368" t="s">
        <v>1749</v>
      </c>
      <c r="G368" t="s">
        <v>4</v>
      </c>
      <c r="H368" t="s">
        <v>4</v>
      </c>
      <c r="I368" t="str">
        <f t="shared" si="11"/>
        <v/>
      </c>
    </row>
    <row r="369" spans="1:9">
      <c r="A369">
        <v>360</v>
      </c>
      <c r="B369" t="str">
        <f t="shared" si="10"/>
        <v xml:space="preserve">  rosenberg gerald</v>
      </c>
      <c r="C369" t="s">
        <v>857</v>
      </c>
      <c r="D369" t="s">
        <v>4</v>
      </c>
      <c r="E369" t="s">
        <v>4</v>
      </c>
      <c r="F369" t="s">
        <v>32</v>
      </c>
      <c r="G369" t="s">
        <v>858</v>
      </c>
      <c r="H369" t="s">
        <v>10</v>
      </c>
      <c r="I369" t="str">
        <f t="shared" si="11"/>
        <v/>
      </c>
    </row>
    <row r="370" spans="1:9">
      <c r="A370">
        <v>361</v>
      </c>
      <c r="B370" t="str">
        <f t="shared" si="10"/>
        <v>david  rosenberg</v>
      </c>
      <c r="C370" t="s">
        <v>859</v>
      </c>
      <c r="D370" t="s">
        <v>28</v>
      </c>
      <c r="E370" t="s">
        <v>4</v>
      </c>
      <c r="F370" t="s">
        <v>860</v>
      </c>
      <c r="G370" t="s">
        <v>861</v>
      </c>
      <c r="H370" t="s">
        <v>862</v>
      </c>
      <c r="I370" t="str">
        <f t="shared" si="11"/>
        <v/>
      </c>
    </row>
    <row r="371" spans="1:9">
      <c r="A371">
        <v>362</v>
      </c>
      <c r="B371" t="str">
        <f t="shared" si="10"/>
        <v>ronald h rose</v>
      </c>
      <c r="C371" t="s">
        <v>863</v>
      </c>
      <c r="D371" t="s">
        <v>413</v>
      </c>
      <c r="E371" t="s">
        <v>250</v>
      </c>
      <c r="F371" t="s">
        <v>1749</v>
      </c>
      <c r="G371" t="s">
        <v>4</v>
      </c>
      <c r="H371" t="s">
        <v>4</v>
      </c>
      <c r="I371" t="str">
        <f t="shared" si="11"/>
        <v/>
      </c>
    </row>
    <row r="372" spans="1:9">
      <c r="A372">
        <v>363</v>
      </c>
      <c r="B372" t="str">
        <f t="shared" si="10"/>
        <v>olivia  rosales</v>
      </c>
      <c r="C372" t="s">
        <v>864</v>
      </c>
      <c r="D372" t="s">
        <v>865</v>
      </c>
      <c r="E372" t="s">
        <v>4</v>
      </c>
      <c r="F372" t="s">
        <v>1749</v>
      </c>
      <c r="G372" t="s">
        <v>4</v>
      </c>
      <c r="H372" t="s">
        <v>4</v>
      </c>
      <c r="I372" t="str">
        <f t="shared" si="11"/>
        <v/>
      </c>
    </row>
    <row r="373" spans="1:9">
      <c r="A373">
        <v>364</v>
      </c>
      <c r="B373" t="str">
        <f t="shared" si="10"/>
        <v>glade f roper</v>
      </c>
      <c r="C373" t="s">
        <v>866</v>
      </c>
      <c r="D373" t="s">
        <v>867</v>
      </c>
      <c r="E373" t="s">
        <v>288</v>
      </c>
      <c r="F373" t="s">
        <v>281</v>
      </c>
      <c r="G373" t="s">
        <v>4</v>
      </c>
      <c r="H373" t="s">
        <v>10</v>
      </c>
      <c r="I373" t="str">
        <f t="shared" si="11"/>
        <v/>
      </c>
    </row>
    <row r="374" spans="1:9">
      <c r="A374">
        <v>365</v>
      </c>
      <c r="B374" t="str">
        <f t="shared" si="10"/>
        <v>richard roy romero richard</v>
      </c>
      <c r="C374" t="s">
        <v>868</v>
      </c>
      <c r="D374" t="s">
        <v>173</v>
      </c>
      <c r="E374" t="s">
        <v>869</v>
      </c>
      <c r="F374" t="s">
        <v>25</v>
      </c>
      <c r="G374" t="s">
        <v>692</v>
      </c>
      <c r="H374" t="s">
        <v>10</v>
      </c>
      <c r="I374" t="str">
        <f t="shared" si="11"/>
        <v/>
      </c>
    </row>
    <row r="375" spans="1:9">
      <c r="A375">
        <v>366</v>
      </c>
      <c r="B375" t="str">
        <f t="shared" si="10"/>
        <v>jaime rene roman</v>
      </c>
      <c r="C375" t="s">
        <v>870</v>
      </c>
      <c r="D375" t="s">
        <v>871</v>
      </c>
      <c r="E375" t="s">
        <v>305</v>
      </c>
      <c r="F375" t="s">
        <v>32</v>
      </c>
      <c r="G375" t="s">
        <v>377</v>
      </c>
      <c r="H375" t="s">
        <v>36</v>
      </c>
      <c r="I375" t="str">
        <f t="shared" si="11"/>
        <v/>
      </c>
    </row>
    <row r="376" spans="1:9">
      <c r="A376">
        <v>367</v>
      </c>
      <c r="B376" t="str">
        <f t="shared" si="10"/>
        <v>jon rodger rolefson</v>
      </c>
      <c r="C376" t="s">
        <v>872</v>
      </c>
      <c r="D376" t="s">
        <v>431</v>
      </c>
      <c r="E376" t="s">
        <v>873</v>
      </c>
      <c r="F376" t="s">
        <v>32</v>
      </c>
      <c r="G376" t="s">
        <v>9</v>
      </c>
      <c r="H376" t="s">
        <v>10</v>
      </c>
      <c r="I376" t="str">
        <f t="shared" si="11"/>
        <v/>
      </c>
    </row>
    <row r="377" spans="1:9">
      <c r="A377">
        <v>368</v>
      </c>
      <c r="B377" t="str">
        <f t="shared" si="10"/>
        <v>charles rogers rogers thomas charles</v>
      </c>
      <c r="C377" t="s">
        <v>874</v>
      </c>
      <c r="D377" t="s">
        <v>875</v>
      </c>
      <c r="E377" t="s">
        <v>876</v>
      </c>
      <c r="F377" t="s">
        <v>877</v>
      </c>
      <c r="G377" t="s">
        <v>4</v>
      </c>
      <c r="H377" t="s">
        <v>36</v>
      </c>
      <c r="I377" t="str">
        <f t="shared" si="11"/>
        <v/>
      </c>
    </row>
    <row r="378" spans="1:9">
      <c r="A378">
        <v>369</v>
      </c>
      <c r="B378" t="str">
        <f t="shared" si="10"/>
        <v>randolph allen rogers randolp</v>
      </c>
      <c r="C378" t="s">
        <v>878</v>
      </c>
      <c r="D378" t="s">
        <v>879</v>
      </c>
      <c r="E378" t="s">
        <v>192</v>
      </c>
      <c r="F378" t="s">
        <v>492</v>
      </c>
      <c r="G378" t="s">
        <v>40</v>
      </c>
      <c r="H378" t="s">
        <v>10</v>
      </c>
      <c r="I378" t="str">
        <f t="shared" si="11"/>
        <v/>
      </c>
    </row>
    <row r="379" spans="1:9">
      <c r="A379">
        <v>370</v>
      </c>
      <c r="B379" t="str">
        <f t="shared" si="10"/>
        <v>charles g. rogers</v>
      </c>
      <c r="C379" t="s">
        <v>876</v>
      </c>
      <c r="D379" t="s">
        <v>35</v>
      </c>
      <c r="E379" t="s">
        <v>156</v>
      </c>
      <c r="F379" t="s">
        <v>101</v>
      </c>
      <c r="G379" t="s">
        <v>102</v>
      </c>
      <c r="H379" t="s">
        <v>103</v>
      </c>
      <c r="I379" t="str">
        <f t="shared" si="11"/>
        <v/>
      </c>
    </row>
    <row r="380" spans="1:9">
      <c r="A380">
        <v>371</v>
      </c>
      <c r="B380" t="str">
        <f t="shared" si="10"/>
        <v>james edward rogan</v>
      </c>
      <c r="C380" t="s">
        <v>880</v>
      </c>
      <c r="D380" t="s">
        <v>90</v>
      </c>
      <c r="E380" t="s">
        <v>236</v>
      </c>
      <c r="F380" t="s">
        <v>492</v>
      </c>
      <c r="G380" t="s">
        <v>4</v>
      </c>
      <c r="H380" t="s">
        <v>103</v>
      </c>
      <c r="I380" t="str">
        <f t="shared" si="11"/>
        <v/>
      </c>
    </row>
    <row r="381" spans="1:9">
      <c r="A381">
        <v>372</v>
      </c>
      <c r="B381" t="str">
        <f t="shared" si="10"/>
        <v xml:space="preserve"> laugaz roesch frank</v>
      </c>
      <c r="C381" t="s">
        <v>4048</v>
      </c>
      <c r="D381" t="s">
        <v>4</v>
      </c>
      <c r="E381" t="s">
        <v>881</v>
      </c>
      <c r="F381" t="s">
        <v>387</v>
      </c>
      <c r="G381" t="s">
        <v>4</v>
      </c>
      <c r="H381" t="s">
        <v>10</v>
      </c>
      <c r="I381" t="str">
        <f t="shared" si="11"/>
        <v/>
      </c>
    </row>
    <row r="382" spans="1:9">
      <c r="A382">
        <v>373</v>
      </c>
      <c r="B382" t="str">
        <f t="shared" si="10"/>
        <v xml:space="preserve"> bf rodriquez luis</v>
      </c>
      <c r="C382" t="s">
        <v>4049</v>
      </c>
      <c r="D382" t="s">
        <v>4</v>
      </c>
      <c r="E382" t="s">
        <v>767</v>
      </c>
      <c r="F382" t="s">
        <v>4036</v>
      </c>
      <c r="G382" t="s">
        <v>4</v>
      </c>
      <c r="H382" t="s">
        <v>4</v>
      </c>
      <c r="I382" t="str">
        <f t="shared" si="11"/>
        <v/>
      </c>
    </row>
    <row r="383" spans="1:9">
      <c r="A383">
        <v>373</v>
      </c>
      <c r="B383" t="str">
        <f t="shared" si="10"/>
        <v xml:space="preserve"> bk rodriguez luis</v>
      </c>
      <c r="C383" t="s">
        <v>4050</v>
      </c>
      <c r="D383" t="s">
        <v>4</v>
      </c>
      <c r="E383" t="s">
        <v>739</v>
      </c>
      <c r="F383" t="s">
        <v>4036</v>
      </c>
      <c r="G383" t="s">
        <v>4</v>
      </c>
      <c r="H383" t="s">
        <v>4</v>
      </c>
      <c r="I383" t="str">
        <f t="shared" si="11"/>
        <v/>
      </c>
    </row>
    <row r="384" spans="1:9">
      <c r="A384">
        <v>374</v>
      </c>
      <c r="B384" t="str">
        <f t="shared" si="10"/>
        <v>jesse i. rodriguez</v>
      </c>
      <c r="C384" t="s">
        <v>882</v>
      </c>
      <c r="D384" t="s">
        <v>883</v>
      </c>
      <c r="E384" t="s">
        <v>414</v>
      </c>
      <c r="F384" t="s">
        <v>25</v>
      </c>
      <c r="G384" t="s">
        <v>884</v>
      </c>
      <c r="H384" t="s">
        <v>10</v>
      </c>
      <c r="I384" t="str">
        <f t="shared" si="11"/>
        <v/>
      </c>
    </row>
    <row r="385" spans="1:9">
      <c r="A385">
        <v>375</v>
      </c>
      <c r="B385" t="str">
        <f t="shared" si="10"/>
        <v>morton  rochman</v>
      </c>
      <c r="C385" t="s">
        <v>885</v>
      </c>
      <c r="D385" t="s">
        <v>886</v>
      </c>
      <c r="E385" t="s">
        <v>4</v>
      </c>
      <c r="F385" t="s">
        <v>49</v>
      </c>
      <c r="G385" t="s">
        <v>135</v>
      </c>
      <c r="H385" t="s">
        <v>10</v>
      </c>
      <c r="I385" t="str">
        <f t="shared" si="11"/>
        <v/>
      </c>
    </row>
    <row r="386" spans="1:9">
      <c r="A386">
        <v>376</v>
      </c>
      <c r="B386" t="str">
        <f t="shared" si="10"/>
        <v>craig edward robison</v>
      </c>
      <c r="C386" t="s">
        <v>887</v>
      </c>
      <c r="D386" t="s">
        <v>322</v>
      </c>
      <c r="E386" t="s">
        <v>236</v>
      </c>
      <c r="F386" t="s">
        <v>1414</v>
      </c>
      <c r="G386" t="s">
        <v>4</v>
      </c>
      <c r="H386" t="s">
        <v>4</v>
      </c>
      <c r="I386" t="str">
        <f t="shared" si="11"/>
        <v/>
      </c>
    </row>
    <row r="387" spans="1:9">
      <c r="A387">
        <v>377</v>
      </c>
      <c r="B387" t="str">
        <f t="shared" ref="B387:B450" si="12">TRIM($D387) &amp; " " &amp; TRIM($E387) &amp; " " &amp; TRIM($C387)</f>
        <v>karen l. robinson</v>
      </c>
      <c r="C387" t="s">
        <v>888</v>
      </c>
      <c r="D387" t="s">
        <v>889</v>
      </c>
      <c r="E387" t="s">
        <v>257</v>
      </c>
      <c r="F387" t="s">
        <v>890</v>
      </c>
      <c r="G387" t="s">
        <v>4</v>
      </c>
      <c r="H387" t="s">
        <v>36</v>
      </c>
      <c r="I387" t="str">
        <f t="shared" ref="I387:I450" si="13">IF(NOT(ISERROR(FIND("judge",F387))),"judge","")</f>
        <v/>
      </c>
    </row>
    <row r="388" spans="1:9">
      <c r="A388">
        <v>378</v>
      </c>
      <c r="B388" t="str">
        <f t="shared" si="12"/>
        <v>ronald boyd robie</v>
      </c>
      <c r="C388" t="s">
        <v>891</v>
      </c>
      <c r="D388" t="s">
        <v>413</v>
      </c>
      <c r="E388" t="s">
        <v>892</v>
      </c>
      <c r="F388" t="s">
        <v>19</v>
      </c>
      <c r="G388" t="s">
        <v>893</v>
      </c>
      <c r="H388" t="s">
        <v>212</v>
      </c>
      <c r="I388" t="str">
        <f t="shared" si="13"/>
        <v/>
      </c>
    </row>
    <row r="389" spans="1:9">
      <c r="A389">
        <v>379</v>
      </c>
      <c r="B389" t="str">
        <f t="shared" si="12"/>
        <v>armand james robertson ii</v>
      </c>
      <c r="C389" t="s">
        <v>894</v>
      </c>
      <c r="D389" t="s">
        <v>895</v>
      </c>
      <c r="E389" t="s">
        <v>90</v>
      </c>
      <c r="F389" t="s">
        <v>88</v>
      </c>
      <c r="G389" t="s">
        <v>4</v>
      </c>
      <c r="H389" t="s">
        <v>103</v>
      </c>
      <c r="I389" t="str">
        <f t="shared" si="13"/>
        <v/>
      </c>
    </row>
    <row r="390" spans="1:9">
      <c r="A390">
        <v>380</v>
      </c>
      <c r="B390" t="str">
        <f t="shared" si="12"/>
        <v>timothy paul roberts</v>
      </c>
      <c r="C390" t="s">
        <v>896</v>
      </c>
      <c r="D390" t="s">
        <v>264</v>
      </c>
      <c r="E390" t="s">
        <v>280</v>
      </c>
      <c r="F390" t="s">
        <v>897</v>
      </c>
      <c r="G390" t="s">
        <v>4</v>
      </c>
      <c r="H390" t="s">
        <v>10</v>
      </c>
      <c r="I390" t="str">
        <f t="shared" si="13"/>
        <v/>
      </c>
    </row>
    <row r="391" spans="1:9">
      <c r="A391">
        <v>381</v>
      </c>
      <c r="B391" t="str">
        <f t="shared" si="12"/>
        <v>barbara louise roberts (aka schill)</v>
      </c>
      <c r="C391" t="s">
        <v>898</v>
      </c>
      <c r="D391" t="s">
        <v>2</v>
      </c>
      <c r="E391" t="s">
        <v>899</v>
      </c>
      <c r="F391" t="s">
        <v>900</v>
      </c>
      <c r="G391" t="s">
        <v>901</v>
      </c>
      <c r="H391" t="s">
        <v>10</v>
      </c>
      <c r="I391" t="str">
        <f t="shared" si="13"/>
        <v/>
      </c>
    </row>
    <row r="392" spans="1:9">
      <c r="A392">
        <v>382</v>
      </c>
      <c r="B392" t="str">
        <f t="shared" si="12"/>
        <v>roger b robbins roger</v>
      </c>
      <c r="C392" t="s">
        <v>902</v>
      </c>
      <c r="D392" t="s">
        <v>853</v>
      </c>
      <c r="E392" t="s">
        <v>358</v>
      </c>
      <c r="F392" t="s">
        <v>4051</v>
      </c>
      <c r="G392" t="s">
        <v>4</v>
      </c>
      <c r="H392" t="s">
        <v>4</v>
      </c>
      <c r="I392" t="str">
        <f t="shared" si="13"/>
        <v/>
      </c>
    </row>
    <row r="393" spans="1:9">
      <c r="A393">
        <v>383</v>
      </c>
      <c r="B393" t="str">
        <f t="shared" si="12"/>
        <v>georgina torres rizk</v>
      </c>
      <c r="C393" t="s">
        <v>903</v>
      </c>
      <c r="D393" t="s">
        <v>904</v>
      </c>
      <c r="E393" t="s">
        <v>905</v>
      </c>
      <c r="F393" t="s">
        <v>25</v>
      </c>
      <c r="G393" t="s">
        <v>4</v>
      </c>
      <c r="H393" t="s">
        <v>4</v>
      </c>
      <c r="I393" t="str">
        <f t="shared" si="13"/>
        <v/>
      </c>
    </row>
    <row r="394" spans="1:9">
      <c r="A394">
        <v>384</v>
      </c>
      <c r="B394" t="str">
        <f t="shared" si="12"/>
        <v>maria pamela rivera</v>
      </c>
      <c r="C394" t="s">
        <v>906</v>
      </c>
      <c r="D394" t="s">
        <v>529</v>
      </c>
      <c r="E394" t="s">
        <v>907</v>
      </c>
      <c r="F394" t="s">
        <v>908</v>
      </c>
      <c r="G394" t="s">
        <v>909</v>
      </c>
      <c r="H394" t="s">
        <v>212</v>
      </c>
      <c r="I394" t="str">
        <f t="shared" si="13"/>
        <v/>
      </c>
    </row>
    <row r="395" spans="1:9">
      <c r="A395">
        <v>385</v>
      </c>
      <c r="B395" t="str">
        <f t="shared" si="12"/>
        <v>james r. ritchie</v>
      </c>
      <c r="C395" t="s">
        <v>910</v>
      </c>
      <c r="D395" t="s">
        <v>90</v>
      </c>
      <c r="E395" t="s">
        <v>265</v>
      </c>
      <c r="F395" t="s">
        <v>658</v>
      </c>
      <c r="G395" t="s">
        <v>4</v>
      </c>
      <c r="H395" t="s">
        <v>10</v>
      </c>
      <c r="I395" t="str">
        <f t="shared" si="13"/>
        <v/>
      </c>
    </row>
    <row r="396" spans="1:9">
      <c r="A396">
        <v>386</v>
      </c>
      <c r="B396" t="str">
        <f t="shared" si="12"/>
        <v>diane  ritchie</v>
      </c>
      <c r="C396" t="s">
        <v>910</v>
      </c>
      <c r="D396" t="s">
        <v>911</v>
      </c>
      <c r="E396" t="s">
        <v>4</v>
      </c>
      <c r="F396" t="s">
        <v>106</v>
      </c>
      <c r="G396" t="s">
        <v>4</v>
      </c>
      <c r="H396" t="s">
        <v>10</v>
      </c>
      <c r="I396" t="str">
        <f t="shared" si="13"/>
        <v/>
      </c>
    </row>
    <row r="397" spans="1:9">
      <c r="A397">
        <v>387</v>
      </c>
      <c r="B397" t="str">
        <f t="shared" si="12"/>
        <v>rebecca susan riley</v>
      </c>
      <c r="C397" t="s">
        <v>912</v>
      </c>
      <c r="D397" t="s">
        <v>129</v>
      </c>
      <c r="E397" t="s">
        <v>676</v>
      </c>
      <c r="F397" t="s">
        <v>8</v>
      </c>
      <c r="G397" t="s">
        <v>913</v>
      </c>
      <c r="H397" t="s">
        <v>10</v>
      </c>
      <c r="I397" t="str">
        <f t="shared" si="13"/>
        <v/>
      </c>
    </row>
    <row r="398" spans="1:9">
      <c r="A398">
        <v>388</v>
      </c>
      <c r="B398" t="str">
        <f t="shared" si="12"/>
        <v>mitchell c. rigby</v>
      </c>
      <c r="C398" t="s">
        <v>914</v>
      </c>
      <c r="D398" t="s">
        <v>915</v>
      </c>
      <c r="E398" t="s">
        <v>332</v>
      </c>
      <c r="F398" t="s">
        <v>32</v>
      </c>
      <c r="G398" t="s">
        <v>916</v>
      </c>
      <c r="H398" t="s">
        <v>10</v>
      </c>
      <c r="I398" t="str">
        <f t="shared" si="13"/>
        <v/>
      </c>
    </row>
    <row r="399" spans="1:9">
      <c r="A399">
        <v>389</v>
      </c>
      <c r="B399" t="str">
        <f t="shared" si="12"/>
        <v>james f rigali</v>
      </c>
      <c r="C399" t="s">
        <v>917</v>
      </c>
      <c r="D399" t="s">
        <v>90</v>
      </c>
      <c r="E399" t="s">
        <v>288</v>
      </c>
      <c r="F399" t="s">
        <v>4052</v>
      </c>
      <c r="G399" t="s">
        <v>918</v>
      </c>
      <c r="H399" t="s">
        <v>4</v>
      </c>
      <c r="I399" t="str">
        <f t="shared" si="13"/>
        <v/>
      </c>
    </row>
    <row r="400" spans="1:9">
      <c r="A400">
        <v>390</v>
      </c>
      <c r="B400" t="str">
        <f t="shared" si="12"/>
        <v>craig grant riemer</v>
      </c>
      <c r="C400" t="s">
        <v>919</v>
      </c>
      <c r="D400" t="s">
        <v>322</v>
      </c>
      <c r="E400" t="s">
        <v>920</v>
      </c>
      <c r="F400" t="s">
        <v>921</v>
      </c>
      <c r="G400" t="s">
        <v>922</v>
      </c>
      <c r="H400" t="s">
        <v>103</v>
      </c>
      <c r="I400" t="str">
        <f t="shared" si="13"/>
        <v/>
      </c>
    </row>
    <row r="401" spans="1:9">
      <c r="A401">
        <v>391</v>
      </c>
      <c r="B401" t="str">
        <f t="shared" si="12"/>
        <v>richard edward rico</v>
      </c>
      <c r="C401" t="s">
        <v>923</v>
      </c>
      <c r="D401" t="s">
        <v>173</v>
      </c>
      <c r="E401" t="s">
        <v>236</v>
      </c>
      <c r="F401" t="s">
        <v>49</v>
      </c>
      <c r="G401" t="s">
        <v>4</v>
      </c>
      <c r="H401" t="s">
        <v>10</v>
      </c>
      <c r="I401" t="str">
        <f t="shared" si="13"/>
        <v/>
      </c>
    </row>
    <row r="402" spans="1:9">
      <c r="A402">
        <v>392</v>
      </c>
      <c r="B402" t="str">
        <f t="shared" si="12"/>
        <v>david s. richmond</v>
      </c>
      <c r="C402" t="s">
        <v>924</v>
      </c>
      <c r="D402" t="s">
        <v>28</v>
      </c>
      <c r="E402" t="s">
        <v>174</v>
      </c>
      <c r="F402" t="s">
        <v>925</v>
      </c>
      <c r="G402" t="s">
        <v>4</v>
      </c>
      <c r="H402" t="s">
        <v>926</v>
      </c>
      <c r="I402" t="str">
        <f t="shared" si="13"/>
        <v/>
      </c>
    </row>
    <row r="403" spans="1:9">
      <c r="A403">
        <v>393</v>
      </c>
      <c r="B403" t="str">
        <f t="shared" si="12"/>
        <v>james anthony richman</v>
      </c>
      <c r="C403" t="s">
        <v>927</v>
      </c>
      <c r="D403" t="s">
        <v>90</v>
      </c>
      <c r="E403" t="s">
        <v>150</v>
      </c>
      <c r="F403" t="s">
        <v>19</v>
      </c>
      <c r="G403" t="s">
        <v>650</v>
      </c>
      <c r="H403" t="s">
        <v>928</v>
      </c>
      <c r="I403" t="str">
        <f t="shared" si="13"/>
        <v/>
      </c>
    </row>
    <row r="404" spans="1:9">
      <c r="A404">
        <v>394</v>
      </c>
      <c r="B404" t="str">
        <f t="shared" si="12"/>
        <v>craig robert richman</v>
      </c>
      <c r="C404" t="s">
        <v>927</v>
      </c>
      <c r="D404" t="s">
        <v>322</v>
      </c>
      <c r="E404" t="s">
        <v>72</v>
      </c>
      <c r="F404" t="s">
        <v>46</v>
      </c>
      <c r="G404" t="s">
        <v>4</v>
      </c>
      <c r="H404" t="s">
        <v>10</v>
      </c>
      <c r="I404" t="str">
        <f t="shared" si="13"/>
        <v/>
      </c>
    </row>
    <row r="405" spans="1:9">
      <c r="A405">
        <v>395</v>
      </c>
      <c r="B405" t="str">
        <f t="shared" si="12"/>
        <v>betty a. richli</v>
      </c>
      <c r="C405" t="s">
        <v>929</v>
      </c>
      <c r="D405" t="s">
        <v>930</v>
      </c>
      <c r="E405" t="s">
        <v>447</v>
      </c>
      <c r="F405" t="s">
        <v>931</v>
      </c>
      <c r="G405" t="s">
        <v>932</v>
      </c>
      <c r="H405" t="s">
        <v>212</v>
      </c>
      <c r="I405" t="str">
        <f t="shared" si="13"/>
        <v/>
      </c>
    </row>
    <row r="406" spans="1:9">
      <c r="A406">
        <v>396</v>
      </c>
      <c r="B406" t="str">
        <f t="shared" si="12"/>
        <v>paul k. richardson</v>
      </c>
      <c r="C406" t="s">
        <v>933</v>
      </c>
      <c r="D406" t="s">
        <v>280</v>
      </c>
      <c r="E406" t="s">
        <v>576</v>
      </c>
      <c r="F406" t="s">
        <v>32</v>
      </c>
      <c r="G406" t="s">
        <v>934</v>
      </c>
      <c r="H406" t="s">
        <v>10</v>
      </c>
      <c r="I406" t="str">
        <f t="shared" si="13"/>
        <v/>
      </c>
    </row>
    <row r="407" spans="1:9">
      <c r="A407">
        <v>397</v>
      </c>
      <c r="B407" t="str">
        <f t="shared" si="12"/>
        <v>stuart mark rice</v>
      </c>
      <c r="C407" t="s">
        <v>935</v>
      </c>
      <c r="D407" t="s">
        <v>521</v>
      </c>
      <c r="E407" t="s">
        <v>45</v>
      </c>
      <c r="F407" t="s">
        <v>936</v>
      </c>
      <c r="G407" t="s">
        <v>937</v>
      </c>
      <c r="H407" t="s">
        <v>36</v>
      </c>
      <c r="I407" t="str">
        <f t="shared" si="13"/>
        <v/>
      </c>
    </row>
    <row r="408" spans="1:9">
      <c r="A408">
        <v>398</v>
      </c>
      <c r="B408" t="str">
        <f t="shared" si="12"/>
        <v>alex  ricciandulli</v>
      </c>
      <c r="C408" t="s">
        <v>938</v>
      </c>
      <c r="D408" t="s">
        <v>939</v>
      </c>
      <c r="E408" t="s">
        <v>4</v>
      </c>
      <c r="F408" t="s">
        <v>25</v>
      </c>
      <c r="G408" t="s">
        <v>4</v>
      </c>
      <c r="H408" t="s">
        <v>10</v>
      </c>
      <c r="I408" t="str">
        <f t="shared" si="13"/>
        <v/>
      </c>
    </row>
    <row r="409" spans="1:9">
      <c r="A409">
        <v>399</v>
      </c>
      <c r="B409" t="str">
        <f t="shared" si="12"/>
        <v>gloria faye rhynes</v>
      </c>
      <c r="C409" t="s">
        <v>940</v>
      </c>
      <c r="D409" t="s">
        <v>196</v>
      </c>
      <c r="E409" t="s">
        <v>941</v>
      </c>
      <c r="F409" t="s">
        <v>4053</v>
      </c>
      <c r="G409" t="s">
        <v>4</v>
      </c>
      <c r="H409" t="s">
        <v>4</v>
      </c>
      <c r="I409" t="str">
        <f t="shared" si="13"/>
        <v/>
      </c>
    </row>
    <row r="410" spans="1:9">
      <c r="A410">
        <v>400</v>
      </c>
      <c r="B410" t="str">
        <f t="shared" si="12"/>
        <v>randy  rhodes</v>
      </c>
      <c r="C410" t="s">
        <v>942</v>
      </c>
      <c r="D410" t="s">
        <v>943</v>
      </c>
      <c r="E410" t="s">
        <v>4</v>
      </c>
      <c r="F410" t="s">
        <v>25</v>
      </c>
      <c r="G410" t="s">
        <v>944</v>
      </c>
      <c r="H410" t="s">
        <v>10</v>
      </c>
      <c r="I410" t="str">
        <f t="shared" si="13"/>
        <v/>
      </c>
    </row>
    <row r="411" spans="1:9">
      <c r="A411">
        <v>401</v>
      </c>
      <c r="B411" t="str">
        <f t="shared" si="12"/>
        <v>dorothy baker reyes</v>
      </c>
      <c r="C411" t="s">
        <v>945</v>
      </c>
      <c r="D411" t="s">
        <v>681</v>
      </c>
      <c r="E411" t="s">
        <v>946</v>
      </c>
      <c r="F411" t="s">
        <v>25</v>
      </c>
      <c r="G411" t="s">
        <v>4</v>
      </c>
      <c r="H411" t="s">
        <v>10</v>
      </c>
      <c r="I411" t="str">
        <f t="shared" si="13"/>
        <v/>
      </c>
    </row>
    <row r="412" spans="1:9">
      <c r="A412">
        <v>402</v>
      </c>
      <c r="B412" t="str">
        <f t="shared" si="12"/>
        <v>marsha n revel</v>
      </c>
      <c r="C412" t="s">
        <v>947</v>
      </c>
      <c r="D412" t="s">
        <v>625</v>
      </c>
      <c r="E412" t="s">
        <v>948</v>
      </c>
      <c r="F412" t="s">
        <v>4000</v>
      </c>
      <c r="G412" t="s">
        <v>4</v>
      </c>
      <c r="H412" t="s">
        <v>4</v>
      </c>
      <c r="I412" t="str">
        <f t="shared" si="13"/>
        <v/>
      </c>
    </row>
    <row r="413" spans="1:9">
      <c r="A413">
        <v>403</v>
      </c>
      <c r="B413" t="str">
        <f t="shared" si="12"/>
        <v>glen michael reiser</v>
      </c>
      <c r="C413" t="s">
        <v>949</v>
      </c>
      <c r="D413" t="s">
        <v>950</v>
      </c>
      <c r="E413" t="s">
        <v>219</v>
      </c>
      <c r="F413" t="s">
        <v>83</v>
      </c>
      <c r="G413" t="s">
        <v>4</v>
      </c>
      <c r="H413" t="s">
        <v>10</v>
      </c>
      <c r="I413" t="str">
        <f t="shared" si="13"/>
        <v/>
      </c>
    </row>
    <row r="414" spans="1:9">
      <c r="A414">
        <v>404</v>
      </c>
      <c r="B414" t="str">
        <f t="shared" si="12"/>
        <v>dale a. reinholtsen</v>
      </c>
      <c r="C414" t="s">
        <v>951</v>
      </c>
      <c r="D414" t="s">
        <v>215</v>
      </c>
      <c r="E414" t="s">
        <v>447</v>
      </c>
      <c r="F414" t="s">
        <v>952</v>
      </c>
      <c r="G414" t="s">
        <v>4</v>
      </c>
      <c r="H414" t="s">
        <v>10</v>
      </c>
      <c r="I414" t="str">
        <f t="shared" si="13"/>
        <v/>
      </c>
    </row>
    <row r="415" spans="1:9">
      <c r="A415">
        <v>405</v>
      </c>
      <c r="B415" t="str">
        <f t="shared" si="12"/>
        <v>tara  reilly</v>
      </c>
      <c r="C415" t="s">
        <v>953</v>
      </c>
      <c r="D415" t="s">
        <v>954</v>
      </c>
      <c r="E415" t="s">
        <v>4</v>
      </c>
      <c r="F415" t="s">
        <v>32</v>
      </c>
      <c r="G415" t="s">
        <v>411</v>
      </c>
      <c r="H415" t="s">
        <v>36</v>
      </c>
      <c r="I415" t="str">
        <f t="shared" si="13"/>
        <v/>
      </c>
    </row>
    <row r="416" spans="1:9">
      <c r="A416">
        <v>406</v>
      </c>
      <c r="B416" t="str">
        <f t="shared" si="12"/>
        <v>james francis reilley</v>
      </c>
      <c r="C416" t="s">
        <v>955</v>
      </c>
      <c r="D416" t="s">
        <v>90</v>
      </c>
      <c r="E416" t="s">
        <v>405</v>
      </c>
      <c r="F416" t="s">
        <v>32</v>
      </c>
      <c r="G416" t="s">
        <v>4</v>
      </c>
      <c r="H416" t="s">
        <v>10</v>
      </c>
      <c r="I416" t="str">
        <f t="shared" si="13"/>
        <v/>
      </c>
    </row>
    <row r="417" spans="1:9">
      <c r="A417">
        <v>407</v>
      </c>
      <c r="B417" t="str">
        <f t="shared" si="12"/>
        <v>john h. reid</v>
      </c>
      <c r="C417" t="s">
        <v>956</v>
      </c>
      <c r="D417" t="s">
        <v>7</v>
      </c>
      <c r="E417" t="s">
        <v>957</v>
      </c>
      <c r="F417" t="s">
        <v>647</v>
      </c>
      <c r="G417" t="s">
        <v>4</v>
      </c>
      <c r="H417" t="s">
        <v>10</v>
      </c>
      <c r="I417" t="str">
        <f t="shared" si="13"/>
        <v/>
      </c>
    </row>
    <row r="418" spans="1:9">
      <c r="A418">
        <v>408</v>
      </c>
      <c r="B418" t="str">
        <f t="shared" si="12"/>
        <v>stanford emil reichert</v>
      </c>
      <c r="C418" t="s">
        <v>958</v>
      </c>
      <c r="D418" t="s">
        <v>572</v>
      </c>
      <c r="E418" t="s">
        <v>959</v>
      </c>
      <c r="F418" t="s">
        <v>960</v>
      </c>
      <c r="G418" t="s">
        <v>4</v>
      </c>
      <c r="H418" t="s">
        <v>10</v>
      </c>
      <c r="I418" t="str">
        <f t="shared" si="13"/>
        <v/>
      </c>
    </row>
    <row r="419" spans="1:9">
      <c r="A419">
        <v>409</v>
      </c>
      <c r="B419" t="str">
        <f t="shared" si="12"/>
        <v>carol henry henry rehm jr.</v>
      </c>
      <c r="C419" t="s">
        <v>961</v>
      </c>
      <c r="D419" t="s">
        <v>962</v>
      </c>
      <c r="E419" t="s">
        <v>266</v>
      </c>
      <c r="F419" t="s">
        <v>3996</v>
      </c>
      <c r="G419" t="s">
        <v>4</v>
      </c>
      <c r="H419" t="s">
        <v>4</v>
      </c>
      <c r="I419" t="str">
        <f t="shared" si="13"/>
        <v/>
      </c>
    </row>
    <row r="420" spans="1:9">
      <c r="A420">
        <v>410</v>
      </c>
      <c r="B420" t="str">
        <f t="shared" si="12"/>
        <v>dawna frenchie reeves</v>
      </c>
      <c r="C420" t="s">
        <v>963</v>
      </c>
      <c r="D420" t="s">
        <v>964</v>
      </c>
      <c r="E420" t="s">
        <v>965</v>
      </c>
      <c r="F420" t="s">
        <v>29</v>
      </c>
      <c r="G420" t="s">
        <v>4</v>
      </c>
      <c r="H420" t="s">
        <v>10</v>
      </c>
      <c r="I420" t="str">
        <f t="shared" si="13"/>
        <v/>
      </c>
    </row>
    <row r="421" spans="1:9">
      <c r="A421">
        <v>411</v>
      </c>
      <c r="B421" t="str">
        <f t="shared" si="12"/>
        <v>melinda m reed</v>
      </c>
      <c r="C421" t="s">
        <v>966</v>
      </c>
      <c r="D421" t="s">
        <v>967</v>
      </c>
      <c r="E421" t="s">
        <v>410</v>
      </c>
      <c r="F421" t="s">
        <v>281</v>
      </c>
      <c r="G421" t="s">
        <v>4</v>
      </c>
      <c r="H421" t="s">
        <v>4</v>
      </c>
      <c r="I421" t="str">
        <f t="shared" si="13"/>
        <v/>
      </c>
    </row>
    <row r="422" spans="1:9">
      <c r="A422">
        <v>412</v>
      </c>
      <c r="B422" t="str">
        <f t="shared" si="12"/>
        <v>david w reed</v>
      </c>
      <c r="C422" t="s">
        <v>966</v>
      </c>
      <c r="D422" t="s">
        <v>28</v>
      </c>
      <c r="E422" t="s">
        <v>583</v>
      </c>
      <c r="F422" t="s">
        <v>860</v>
      </c>
      <c r="G422" t="s">
        <v>4</v>
      </c>
      <c r="H422" t="s">
        <v>10</v>
      </c>
      <c r="I422" t="str">
        <f t="shared" si="13"/>
        <v/>
      </c>
    </row>
    <row r="423" spans="1:9">
      <c r="A423">
        <v>413</v>
      </c>
      <c r="B423" t="str">
        <f t="shared" si="12"/>
        <v>mel ren recana</v>
      </c>
      <c r="C423" t="s">
        <v>968</v>
      </c>
      <c r="D423" t="s">
        <v>969</v>
      </c>
      <c r="E423" t="s">
        <v>970</v>
      </c>
      <c r="F423" t="s">
        <v>4003</v>
      </c>
      <c r="G423" t="s">
        <v>971</v>
      </c>
      <c r="H423" t="s">
        <v>4</v>
      </c>
      <c r="I423" t="str">
        <f t="shared" si="13"/>
        <v/>
      </c>
    </row>
    <row r="424" spans="1:9">
      <c r="A424">
        <v>414</v>
      </c>
      <c r="B424" t="str">
        <f t="shared" si="12"/>
        <v>timothy a. reardon</v>
      </c>
      <c r="C424" t="s">
        <v>972</v>
      </c>
      <c r="D424" t="s">
        <v>264</v>
      </c>
      <c r="E424" t="s">
        <v>447</v>
      </c>
      <c r="F424" t="s">
        <v>973</v>
      </c>
      <c r="G424" t="s">
        <v>4</v>
      </c>
      <c r="H424" t="s">
        <v>212</v>
      </c>
      <c r="I424" t="str">
        <f t="shared" si="13"/>
        <v/>
      </c>
    </row>
    <row r="425" spans="1:9">
      <c r="A425">
        <v>415</v>
      </c>
      <c r="B425" t="str">
        <f t="shared" si="12"/>
        <v>thomas matthew reardon</v>
      </c>
      <c r="C425" t="s">
        <v>972</v>
      </c>
      <c r="D425" t="s">
        <v>27</v>
      </c>
      <c r="E425" t="s">
        <v>974</v>
      </c>
      <c r="F425" t="s">
        <v>387</v>
      </c>
      <c r="G425" t="s">
        <v>4</v>
      </c>
      <c r="H425" t="s">
        <v>10</v>
      </c>
      <c r="I425" t="str">
        <f t="shared" si="13"/>
        <v/>
      </c>
    </row>
    <row r="426" spans="1:9">
      <c r="A426">
        <v>416</v>
      </c>
      <c r="B426" t="str">
        <f t="shared" si="12"/>
        <v>cynthia  rayvis</v>
      </c>
      <c r="C426" t="s">
        <v>975</v>
      </c>
      <c r="D426" t="s">
        <v>365</v>
      </c>
      <c r="E426" t="s">
        <v>4</v>
      </c>
      <c r="F426" t="s">
        <v>25</v>
      </c>
      <c r="G426" t="s">
        <v>4</v>
      </c>
      <c r="H426" t="s">
        <v>10</v>
      </c>
      <c r="I426" t="str">
        <f t="shared" si="13"/>
        <v/>
      </c>
    </row>
    <row r="427" spans="1:9">
      <c r="A427">
        <v>417</v>
      </c>
      <c r="B427" t="str">
        <f t="shared" si="12"/>
        <v>vance w raye</v>
      </c>
      <c r="C427" t="s">
        <v>976</v>
      </c>
      <c r="D427" t="s">
        <v>977</v>
      </c>
      <c r="E427" t="s">
        <v>583</v>
      </c>
      <c r="F427" t="s">
        <v>978</v>
      </c>
      <c r="G427" t="s">
        <v>4</v>
      </c>
      <c r="H427" t="s">
        <v>833</v>
      </c>
      <c r="I427" t="str">
        <f t="shared" si="13"/>
        <v/>
      </c>
    </row>
    <row r="428" spans="1:9">
      <c r="A428">
        <v>418</v>
      </c>
      <c r="B428" t="str">
        <f t="shared" si="12"/>
        <v>curtis b rappe curtts</v>
      </c>
      <c r="C428" t="s">
        <v>979</v>
      </c>
      <c r="D428" t="s">
        <v>533</v>
      </c>
      <c r="E428" t="s">
        <v>358</v>
      </c>
      <c r="F428" t="s">
        <v>4054</v>
      </c>
      <c r="G428" t="s">
        <v>4</v>
      </c>
      <c r="H428" t="s">
        <v>4</v>
      </c>
      <c r="I428" t="str">
        <f t="shared" si="13"/>
        <v/>
      </c>
    </row>
    <row r="429" spans="1:9">
      <c r="A429">
        <v>419</v>
      </c>
      <c r="B429" t="str">
        <f t="shared" si="12"/>
        <v>hector enrigue ramon</v>
      </c>
      <c r="C429" t="s">
        <v>980</v>
      </c>
      <c r="D429" t="s">
        <v>981</v>
      </c>
      <c r="E429" t="s">
        <v>982</v>
      </c>
      <c r="F429" t="s">
        <v>14</v>
      </c>
      <c r="G429" t="s">
        <v>4</v>
      </c>
      <c r="H429" t="s">
        <v>10</v>
      </c>
      <c r="I429" t="str">
        <f t="shared" si="13"/>
        <v/>
      </c>
    </row>
    <row r="430" spans="1:9">
      <c r="A430">
        <v>420</v>
      </c>
      <c r="B430" t="str">
        <f t="shared" si="12"/>
        <v>manuel a. ramirez</v>
      </c>
      <c r="C430" t="s">
        <v>983</v>
      </c>
      <c r="D430" t="s">
        <v>984</v>
      </c>
      <c r="E430" t="s">
        <v>447</v>
      </c>
      <c r="F430" t="s">
        <v>19</v>
      </c>
      <c r="G430" t="s">
        <v>985</v>
      </c>
      <c r="H430" t="s">
        <v>833</v>
      </c>
      <c r="I430" t="str">
        <f t="shared" si="13"/>
        <v/>
      </c>
    </row>
    <row r="431" spans="1:9">
      <c r="A431">
        <v>421</v>
      </c>
      <c r="B431" t="str">
        <f t="shared" si="12"/>
        <v>daniel pena ramirez</v>
      </c>
      <c r="C431" t="s">
        <v>983</v>
      </c>
      <c r="D431" t="s">
        <v>23</v>
      </c>
      <c r="E431" t="s">
        <v>986</v>
      </c>
      <c r="F431" t="s">
        <v>1964</v>
      </c>
      <c r="G431" t="s">
        <v>987</v>
      </c>
      <c r="H431" t="s">
        <v>461</v>
      </c>
      <c r="I431" t="str">
        <f t="shared" si="13"/>
        <v/>
      </c>
    </row>
    <row r="432" spans="1:9">
      <c r="A432">
        <v>422</v>
      </c>
      <c r="B432" t="str">
        <f t="shared" si="12"/>
        <v>linda buelhauf quinn</v>
      </c>
      <c r="C432" t="s">
        <v>988</v>
      </c>
      <c r="D432" t="s">
        <v>989</v>
      </c>
      <c r="E432" t="s">
        <v>990</v>
      </c>
      <c r="F432" t="s">
        <v>101</v>
      </c>
      <c r="G432" t="s">
        <v>102</v>
      </c>
      <c r="H432" t="s">
        <v>103</v>
      </c>
      <c r="I432" t="str">
        <f t="shared" si="13"/>
        <v/>
      </c>
    </row>
    <row r="433" spans="1:9">
      <c r="A433">
        <v>423</v>
      </c>
      <c r="B433" t="str">
        <f t="shared" si="12"/>
        <v>ronald evans quidachay</v>
      </c>
      <c r="C433" t="s">
        <v>991</v>
      </c>
      <c r="D433" t="s">
        <v>413</v>
      </c>
      <c r="E433" t="s">
        <v>992</v>
      </c>
      <c r="F433" t="s">
        <v>88</v>
      </c>
      <c r="G433" t="s">
        <v>4</v>
      </c>
      <c r="H433" t="s">
        <v>4</v>
      </c>
      <c r="I433" t="str">
        <f t="shared" si="13"/>
        <v/>
      </c>
    </row>
    <row r="434" spans="1:9">
      <c r="A434">
        <v>424</v>
      </c>
      <c r="B434" t="str">
        <f t="shared" si="12"/>
        <v>stephen mark pulido</v>
      </c>
      <c r="C434" t="s">
        <v>993</v>
      </c>
      <c r="D434" t="s">
        <v>183</v>
      </c>
      <c r="E434" t="s">
        <v>45</v>
      </c>
      <c r="F434" t="s">
        <v>994</v>
      </c>
      <c r="G434" t="s">
        <v>4</v>
      </c>
      <c r="H434" t="s">
        <v>995</v>
      </c>
      <c r="I434" t="str">
        <f t="shared" si="13"/>
        <v/>
      </c>
    </row>
    <row r="435" spans="1:9">
      <c r="A435">
        <v>425</v>
      </c>
      <c r="B435" t="str">
        <f t="shared" si="12"/>
        <v>eleanor  provost</v>
      </c>
      <c r="C435" t="s">
        <v>996</v>
      </c>
      <c r="D435" t="s">
        <v>997</v>
      </c>
      <c r="E435" t="s">
        <v>4</v>
      </c>
      <c r="F435" t="s">
        <v>49</v>
      </c>
      <c r="G435" t="s">
        <v>998</v>
      </c>
      <c r="H435" t="s">
        <v>10</v>
      </c>
      <c r="I435" t="str">
        <f t="shared" si="13"/>
        <v/>
      </c>
    </row>
    <row r="436" spans="1:9">
      <c r="A436">
        <v>426</v>
      </c>
      <c r="B436" t="str">
        <f t="shared" si="12"/>
        <v>daniel b proud</v>
      </c>
      <c r="C436" t="s">
        <v>999</v>
      </c>
      <c r="D436" t="s">
        <v>23</v>
      </c>
      <c r="E436" t="s">
        <v>358</v>
      </c>
      <c r="F436" t="s">
        <v>4055</v>
      </c>
      <c r="G436" t="s">
        <v>4</v>
      </c>
      <c r="H436" t="s">
        <v>4</v>
      </c>
      <c r="I436" t="str">
        <f t="shared" si="13"/>
        <v/>
      </c>
    </row>
    <row r="437" spans="1:9">
      <c r="A437">
        <v>427</v>
      </c>
      <c r="B437" t="str">
        <f t="shared" si="12"/>
        <v>donald  proietti</v>
      </c>
      <c r="C437" t="s">
        <v>1000</v>
      </c>
      <c r="D437" t="s">
        <v>509</v>
      </c>
      <c r="E437" t="s">
        <v>4</v>
      </c>
      <c r="F437" t="s">
        <v>1001</v>
      </c>
      <c r="G437" t="s">
        <v>4</v>
      </c>
      <c r="H437" t="s">
        <v>36</v>
      </c>
      <c r="I437" t="str">
        <f t="shared" si="13"/>
        <v/>
      </c>
    </row>
    <row r="438" spans="1:9">
      <c r="A438">
        <v>428</v>
      </c>
      <c r="B438" t="str">
        <f t="shared" si="12"/>
        <v>laura f priver</v>
      </c>
      <c r="C438" t="s">
        <v>1002</v>
      </c>
      <c r="D438" t="s">
        <v>259</v>
      </c>
      <c r="E438" t="s">
        <v>288</v>
      </c>
      <c r="F438" t="s">
        <v>25</v>
      </c>
      <c r="G438" t="s">
        <v>4</v>
      </c>
      <c r="H438" t="s">
        <v>10</v>
      </c>
      <c r="I438" t="str">
        <f t="shared" si="13"/>
        <v/>
      </c>
    </row>
    <row r="439" spans="1:9">
      <c r="A439">
        <v>429</v>
      </c>
      <c r="B439" t="str">
        <f t="shared" si="12"/>
        <v>gregory(gregg) leonard prickett</v>
      </c>
      <c r="C439" t="s">
        <v>1003</v>
      </c>
      <c r="D439" t="s">
        <v>1004</v>
      </c>
      <c r="E439" t="s">
        <v>1610</v>
      </c>
      <c r="F439" t="s">
        <v>1005</v>
      </c>
      <c r="G439" t="s">
        <v>559</v>
      </c>
      <c r="H439" t="s">
        <v>4</v>
      </c>
      <c r="I439" t="str">
        <f t="shared" si="13"/>
        <v/>
      </c>
    </row>
    <row r="440" spans="1:9">
      <c r="A440">
        <v>430</v>
      </c>
      <c r="B440" t="str">
        <f t="shared" si="12"/>
        <v>diane marie price</v>
      </c>
      <c r="C440" t="s">
        <v>1006</v>
      </c>
      <c r="D440" t="s">
        <v>911</v>
      </c>
      <c r="E440" t="s">
        <v>43</v>
      </c>
      <c r="F440" t="s">
        <v>4056</v>
      </c>
      <c r="G440" t="s">
        <v>4</v>
      </c>
      <c r="H440" t="s">
        <v>4</v>
      </c>
      <c r="I440" t="str">
        <f t="shared" si="13"/>
        <v/>
      </c>
    </row>
    <row r="441" spans="1:9">
      <c r="A441">
        <v>431</v>
      </c>
      <c r="B441" t="str">
        <f t="shared" si="12"/>
        <v>jeffrey jarvis prevost</v>
      </c>
      <c r="C441" t="s">
        <v>1007</v>
      </c>
      <c r="D441" t="s">
        <v>446</v>
      </c>
      <c r="E441" t="s">
        <v>1008</v>
      </c>
      <c r="F441" t="s">
        <v>32</v>
      </c>
      <c r="G441" t="s">
        <v>247</v>
      </c>
      <c r="H441" t="s">
        <v>10</v>
      </c>
      <c r="I441" t="str">
        <f t="shared" si="13"/>
        <v/>
      </c>
    </row>
    <row r="442" spans="1:9">
      <c r="A442">
        <v>432</v>
      </c>
      <c r="B442" t="str">
        <f t="shared" si="12"/>
        <v>joel m pressman</v>
      </c>
      <c r="C442" t="s">
        <v>1009</v>
      </c>
      <c r="D442" t="s">
        <v>120</v>
      </c>
      <c r="E442" t="s">
        <v>410</v>
      </c>
      <c r="F442" t="s">
        <v>101</v>
      </c>
      <c r="G442" t="s">
        <v>102</v>
      </c>
      <c r="H442" t="s">
        <v>103</v>
      </c>
      <c r="I442" t="str">
        <f t="shared" si="13"/>
        <v/>
      </c>
    </row>
    <row r="443" spans="1:9">
      <c r="A443">
        <v>433</v>
      </c>
      <c r="B443" t="str">
        <f t="shared" si="12"/>
        <v>eugene m premo</v>
      </c>
      <c r="C443" t="s">
        <v>1010</v>
      </c>
      <c r="D443" t="s">
        <v>407</v>
      </c>
      <c r="E443" t="s">
        <v>410</v>
      </c>
      <c r="F443" t="s">
        <v>19</v>
      </c>
      <c r="G443" t="s">
        <v>1011</v>
      </c>
      <c r="H443" t="s">
        <v>212</v>
      </c>
      <c r="I443" t="str">
        <f t="shared" si="13"/>
        <v/>
      </c>
    </row>
    <row r="444" spans="1:9">
      <c r="A444">
        <v>434</v>
      </c>
      <c r="B444" t="str">
        <f t="shared" si="12"/>
        <v>allan john preckel</v>
      </c>
      <c r="C444" t="s">
        <v>1012</v>
      </c>
      <c r="D444" t="s">
        <v>1013</v>
      </c>
      <c r="E444" t="s">
        <v>7</v>
      </c>
      <c r="F444" t="s">
        <v>101</v>
      </c>
      <c r="G444" t="s">
        <v>102</v>
      </c>
      <c r="H444" t="s">
        <v>103</v>
      </c>
      <c r="I444" t="str">
        <f t="shared" si="13"/>
        <v/>
      </c>
    </row>
    <row r="445" spans="1:9">
      <c r="A445">
        <v>435</v>
      </c>
      <c r="B445" t="str">
        <f t="shared" si="12"/>
        <v>ronald s prager</v>
      </c>
      <c r="C445" t="s">
        <v>1014</v>
      </c>
      <c r="D445" t="s">
        <v>413</v>
      </c>
      <c r="E445" t="s">
        <v>182</v>
      </c>
      <c r="F445" t="s">
        <v>101</v>
      </c>
      <c r="G445" t="s">
        <v>102</v>
      </c>
      <c r="H445" t="s">
        <v>103</v>
      </c>
      <c r="I445" t="str">
        <f t="shared" si="13"/>
        <v/>
      </c>
    </row>
    <row r="446" spans="1:9">
      <c r="A446">
        <v>436</v>
      </c>
      <c r="B446" t="str">
        <f t="shared" si="12"/>
        <v>margaret a powers</v>
      </c>
      <c r="C446" t="s">
        <v>1015</v>
      </c>
      <c r="D446" t="s">
        <v>1016</v>
      </c>
      <c r="E446" t="s">
        <v>39</v>
      </c>
      <c r="F446" t="s">
        <v>1017</v>
      </c>
      <c r="G446" t="s">
        <v>1018</v>
      </c>
      <c r="H446" t="s">
        <v>10</v>
      </c>
      <c r="I446" t="str">
        <f t="shared" si="13"/>
        <v/>
      </c>
    </row>
    <row r="447" spans="1:9">
      <c r="A447">
        <v>437</v>
      </c>
      <c r="B447" t="str">
        <f t="shared" si="12"/>
        <v>david edwin power</v>
      </c>
      <c r="C447" t="s">
        <v>1019</v>
      </c>
      <c r="D447" t="s">
        <v>28</v>
      </c>
      <c r="E447" t="s">
        <v>157</v>
      </c>
      <c r="F447" t="s">
        <v>4</v>
      </c>
      <c r="G447" t="s">
        <v>567</v>
      </c>
      <c r="H447" t="s">
        <v>10</v>
      </c>
      <c r="I447" t="str">
        <f t="shared" si="13"/>
        <v/>
      </c>
    </row>
    <row r="448" spans="1:9">
      <c r="A448">
        <v>438</v>
      </c>
      <c r="B448" t="str">
        <f t="shared" si="12"/>
        <v>william jefferson powell</v>
      </c>
      <c r="C448" t="s">
        <v>1020</v>
      </c>
      <c r="D448" t="s">
        <v>155</v>
      </c>
      <c r="E448" t="s">
        <v>1021</v>
      </c>
      <c r="F448" t="s">
        <v>49</v>
      </c>
      <c r="G448" t="s">
        <v>1022</v>
      </c>
      <c r="H448" t="s">
        <v>10</v>
      </c>
      <c r="I448" t="str">
        <f t="shared" si="13"/>
        <v/>
      </c>
    </row>
    <row r="449" spans="1:9">
      <c r="A449">
        <v>439</v>
      </c>
      <c r="B449" t="str">
        <f t="shared" si="12"/>
        <v>harry l. powazek</v>
      </c>
      <c r="C449" t="s">
        <v>1023</v>
      </c>
      <c r="D449" t="s">
        <v>1024</v>
      </c>
      <c r="E449" t="s">
        <v>257</v>
      </c>
      <c r="F449" t="s">
        <v>101</v>
      </c>
      <c r="G449" t="s">
        <v>102</v>
      </c>
      <c r="H449" t="s">
        <v>103</v>
      </c>
      <c r="I449" t="str">
        <f t="shared" si="13"/>
        <v/>
      </c>
    </row>
    <row r="450" spans="1:9">
      <c r="A450">
        <v>440</v>
      </c>
      <c r="B450" t="str">
        <f t="shared" si="12"/>
        <v>charles s. poochigian</v>
      </c>
      <c r="C450" t="s">
        <v>1025</v>
      </c>
      <c r="D450" t="s">
        <v>35</v>
      </c>
      <c r="E450" t="s">
        <v>174</v>
      </c>
      <c r="F450" t="s">
        <v>674</v>
      </c>
      <c r="G450" t="s">
        <v>1026</v>
      </c>
      <c r="H450" t="s">
        <v>212</v>
      </c>
      <c r="I450" t="str">
        <f t="shared" si="13"/>
        <v/>
      </c>
    </row>
    <row r="451" spans="1:9">
      <c r="A451">
        <v>441</v>
      </c>
      <c r="B451" t="str">
        <f t="shared" ref="B451:B514" si="14">TRIM($D451) &amp; " " &amp; TRIM($E451) &amp; " " &amp; TRIM($C451)</f>
        <v>lynn m poncin</v>
      </c>
      <c r="C451" t="s">
        <v>1027</v>
      </c>
      <c r="D451" t="s">
        <v>197</v>
      </c>
      <c r="E451" t="s">
        <v>410</v>
      </c>
      <c r="F451" t="s">
        <v>4057</v>
      </c>
      <c r="G451" t="s">
        <v>4</v>
      </c>
      <c r="H451" t="s">
        <v>10</v>
      </c>
      <c r="I451" t="str">
        <f t="shared" ref="I451:I514" si="15">IF(NOT(ISERROR(FIND("judge",F451))),"judge","")</f>
        <v/>
      </c>
    </row>
    <row r="452" spans="1:9">
      <c r="A452">
        <v>442</v>
      </c>
      <c r="B452" t="str">
        <f t="shared" si="14"/>
        <v>nancy a pollard</v>
      </c>
      <c r="C452" t="s">
        <v>1028</v>
      </c>
      <c r="D452" t="s">
        <v>542</v>
      </c>
      <c r="E452" t="s">
        <v>39</v>
      </c>
      <c r="F452" t="s">
        <v>4036</v>
      </c>
      <c r="G452" t="s">
        <v>4</v>
      </c>
      <c r="H452" t="s">
        <v>4</v>
      </c>
      <c r="I452" t="str">
        <f t="shared" si="15"/>
        <v/>
      </c>
    </row>
    <row r="453" spans="1:9">
      <c r="A453">
        <v>443</v>
      </c>
      <c r="B453" t="str">
        <f t="shared" si="14"/>
        <v>stuart r pollak</v>
      </c>
      <c r="C453" t="s">
        <v>1029</v>
      </c>
      <c r="D453" t="s">
        <v>521</v>
      </c>
      <c r="E453" t="s">
        <v>53</v>
      </c>
      <c r="F453" t="s">
        <v>19</v>
      </c>
      <c r="G453" t="s">
        <v>1030</v>
      </c>
      <c r="H453" t="s">
        <v>212</v>
      </c>
      <c r="I453" t="str">
        <f t="shared" si="15"/>
        <v/>
      </c>
    </row>
    <row r="454" spans="1:9">
      <c r="A454">
        <v>444</v>
      </c>
      <c r="B454" t="str">
        <f t="shared" si="14"/>
        <v>gregory w pollack</v>
      </c>
      <c r="C454" t="s">
        <v>1031</v>
      </c>
      <c r="D454" t="s">
        <v>468</v>
      </c>
      <c r="E454" t="s">
        <v>583</v>
      </c>
      <c r="F454" t="s">
        <v>101</v>
      </c>
      <c r="G454" t="s">
        <v>102</v>
      </c>
      <c r="H454" t="s">
        <v>103</v>
      </c>
      <c r="I454" t="str">
        <f t="shared" si="15"/>
        <v/>
      </c>
    </row>
    <row r="455" spans="1:9">
      <c r="A455">
        <v>445</v>
      </c>
      <c r="B455" t="str">
        <f t="shared" si="14"/>
        <v>marcel b. poche</v>
      </c>
      <c r="C455" t="s">
        <v>1032</v>
      </c>
      <c r="D455" t="s">
        <v>1033</v>
      </c>
      <c r="E455" t="s">
        <v>400</v>
      </c>
      <c r="F455" t="s">
        <v>32</v>
      </c>
      <c r="G455" t="s">
        <v>1034</v>
      </c>
      <c r="H455" t="s">
        <v>4</v>
      </c>
      <c r="I455" t="str">
        <f t="shared" si="15"/>
        <v/>
      </c>
    </row>
    <row r="456" spans="1:9">
      <c r="A456">
        <v>446</v>
      </c>
      <c r="B456" t="str">
        <f t="shared" si="14"/>
        <v>jan a pluim</v>
      </c>
      <c r="C456" t="s">
        <v>1035</v>
      </c>
      <c r="D456" t="s">
        <v>1036</v>
      </c>
      <c r="E456" t="s">
        <v>39</v>
      </c>
      <c r="F456" t="s">
        <v>1749</v>
      </c>
      <c r="G456" t="s">
        <v>1037</v>
      </c>
      <c r="H456" t="s">
        <v>4</v>
      </c>
      <c r="I456" t="str">
        <f t="shared" si="15"/>
        <v/>
      </c>
    </row>
    <row r="457" spans="1:9">
      <c r="A457">
        <v>447</v>
      </c>
      <c r="B457" t="str">
        <f t="shared" si="14"/>
        <v>christopher john plourd</v>
      </c>
      <c r="C457" t="s">
        <v>1038</v>
      </c>
      <c r="D457" t="s">
        <v>64</v>
      </c>
      <c r="E457" t="s">
        <v>7</v>
      </c>
      <c r="F457" t="s">
        <v>1039</v>
      </c>
      <c r="G457" t="s">
        <v>1040</v>
      </c>
      <c r="H457" t="s">
        <v>10</v>
      </c>
      <c r="I457" t="str">
        <f t="shared" si="15"/>
        <v/>
      </c>
    </row>
    <row r="458" spans="1:9">
      <c r="A458">
        <v>448</v>
      </c>
      <c r="B458" t="str">
        <f t="shared" si="14"/>
        <v>elia v. pirozzi</v>
      </c>
      <c r="C458" t="s">
        <v>1041</v>
      </c>
      <c r="D458" t="s">
        <v>233</v>
      </c>
      <c r="E458" t="s">
        <v>645</v>
      </c>
      <c r="F458" t="s">
        <v>1017</v>
      </c>
      <c r="G458" t="s">
        <v>1018</v>
      </c>
      <c r="H458" t="s">
        <v>36</v>
      </c>
      <c r="I458" t="str">
        <f t="shared" si="15"/>
        <v/>
      </c>
    </row>
    <row r="459" spans="1:9">
      <c r="A459">
        <v>449</v>
      </c>
      <c r="B459" t="str">
        <f t="shared" si="14"/>
        <v>alan v pineschi</v>
      </c>
      <c r="C459" t="s">
        <v>1042</v>
      </c>
      <c r="D459" t="s">
        <v>48</v>
      </c>
      <c r="E459" t="s">
        <v>1043</v>
      </c>
      <c r="F459" t="s">
        <v>4005</v>
      </c>
      <c r="G459" t="s">
        <v>1044</v>
      </c>
      <c r="H459" t="s">
        <v>4</v>
      </c>
      <c r="I459" t="str">
        <f t="shared" si="15"/>
        <v/>
      </c>
    </row>
    <row r="460" spans="1:9">
      <c r="A460">
        <v>450</v>
      </c>
      <c r="B460" t="str">
        <f t="shared" si="14"/>
        <v>mark hanson pierce</v>
      </c>
      <c r="C460" t="s">
        <v>1045</v>
      </c>
      <c r="D460" t="s">
        <v>45</v>
      </c>
      <c r="E460" t="s">
        <v>1046</v>
      </c>
      <c r="F460" t="s">
        <v>49</v>
      </c>
      <c r="G460" t="s">
        <v>4</v>
      </c>
      <c r="H460" t="s">
        <v>4</v>
      </c>
      <c r="I460" t="str">
        <f t="shared" si="15"/>
        <v/>
      </c>
    </row>
    <row r="461" spans="1:9">
      <c r="A461">
        <v>451</v>
      </c>
      <c r="B461" t="str">
        <f t="shared" si="14"/>
        <v>james brian pierce</v>
      </c>
      <c r="C461" t="s">
        <v>1045</v>
      </c>
      <c r="D461" t="s">
        <v>90</v>
      </c>
      <c r="E461" t="s">
        <v>57</v>
      </c>
      <c r="F461" t="s">
        <v>4058</v>
      </c>
      <c r="G461" t="s">
        <v>4</v>
      </c>
      <c r="H461" t="s">
        <v>4</v>
      </c>
      <c r="I461" t="str">
        <f t="shared" si="15"/>
        <v/>
      </c>
    </row>
    <row r="462" spans="1:9">
      <c r="A462">
        <v>452</v>
      </c>
      <c r="B462" t="str">
        <f t="shared" si="14"/>
        <v>rise jones pichon</v>
      </c>
      <c r="C462" t="s">
        <v>1047</v>
      </c>
      <c r="D462" t="s">
        <v>1048</v>
      </c>
      <c r="E462" t="s">
        <v>1049</v>
      </c>
      <c r="F462" t="s">
        <v>106</v>
      </c>
      <c r="G462" t="s">
        <v>4</v>
      </c>
      <c r="H462" t="s">
        <v>10</v>
      </c>
      <c r="I462" t="str">
        <f t="shared" si="15"/>
        <v/>
      </c>
    </row>
    <row r="463" spans="1:9">
      <c r="A463">
        <v>453</v>
      </c>
      <c r="B463" t="str">
        <f t="shared" si="14"/>
        <v>gary michael picetti</v>
      </c>
      <c r="C463" t="s">
        <v>1050</v>
      </c>
      <c r="D463" t="s">
        <v>123</v>
      </c>
      <c r="E463" t="s">
        <v>219</v>
      </c>
      <c r="F463" t="s">
        <v>4059</v>
      </c>
      <c r="G463" t="s">
        <v>4</v>
      </c>
      <c r="H463" t="s">
        <v>4</v>
      </c>
      <c r="I463" t="str">
        <f t="shared" si="15"/>
        <v/>
      </c>
    </row>
    <row r="464" spans="1:9">
      <c r="A464">
        <v>454</v>
      </c>
      <c r="B464" t="str">
        <f t="shared" si="14"/>
        <v>douglas c phimister</v>
      </c>
      <c r="C464" t="s">
        <v>1051</v>
      </c>
      <c r="D464" t="s">
        <v>593</v>
      </c>
      <c r="E464" t="s">
        <v>770</v>
      </c>
      <c r="F464" t="s">
        <v>1052</v>
      </c>
      <c r="G464" t="s">
        <v>1053</v>
      </c>
      <c r="H464" t="s">
        <v>10</v>
      </c>
      <c r="I464" t="str">
        <f t="shared" si="15"/>
        <v/>
      </c>
    </row>
    <row r="465" spans="1:9">
      <c r="A465">
        <v>455</v>
      </c>
      <c r="B465" t="str">
        <f t="shared" si="14"/>
        <v>craig gene phillips</v>
      </c>
      <c r="C465" t="s">
        <v>1054</v>
      </c>
      <c r="D465" t="s">
        <v>322</v>
      </c>
      <c r="E465" t="s">
        <v>1055</v>
      </c>
      <c r="F465" t="s">
        <v>32</v>
      </c>
      <c r="G465" t="s">
        <v>95</v>
      </c>
      <c r="H465" t="s">
        <v>10</v>
      </c>
      <c r="I465" t="str">
        <f t="shared" si="15"/>
        <v/>
      </c>
    </row>
    <row r="466" spans="1:9">
      <c r="A466">
        <v>456</v>
      </c>
      <c r="B466" t="str">
        <f t="shared" si="14"/>
        <v>cheri thi pham</v>
      </c>
      <c r="C466" t="s">
        <v>1056</v>
      </c>
      <c r="D466" t="s">
        <v>1057</v>
      </c>
      <c r="E466" t="s">
        <v>1058</v>
      </c>
      <c r="F466" t="s">
        <v>1414</v>
      </c>
      <c r="G466" t="s">
        <v>4</v>
      </c>
      <c r="H466" t="s">
        <v>4</v>
      </c>
      <c r="I466" t="str">
        <f t="shared" si="15"/>
        <v/>
      </c>
    </row>
    <row r="467" spans="1:9">
      <c r="A467">
        <v>457</v>
      </c>
      <c r="B467" t="str">
        <f t="shared" si="14"/>
        <v>stephen p pfahler</v>
      </c>
      <c r="C467" t="s">
        <v>1059</v>
      </c>
      <c r="D467" t="s">
        <v>183</v>
      </c>
      <c r="E467" t="s">
        <v>252</v>
      </c>
      <c r="F467" t="s">
        <v>4043</v>
      </c>
      <c r="G467" t="s">
        <v>4</v>
      </c>
      <c r="H467" t="s">
        <v>4</v>
      </c>
      <c r="I467" t="str">
        <f t="shared" si="15"/>
        <v/>
      </c>
    </row>
    <row r="468" spans="1:9">
      <c r="A468">
        <v>458</v>
      </c>
      <c r="B468" t="str">
        <f t="shared" si="14"/>
        <v>james m petrucelli</v>
      </c>
      <c r="C468" t="s">
        <v>1060</v>
      </c>
      <c r="D468" t="s">
        <v>90</v>
      </c>
      <c r="E468" t="s">
        <v>410</v>
      </c>
      <c r="F468" t="s">
        <v>1061</v>
      </c>
      <c r="G468" t="s">
        <v>4</v>
      </c>
      <c r="H468" t="s">
        <v>36</v>
      </c>
      <c r="I468" t="str">
        <f t="shared" si="15"/>
        <v/>
      </c>
    </row>
    <row r="469" spans="1:9">
      <c r="A469">
        <v>459</v>
      </c>
      <c r="B469" t="str">
        <f t="shared" si="14"/>
        <v>ioana  petrou</v>
      </c>
      <c r="C469" t="s">
        <v>1062</v>
      </c>
      <c r="D469" t="s">
        <v>1063</v>
      </c>
      <c r="E469" t="s">
        <v>4</v>
      </c>
      <c r="F469" t="s">
        <v>8</v>
      </c>
      <c r="G469" t="s">
        <v>176</v>
      </c>
      <c r="H469" t="s">
        <v>10</v>
      </c>
      <c r="I469" t="str">
        <f t="shared" si="15"/>
        <v/>
      </c>
    </row>
    <row r="470" spans="1:9">
      <c r="A470">
        <v>460</v>
      </c>
      <c r="B470" t="str">
        <f t="shared" si="14"/>
        <v>dennis alan peterson</v>
      </c>
      <c r="C470" t="s">
        <v>1064</v>
      </c>
      <c r="D470" t="s">
        <v>1065</v>
      </c>
      <c r="E470" t="s">
        <v>48</v>
      </c>
      <c r="F470" t="s">
        <v>32</v>
      </c>
      <c r="G470" t="s">
        <v>4</v>
      </c>
      <c r="H470" t="s">
        <v>4</v>
      </c>
      <c r="I470" t="str">
        <f t="shared" si="15"/>
        <v/>
      </c>
    </row>
    <row r="471" spans="1:9">
      <c r="A471">
        <v>461</v>
      </c>
      <c r="B471" t="str">
        <f t="shared" si="14"/>
        <v>mark edward petersen</v>
      </c>
      <c r="C471" t="s">
        <v>1066</v>
      </c>
      <c r="D471" t="s">
        <v>45</v>
      </c>
      <c r="E471" t="s">
        <v>236</v>
      </c>
      <c r="F471" t="s">
        <v>921</v>
      </c>
      <c r="G471" t="s">
        <v>118</v>
      </c>
      <c r="H471" t="s">
        <v>10</v>
      </c>
      <c r="I471" t="str">
        <f t="shared" si="15"/>
        <v/>
      </c>
    </row>
    <row r="472" spans="1:9">
      <c r="A472">
        <v>462</v>
      </c>
      <c r="B472" t="str">
        <f t="shared" si="14"/>
        <v>michael aaron persky</v>
      </c>
      <c r="C472" t="s">
        <v>1067</v>
      </c>
      <c r="D472" t="s">
        <v>219</v>
      </c>
      <c r="E472" t="s">
        <v>1068</v>
      </c>
      <c r="F472" t="s">
        <v>106</v>
      </c>
      <c r="G472" t="s">
        <v>4</v>
      </c>
      <c r="H472" t="s">
        <v>36</v>
      </c>
      <c r="I472" t="str">
        <f t="shared" si="15"/>
        <v/>
      </c>
    </row>
    <row r="473" spans="1:9">
      <c r="A473">
        <v>463</v>
      </c>
      <c r="B473" t="str">
        <f t="shared" si="14"/>
        <v>robert jordan perry</v>
      </c>
      <c r="C473" t="s">
        <v>475</v>
      </c>
      <c r="D473" t="s">
        <v>72</v>
      </c>
      <c r="E473" t="s">
        <v>1069</v>
      </c>
      <c r="F473" t="s">
        <v>25</v>
      </c>
      <c r="G473" t="s">
        <v>4</v>
      </c>
      <c r="H473" t="s">
        <v>10</v>
      </c>
      <c r="I473" t="str">
        <f t="shared" si="15"/>
        <v/>
      </c>
    </row>
    <row r="474" spans="1:9">
      <c r="A474">
        <v>464</v>
      </c>
      <c r="B474" t="str">
        <f t="shared" si="14"/>
        <v>steven zalkind perren</v>
      </c>
      <c r="C474" t="s">
        <v>1070</v>
      </c>
      <c r="D474" t="s">
        <v>339</v>
      </c>
      <c r="E474" t="s">
        <v>1071</v>
      </c>
      <c r="F474" t="s">
        <v>19</v>
      </c>
      <c r="G474" t="s">
        <v>20</v>
      </c>
      <c r="H474" t="s">
        <v>21</v>
      </c>
      <c r="I474" t="str">
        <f t="shared" si="15"/>
        <v/>
      </c>
    </row>
    <row r="475" spans="1:9">
      <c r="A475">
        <v>465</v>
      </c>
      <c r="B475" t="str">
        <f t="shared" si="14"/>
        <v>dennis m perluss</v>
      </c>
      <c r="C475" t="s">
        <v>1072</v>
      </c>
      <c r="D475" t="s">
        <v>1065</v>
      </c>
      <c r="E475" t="s">
        <v>410</v>
      </c>
      <c r="F475" t="s">
        <v>19</v>
      </c>
      <c r="G475" t="s">
        <v>20</v>
      </c>
      <c r="H475" t="s">
        <v>21</v>
      </c>
      <c r="I475" t="str">
        <f t="shared" si="15"/>
        <v/>
      </c>
    </row>
    <row r="476" spans="1:9">
      <c r="A476">
        <v>466</v>
      </c>
      <c r="B476" t="str">
        <f t="shared" si="14"/>
        <v xml:space="preserve"> g perkins</v>
      </c>
      <c r="C476" t="s">
        <v>1073</v>
      </c>
      <c r="D476" t="s">
        <v>4</v>
      </c>
      <c r="E476" t="s">
        <v>1074</v>
      </c>
      <c r="F476" t="s">
        <v>184</v>
      </c>
      <c r="G476" t="s">
        <v>4</v>
      </c>
      <c r="H476" t="s">
        <v>10</v>
      </c>
      <c r="I476" t="str">
        <f t="shared" si="15"/>
        <v/>
      </c>
    </row>
    <row r="477" spans="1:9">
      <c r="A477">
        <v>467</v>
      </c>
      <c r="B477" t="str">
        <f t="shared" si="14"/>
        <v>steven l perk</v>
      </c>
      <c r="C477" t="s">
        <v>1075</v>
      </c>
      <c r="D477" t="s">
        <v>339</v>
      </c>
      <c r="E477" t="s">
        <v>77</v>
      </c>
      <c r="F477" t="s">
        <v>890</v>
      </c>
      <c r="G477" t="s">
        <v>4</v>
      </c>
      <c r="H477" t="s">
        <v>36</v>
      </c>
      <c r="I477" t="str">
        <f t="shared" si="15"/>
        <v/>
      </c>
    </row>
    <row r="478" spans="1:9">
      <c r="A478">
        <v>468</v>
      </c>
      <c r="B478" t="str">
        <f t="shared" si="14"/>
        <v>joe teel perez</v>
      </c>
      <c r="C478" t="s">
        <v>1076</v>
      </c>
      <c r="D478" t="s">
        <v>1077</v>
      </c>
      <c r="E478" t="s">
        <v>1078</v>
      </c>
      <c r="F478" t="s">
        <v>137</v>
      </c>
      <c r="G478" t="s">
        <v>4</v>
      </c>
      <c r="H478" t="s">
        <v>36</v>
      </c>
      <c r="I478" t="str">
        <f t="shared" si="15"/>
        <v/>
      </c>
    </row>
    <row r="479" spans="1:9">
      <c r="A479">
        <v>469</v>
      </c>
      <c r="B479" t="str">
        <f t="shared" si="14"/>
        <v>philip howard pennypacker</v>
      </c>
      <c r="C479" t="s">
        <v>1079</v>
      </c>
      <c r="D479" t="s">
        <v>589</v>
      </c>
      <c r="E479" t="s">
        <v>506</v>
      </c>
      <c r="F479" t="s">
        <v>1080</v>
      </c>
      <c r="G479" t="s">
        <v>4</v>
      </c>
      <c r="H479" t="s">
        <v>36</v>
      </c>
      <c r="I479" t="str">
        <f t="shared" si="15"/>
        <v/>
      </c>
    </row>
    <row r="480" spans="1:9">
      <c r="A480">
        <v>470</v>
      </c>
      <c r="B480" t="str">
        <f t="shared" si="14"/>
        <v>jeffrey scott penney</v>
      </c>
      <c r="C480" t="s">
        <v>1081</v>
      </c>
      <c r="D480" t="s">
        <v>446</v>
      </c>
      <c r="E480" t="s">
        <v>436</v>
      </c>
      <c r="F480" t="s">
        <v>4060</v>
      </c>
      <c r="G480" t="s">
        <v>4</v>
      </c>
      <c r="H480" t="s">
        <v>4</v>
      </c>
      <c r="I480" t="str">
        <f t="shared" si="15"/>
        <v/>
      </c>
    </row>
    <row r="481" spans="1:9">
      <c r="A481">
        <v>471</v>
      </c>
      <c r="B481" t="str">
        <f t="shared" si="14"/>
        <v>don d. penner</v>
      </c>
      <c r="C481" t="s">
        <v>1082</v>
      </c>
      <c r="D481" t="s">
        <v>1083</v>
      </c>
      <c r="E481" t="s">
        <v>186</v>
      </c>
      <c r="F481" t="s">
        <v>1084</v>
      </c>
      <c r="G481" t="s">
        <v>4</v>
      </c>
      <c r="H481" t="s">
        <v>36</v>
      </c>
      <c r="I481" t="str">
        <f t="shared" si="15"/>
        <v/>
      </c>
    </row>
    <row r="482" spans="1:9">
      <c r="A482">
        <v>472</v>
      </c>
      <c r="B482" t="str">
        <f t="shared" si="14"/>
        <v>rosendo  pena</v>
      </c>
      <c r="C482" t="s">
        <v>986</v>
      </c>
      <c r="D482" t="s">
        <v>1085</v>
      </c>
      <c r="E482" t="s">
        <v>4</v>
      </c>
      <c r="F482" t="s">
        <v>32</v>
      </c>
      <c r="G482" t="s">
        <v>289</v>
      </c>
      <c r="H482" t="s">
        <v>10</v>
      </c>
      <c r="I482" t="str">
        <f t="shared" si="15"/>
        <v/>
      </c>
    </row>
    <row r="483" spans="1:9">
      <c r="A483">
        <v>473</v>
      </c>
      <c r="B483" t="str">
        <f t="shared" si="14"/>
        <v>amy m pellman</v>
      </c>
      <c r="C483" t="s">
        <v>1086</v>
      </c>
      <c r="D483" t="s">
        <v>1087</v>
      </c>
      <c r="E483" t="s">
        <v>410</v>
      </c>
      <c r="F483" t="s">
        <v>49</v>
      </c>
      <c r="G483" t="s">
        <v>751</v>
      </c>
      <c r="H483" t="s">
        <v>10</v>
      </c>
      <c r="I483" t="str">
        <f t="shared" si="15"/>
        <v/>
      </c>
    </row>
    <row r="484" spans="1:9">
      <c r="A484">
        <v>474</v>
      </c>
      <c r="B484" t="str">
        <f t="shared" si="14"/>
        <v>richard vernard peel</v>
      </c>
      <c r="C484" t="s">
        <v>1088</v>
      </c>
      <c r="D484" t="s">
        <v>173</v>
      </c>
      <c r="E484" t="s">
        <v>1089</v>
      </c>
      <c r="F484" t="s">
        <v>32</v>
      </c>
      <c r="G484" t="s">
        <v>337</v>
      </c>
      <c r="H484" t="s">
        <v>103</v>
      </c>
      <c r="I484" t="str">
        <f t="shared" si="15"/>
        <v/>
      </c>
    </row>
    <row r="485" spans="1:9">
      <c r="A485">
        <v>475</v>
      </c>
      <c r="B485" t="str">
        <f t="shared" si="14"/>
        <v>roy l paul</v>
      </c>
      <c r="C485" t="s">
        <v>280</v>
      </c>
      <c r="D485" t="s">
        <v>869</v>
      </c>
      <c r="E485" t="s">
        <v>77</v>
      </c>
      <c r="F485" t="s">
        <v>1749</v>
      </c>
      <c r="G485" t="s">
        <v>4</v>
      </c>
      <c r="H485" t="s">
        <v>4</v>
      </c>
      <c r="I485" t="str">
        <f t="shared" si="15"/>
        <v/>
      </c>
    </row>
    <row r="486" spans="1:9">
      <c r="A486">
        <v>476</v>
      </c>
      <c r="B486" t="str">
        <f t="shared" si="14"/>
        <v>michael edward pastor</v>
      </c>
      <c r="C486" t="s">
        <v>1090</v>
      </c>
      <c r="D486" t="s">
        <v>219</v>
      </c>
      <c r="E486" t="s">
        <v>236</v>
      </c>
      <c r="F486" t="s">
        <v>1964</v>
      </c>
      <c r="G486" t="s">
        <v>461</v>
      </c>
      <c r="H486" t="s">
        <v>10</v>
      </c>
      <c r="I486" t="str">
        <f t="shared" si="15"/>
        <v/>
      </c>
    </row>
    <row r="487" spans="1:9">
      <c r="A487">
        <v>477</v>
      </c>
      <c r="B487" t="str">
        <f t="shared" si="14"/>
        <v>craig l. parsons</v>
      </c>
      <c r="C487" t="s">
        <v>1091</v>
      </c>
      <c r="D487" t="s">
        <v>322</v>
      </c>
      <c r="E487" t="s">
        <v>257</v>
      </c>
      <c r="F487" t="s">
        <v>1092</v>
      </c>
      <c r="G487" t="s">
        <v>1093</v>
      </c>
      <c r="H487" t="s">
        <v>10</v>
      </c>
      <c r="I487" t="str">
        <f t="shared" si="15"/>
        <v/>
      </c>
    </row>
    <row r="488" spans="1:9">
      <c r="A488">
        <v>478</v>
      </c>
      <c r="B488" t="str">
        <f t="shared" si="14"/>
        <v>laura h parsky</v>
      </c>
      <c r="C488" t="s">
        <v>1094</v>
      </c>
      <c r="D488" t="s">
        <v>259</v>
      </c>
      <c r="E488" t="s">
        <v>250</v>
      </c>
      <c r="F488" t="s">
        <v>101</v>
      </c>
      <c r="G488" t="s">
        <v>102</v>
      </c>
      <c r="H488" t="s">
        <v>103</v>
      </c>
      <c r="I488" t="str">
        <f t="shared" si="15"/>
        <v/>
      </c>
    </row>
    <row r="489" spans="1:9">
      <c r="A489">
        <v>479</v>
      </c>
      <c r="B489" t="str">
        <f t="shared" si="14"/>
        <v>wayne richard parrish</v>
      </c>
      <c r="C489" t="s">
        <v>1095</v>
      </c>
      <c r="D489" t="s">
        <v>758</v>
      </c>
      <c r="E489" t="s">
        <v>173</v>
      </c>
      <c r="F489" t="s">
        <v>4061</v>
      </c>
      <c r="G489" t="s">
        <v>4</v>
      </c>
      <c r="H489" t="s">
        <v>4</v>
      </c>
      <c r="I489" t="str">
        <f t="shared" si="15"/>
        <v/>
      </c>
    </row>
    <row r="490" spans="1:9">
      <c r="A490">
        <v>480</v>
      </c>
      <c r="B490" t="str">
        <f t="shared" si="14"/>
        <v>perry  parker</v>
      </c>
      <c r="C490" t="s">
        <v>1096</v>
      </c>
      <c r="D490" t="s">
        <v>475</v>
      </c>
      <c r="E490" t="s">
        <v>4</v>
      </c>
      <c r="F490" t="s">
        <v>1097</v>
      </c>
      <c r="G490" t="s">
        <v>4</v>
      </c>
      <c r="H490" t="s">
        <v>4</v>
      </c>
      <c r="I490" t="str">
        <f t="shared" si="15"/>
        <v/>
      </c>
    </row>
    <row r="491" spans="1:9">
      <c r="A491">
        <v>481</v>
      </c>
      <c r="B491" t="str">
        <f t="shared" si="14"/>
        <v>carrie mcintyre panetta</v>
      </c>
      <c r="C491" t="s">
        <v>1098</v>
      </c>
      <c r="D491" t="s">
        <v>12</v>
      </c>
      <c r="E491" t="s">
        <v>1099</v>
      </c>
      <c r="F491" t="s">
        <v>4012</v>
      </c>
      <c r="G491" t="s">
        <v>176</v>
      </c>
      <c r="H491" t="s">
        <v>4</v>
      </c>
      <c r="I491" t="str">
        <f t="shared" si="15"/>
        <v/>
      </c>
    </row>
    <row r="492" spans="1:9">
      <c r="A492">
        <v>482</v>
      </c>
      <c r="B492" t="str">
        <f t="shared" si="14"/>
        <v>william d palmer</v>
      </c>
      <c r="C492" t="s">
        <v>736</v>
      </c>
      <c r="D492" t="s">
        <v>155</v>
      </c>
      <c r="E492" t="s">
        <v>570</v>
      </c>
      <c r="F492" t="s">
        <v>32</v>
      </c>
      <c r="G492" t="s">
        <v>95</v>
      </c>
      <c r="H492" t="s">
        <v>10</v>
      </c>
      <c r="I492" t="str">
        <f t="shared" si="15"/>
        <v/>
      </c>
    </row>
    <row r="493" spans="1:9">
      <c r="A493">
        <v>483</v>
      </c>
      <c r="B493" t="str">
        <f t="shared" si="14"/>
        <v>charles francis palmer</v>
      </c>
      <c r="C493" t="s">
        <v>736</v>
      </c>
      <c r="D493" t="s">
        <v>35</v>
      </c>
      <c r="E493" t="s">
        <v>405</v>
      </c>
      <c r="F493" t="s">
        <v>2204</v>
      </c>
      <c r="G493" t="s">
        <v>4</v>
      </c>
      <c r="H493" t="s">
        <v>4</v>
      </c>
      <c r="I493" t="str">
        <f t="shared" si="15"/>
        <v/>
      </c>
    </row>
    <row r="494" spans="1:9">
      <c r="A494">
        <v>484</v>
      </c>
      <c r="B494" t="str">
        <f t="shared" si="14"/>
        <v>yvette marie palazuelos</v>
      </c>
      <c r="C494" t="s">
        <v>1100</v>
      </c>
      <c r="D494" t="s">
        <v>316</v>
      </c>
      <c r="E494" t="s">
        <v>43</v>
      </c>
      <c r="F494" t="s">
        <v>4062</v>
      </c>
      <c r="G494" t="s">
        <v>571</v>
      </c>
      <c r="H494" t="s">
        <v>4</v>
      </c>
      <c r="I494" t="str">
        <f t="shared" si="15"/>
        <v/>
      </c>
    </row>
    <row r="495" spans="1:9">
      <c r="A495">
        <v>485</v>
      </c>
      <c r="B495" t="str">
        <f t="shared" si="14"/>
        <v>gary scott paer</v>
      </c>
      <c r="C495" t="s">
        <v>1101</v>
      </c>
      <c r="D495" t="s">
        <v>123</v>
      </c>
      <c r="E495" t="s">
        <v>436</v>
      </c>
      <c r="F495" t="s">
        <v>4036</v>
      </c>
      <c r="G495" t="s">
        <v>4</v>
      </c>
      <c r="H495" t="s">
        <v>4</v>
      </c>
      <c r="I495" t="str">
        <f t="shared" si="15"/>
        <v/>
      </c>
    </row>
    <row r="496" spans="1:9">
      <c r="A496">
        <v>486</v>
      </c>
      <c r="B496" t="str">
        <f t="shared" si="14"/>
        <v>gery lewis paden</v>
      </c>
      <c r="C496" t="s">
        <v>1102</v>
      </c>
      <c r="D496" t="s">
        <v>1103</v>
      </c>
      <c r="E496" t="s">
        <v>1104</v>
      </c>
      <c r="F496" t="s">
        <v>281</v>
      </c>
      <c r="G496" t="s">
        <v>4</v>
      </c>
      <c r="H496" t="s">
        <v>10</v>
      </c>
      <c r="I496" t="str">
        <f t="shared" si="15"/>
        <v/>
      </c>
    </row>
    <row r="497" spans="1:9">
      <c r="A497">
        <v>487</v>
      </c>
      <c r="B497" t="str">
        <f t="shared" si="14"/>
        <v>randall f. pachelo</v>
      </c>
      <c r="C497" t="s">
        <v>1105</v>
      </c>
      <c r="D497" t="s">
        <v>185</v>
      </c>
      <c r="E497" t="s">
        <v>161</v>
      </c>
      <c r="F497" t="s">
        <v>46</v>
      </c>
      <c r="G497" t="s">
        <v>4</v>
      </c>
      <c r="H497" t="s">
        <v>10</v>
      </c>
      <c r="I497" t="str">
        <f t="shared" si="15"/>
        <v/>
      </c>
    </row>
    <row r="498" spans="1:9">
      <c r="A498">
        <v>488</v>
      </c>
      <c r="B498" t="str">
        <f t="shared" si="14"/>
        <v>john m pacheco</v>
      </c>
      <c r="C498" t="s">
        <v>1106</v>
      </c>
      <c r="D498" t="s">
        <v>7</v>
      </c>
      <c r="E498" t="s">
        <v>410</v>
      </c>
      <c r="F498" t="s">
        <v>371</v>
      </c>
      <c r="G498" t="s">
        <v>626</v>
      </c>
      <c r="H498" t="s">
        <v>36</v>
      </c>
      <c r="I498" t="str">
        <f t="shared" si="15"/>
        <v/>
      </c>
    </row>
    <row r="499" spans="1:9">
      <c r="A499">
        <v>489</v>
      </c>
      <c r="B499" t="str">
        <f t="shared" si="14"/>
        <v>annemarie georgina pace</v>
      </c>
      <c r="C499" t="s">
        <v>1107</v>
      </c>
      <c r="D499" t="s">
        <v>1108</v>
      </c>
      <c r="E499" t="s">
        <v>904</v>
      </c>
      <c r="F499" t="s">
        <v>1109</v>
      </c>
      <c r="G499" t="s">
        <v>4</v>
      </c>
      <c r="H499" t="s">
        <v>10</v>
      </c>
      <c r="I499" t="str">
        <f t="shared" si="15"/>
        <v/>
      </c>
    </row>
    <row r="500" spans="1:9">
      <c r="A500">
        <v>490</v>
      </c>
      <c r="B500" t="str">
        <f t="shared" si="14"/>
        <v>carol weinstein overton</v>
      </c>
      <c r="C500" t="s">
        <v>1110</v>
      </c>
      <c r="D500" t="s">
        <v>68</v>
      </c>
      <c r="E500" t="s">
        <v>1111</v>
      </c>
      <c r="F500" t="s">
        <v>32</v>
      </c>
      <c r="G500" t="s">
        <v>1034</v>
      </c>
      <c r="H500" t="s">
        <v>36</v>
      </c>
      <c r="I500" t="str">
        <f t="shared" si="15"/>
        <v/>
      </c>
    </row>
    <row r="501" spans="1:9">
      <c r="A501">
        <v>491</v>
      </c>
      <c r="B501" t="str">
        <f t="shared" si="14"/>
        <v>daniel alexander ottolia</v>
      </c>
      <c r="C501" t="s">
        <v>1112</v>
      </c>
      <c r="D501" t="s">
        <v>23</v>
      </c>
      <c r="E501" t="s">
        <v>389</v>
      </c>
      <c r="F501" t="s">
        <v>835</v>
      </c>
      <c r="G501" t="s">
        <v>4</v>
      </c>
      <c r="H501" t="s">
        <v>36</v>
      </c>
      <c r="I501" t="str">
        <f t="shared" si="15"/>
        <v/>
      </c>
    </row>
    <row r="502" spans="1:9">
      <c r="A502">
        <v>492</v>
      </c>
      <c r="B502" t="str">
        <f t="shared" si="14"/>
        <v>james daniel otto</v>
      </c>
      <c r="C502" t="s">
        <v>1113</v>
      </c>
      <c r="D502" t="s">
        <v>90</v>
      </c>
      <c r="E502" t="s">
        <v>23</v>
      </c>
      <c r="F502" t="s">
        <v>1114</v>
      </c>
      <c r="G502" t="s">
        <v>4</v>
      </c>
      <c r="H502" t="s">
        <v>10</v>
      </c>
      <c r="I502" t="str">
        <f t="shared" si="15"/>
        <v/>
      </c>
    </row>
    <row r="503" spans="1:9">
      <c r="A503">
        <v>493</v>
      </c>
      <c r="B503" t="str">
        <f t="shared" si="14"/>
        <v>peter k ottenweller</v>
      </c>
      <c r="C503" t="s">
        <v>1115</v>
      </c>
      <c r="D503" t="s">
        <v>336</v>
      </c>
      <c r="E503" t="s">
        <v>514</v>
      </c>
      <c r="F503" t="s">
        <v>1116</v>
      </c>
      <c r="G503" t="s">
        <v>4</v>
      </c>
      <c r="H503" t="s">
        <v>10</v>
      </c>
      <c r="I503" t="str">
        <f t="shared" si="15"/>
        <v/>
      </c>
    </row>
    <row r="504" spans="1:9">
      <c r="A504">
        <v>494</v>
      </c>
      <c r="B504" t="str">
        <f t="shared" si="14"/>
        <v>benny cornelio osorio</v>
      </c>
      <c r="C504" t="s">
        <v>1117</v>
      </c>
      <c r="D504" t="s">
        <v>1118</v>
      </c>
      <c r="E504" t="s">
        <v>1119</v>
      </c>
      <c r="F504" t="s">
        <v>1749</v>
      </c>
      <c r="G504" t="s">
        <v>4</v>
      </c>
      <c r="H504" t="s">
        <v>4</v>
      </c>
      <c r="I504" t="str">
        <f t="shared" si="15"/>
        <v/>
      </c>
    </row>
    <row r="505" spans="1:9">
      <c r="A505">
        <v>495</v>
      </c>
      <c r="B505" t="str">
        <f t="shared" si="14"/>
        <v>yolanda  orozco</v>
      </c>
      <c r="C505" t="s">
        <v>1120</v>
      </c>
      <c r="D505" t="s">
        <v>1121</v>
      </c>
      <c r="E505" t="s">
        <v>4</v>
      </c>
      <c r="F505" t="s">
        <v>46</v>
      </c>
      <c r="G505" t="s">
        <v>4</v>
      </c>
      <c r="H505" t="s">
        <v>10</v>
      </c>
      <c r="I505" t="str">
        <f t="shared" si="15"/>
        <v/>
      </c>
    </row>
    <row r="506" spans="1:9">
      <c r="A506">
        <v>496</v>
      </c>
      <c r="B506" t="str">
        <f t="shared" si="14"/>
        <v>gary rico orozco</v>
      </c>
      <c r="C506" t="s">
        <v>1120</v>
      </c>
      <c r="D506" t="s">
        <v>123</v>
      </c>
      <c r="E506" t="s">
        <v>923</v>
      </c>
      <c r="F506" t="s">
        <v>633</v>
      </c>
      <c r="G506" t="s">
        <v>4</v>
      </c>
      <c r="H506" t="s">
        <v>36</v>
      </c>
      <c r="I506" t="str">
        <f t="shared" si="15"/>
        <v/>
      </c>
    </row>
    <row r="507" spans="1:9">
      <c r="A507">
        <v>497</v>
      </c>
      <c r="B507" t="str">
        <f t="shared" si="14"/>
        <v>terry byron o'rourke</v>
      </c>
      <c r="C507" t="s">
        <v>1122</v>
      </c>
      <c r="D507" t="s">
        <v>623</v>
      </c>
      <c r="E507" t="s">
        <v>1123</v>
      </c>
      <c r="F507" t="s">
        <v>19</v>
      </c>
      <c r="G507" t="s">
        <v>1124</v>
      </c>
      <c r="H507" t="s">
        <v>212</v>
      </c>
      <c r="I507" t="str">
        <f t="shared" si="15"/>
        <v/>
      </c>
    </row>
    <row r="508" spans="1:9">
      <c r="A508">
        <v>498</v>
      </c>
      <c r="B508" t="str">
        <f t="shared" si="14"/>
        <v>delbert william oros</v>
      </c>
      <c r="C508" t="s">
        <v>1125</v>
      </c>
      <c r="D508" t="s">
        <v>1126</v>
      </c>
      <c r="E508" t="s">
        <v>155</v>
      </c>
      <c r="F508" t="s">
        <v>377</v>
      </c>
      <c r="G508" t="s">
        <v>49</v>
      </c>
      <c r="H508" t="s">
        <v>36</v>
      </c>
      <c r="I508" t="str">
        <f t="shared" si="15"/>
        <v/>
      </c>
    </row>
    <row r="509" spans="1:9">
      <c r="A509">
        <v>499</v>
      </c>
      <c r="B509" t="str">
        <f t="shared" si="14"/>
        <v>george l orndoff</v>
      </c>
      <c r="C509" t="s">
        <v>1127</v>
      </c>
      <c r="D509" t="s">
        <v>237</v>
      </c>
      <c r="E509" t="s">
        <v>77</v>
      </c>
      <c r="F509" t="s">
        <v>32</v>
      </c>
      <c r="G509" t="s">
        <v>472</v>
      </c>
      <c r="H509" t="s">
        <v>10</v>
      </c>
      <c r="I509" t="str">
        <f t="shared" si="15"/>
        <v/>
      </c>
    </row>
    <row r="510" spans="1:9">
      <c r="A510">
        <v>500</v>
      </c>
      <c r="B510" t="str">
        <f t="shared" si="14"/>
        <v>adrienne a orfield</v>
      </c>
      <c r="C510" t="s">
        <v>1128</v>
      </c>
      <c r="D510" t="s">
        <v>1129</v>
      </c>
      <c r="E510" t="s">
        <v>39</v>
      </c>
      <c r="F510" t="s">
        <v>101</v>
      </c>
      <c r="G510" t="s">
        <v>102</v>
      </c>
      <c r="H510" t="s">
        <v>103</v>
      </c>
      <c r="I510" t="str">
        <f t="shared" si="15"/>
        <v/>
      </c>
    </row>
    <row r="511" spans="1:9">
      <c r="A511">
        <v>501</v>
      </c>
      <c r="B511" t="str">
        <f t="shared" si="14"/>
        <v>charlotte jean orcutt</v>
      </c>
      <c r="C511" t="s">
        <v>1130</v>
      </c>
      <c r="D511" t="s">
        <v>86</v>
      </c>
      <c r="E511" t="s">
        <v>1131</v>
      </c>
      <c r="F511" t="s">
        <v>1132</v>
      </c>
      <c r="G511" t="s">
        <v>4</v>
      </c>
      <c r="H511" t="s">
        <v>10</v>
      </c>
      <c r="I511" t="str">
        <f t="shared" si="15"/>
        <v/>
      </c>
    </row>
    <row r="512" spans="1:9">
      <c r="A512">
        <v>502</v>
      </c>
      <c r="B512" t="str">
        <f t="shared" si="14"/>
        <v>rafael(ralph) a ongkeko</v>
      </c>
      <c r="C512" t="s">
        <v>1133</v>
      </c>
      <c r="D512" t="s">
        <v>1134</v>
      </c>
      <c r="E512" t="s">
        <v>39</v>
      </c>
      <c r="F512" t="s">
        <v>49</v>
      </c>
      <c r="G512" t="s">
        <v>40</v>
      </c>
      <c r="H512" t="s">
        <v>10</v>
      </c>
      <c r="I512" t="str">
        <f t="shared" si="15"/>
        <v/>
      </c>
    </row>
    <row r="513" spans="1:9">
      <c r="A513">
        <v>503</v>
      </c>
      <c r="B513" t="str">
        <f t="shared" si="14"/>
        <v>tomson t. ong</v>
      </c>
      <c r="C513" t="s">
        <v>1135</v>
      </c>
      <c r="D513" t="s">
        <v>1136</v>
      </c>
      <c r="E513" t="s">
        <v>636</v>
      </c>
      <c r="F513" t="s">
        <v>32</v>
      </c>
      <c r="G513" t="s">
        <v>40</v>
      </c>
      <c r="H513" t="s">
        <v>10</v>
      </c>
      <c r="I513" t="str">
        <f t="shared" si="15"/>
        <v/>
      </c>
    </row>
    <row r="514" spans="1:9">
      <c r="A514">
        <v>504</v>
      </c>
      <c r="B514" t="str">
        <f t="shared" si="14"/>
        <v>vincent james oneill</v>
      </c>
      <c r="C514" t="s">
        <v>1137</v>
      </c>
      <c r="D514" t="s">
        <v>1138</v>
      </c>
      <c r="E514" t="s">
        <v>90</v>
      </c>
      <c r="F514" t="s">
        <v>1139</v>
      </c>
      <c r="G514" t="s">
        <v>81</v>
      </c>
      <c r="H514" t="s">
        <v>10</v>
      </c>
      <c r="I514" t="str">
        <f t="shared" si="15"/>
        <v/>
      </c>
    </row>
    <row r="515" spans="1:9">
      <c r="A515">
        <v>505</v>
      </c>
      <c r="B515" t="str">
        <f t="shared" ref="B515:B578" si="16">TRIM($D515) &amp; " " &amp; TRIM($E515) &amp; " " &amp; TRIM($C515)</f>
        <v>robert francis o'neill</v>
      </c>
      <c r="C515" t="s">
        <v>1140</v>
      </c>
      <c r="D515" t="s">
        <v>72</v>
      </c>
      <c r="E515" t="s">
        <v>405</v>
      </c>
      <c r="F515" t="s">
        <v>101</v>
      </c>
      <c r="G515" t="s">
        <v>102</v>
      </c>
      <c r="H515" t="s">
        <v>103</v>
      </c>
      <c r="I515" t="str">
        <f t="shared" ref="I515:I578" si="17">IF(NOT(ISERROR(FIND("judge",F515))),"judge","")</f>
        <v/>
      </c>
    </row>
    <row r="516" spans="1:9">
      <c r="A516">
        <v>506</v>
      </c>
      <c r="B516" t="str">
        <f t="shared" si="16"/>
        <v>mary ann o'malley</v>
      </c>
      <c r="C516" t="s">
        <v>1141</v>
      </c>
      <c r="D516" t="s">
        <v>126</v>
      </c>
      <c r="E516" t="s">
        <v>3</v>
      </c>
      <c r="F516" t="s">
        <v>755</v>
      </c>
      <c r="G516" t="s">
        <v>36</v>
      </c>
      <c r="H516" t="s">
        <v>10</v>
      </c>
      <c r="I516" t="str">
        <f t="shared" si="17"/>
        <v/>
      </c>
    </row>
    <row r="517" spans="1:9">
      <c r="A517">
        <v>507</v>
      </c>
      <c r="B517" t="str">
        <f t="shared" si="16"/>
        <v>lynn d olson</v>
      </c>
      <c r="C517" t="s">
        <v>1142</v>
      </c>
      <c r="D517" t="s">
        <v>197</v>
      </c>
      <c r="E517" t="s">
        <v>570</v>
      </c>
      <c r="F517" t="s">
        <v>1143</v>
      </c>
      <c r="G517" t="s">
        <v>49</v>
      </c>
      <c r="H517" t="s">
        <v>36</v>
      </c>
      <c r="I517" t="str">
        <f t="shared" si="17"/>
        <v/>
      </c>
    </row>
    <row r="518" spans="1:9">
      <c r="A518">
        <v>508</v>
      </c>
      <c r="B518" t="str">
        <f t="shared" si="16"/>
        <v>charlaine frieda olmedo</v>
      </c>
      <c r="C518" t="s">
        <v>1144</v>
      </c>
      <c r="D518" t="s">
        <v>1145</v>
      </c>
      <c r="E518" t="s">
        <v>1146</v>
      </c>
      <c r="F518" t="s">
        <v>4063</v>
      </c>
      <c r="G518" t="s">
        <v>4</v>
      </c>
      <c r="H518" t="s">
        <v>4</v>
      </c>
      <c r="I518" t="str">
        <f t="shared" si="17"/>
        <v/>
      </c>
    </row>
    <row r="519" spans="1:9">
      <c r="A519">
        <v>509</v>
      </c>
      <c r="B519" t="str">
        <f t="shared" si="16"/>
        <v>elizabeth ufkes olivera</v>
      </c>
      <c r="C519" t="s">
        <v>1147</v>
      </c>
      <c r="D519" t="s">
        <v>191</v>
      </c>
      <c r="E519" t="s">
        <v>1148</v>
      </c>
      <c r="F519" t="s">
        <v>4064</v>
      </c>
      <c r="G519" t="s">
        <v>4</v>
      </c>
      <c r="H519" t="s">
        <v>4</v>
      </c>
      <c r="I519" t="str">
        <f t="shared" si="17"/>
        <v/>
      </c>
    </row>
    <row r="520" spans="1:9">
      <c r="A520">
        <v>510</v>
      </c>
      <c r="B520" t="str">
        <f t="shared" si="16"/>
        <v>robert harocn oliver</v>
      </c>
      <c r="C520" t="s">
        <v>1149</v>
      </c>
      <c r="D520" t="s">
        <v>72</v>
      </c>
      <c r="E520" t="s">
        <v>1150</v>
      </c>
      <c r="F520" t="s">
        <v>1151</v>
      </c>
      <c r="G520" t="s">
        <v>4</v>
      </c>
      <c r="H520" t="s">
        <v>36</v>
      </c>
      <c r="I520" t="str">
        <f t="shared" si="17"/>
        <v/>
      </c>
    </row>
    <row r="521" spans="1:9">
      <c r="A521">
        <v>511</v>
      </c>
      <c r="B521" t="str">
        <f t="shared" si="16"/>
        <v>kathleen elizabeth o'leary</v>
      </c>
      <c r="C521" t="s">
        <v>1152</v>
      </c>
      <c r="D521" t="s">
        <v>188</v>
      </c>
      <c r="E521" t="s">
        <v>191</v>
      </c>
      <c r="F521" t="s">
        <v>19</v>
      </c>
      <c r="G521" t="s">
        <v>1153</v>
      </c>
      <c r="H521" t="s">
        <v>212</v>
      </c>
      <c r="I521" t="str">
        <f t="shared" si="17"/>
        <v/>
      </c>
    </row>
    <row r="522" spans="1:9">
      <c r="A522">
        <v>512</v>
      </c>
      <c r="B522" t="str">
        <f t="shared" si="16"/>
        <v>margaret lynn oldendorf</v>
      </c>
      <c r="C522" t="s">
        <v>1154</v>
      </c>
      <c r="D522" t="s">
        <v>1016</v>
      </c>
      <c r="E522" t="s">
        <v>197</v>
      </c>
      <c r="F522" t="s">
        <v>46</v>
      </c>
      <c r="G522" t="s">
        <v>4</v>
      </c>
      <c r="H522" t="s">
        <v>10</v>
      </c>
      <c r="I522" t="str">
        <f t="shared" si="17"/>
        <v/>
      </c>
    </row>
    <row r="523" spans="1:9">
      <c r="A523">
        <v>513</v>
      </c>
      <c r="B523" t="str">
        <f t="shared" si="16"/>
        <v>dan thomas oki</v>
      </c>
      <c r="C523" t="s">
        <v>1155</v>
      </c>
      <c r="D523" t="s">
        <v>1156</v>
      </c>
      <c r="E523" t="s">
        <v>27</v>
      </c>
      <c r="F523" t="s">
        <v>46</v>
      </c>
      <c r="G523" t="s">
        <v>4</v>
      </c>
      <c r="H523" t="s">
        <v>4</v>
      </c>
      <c r="I523" t="str">
        <f t="shared" si="17"/>
        <v/>
      </c>
    </row>
    <row r="524" spans="1:9">
      <c r="A524">
        <v>514</v>
      </c>
      <c r="B524" t="str">
        <f t="shared" si="16"/>
        <v>vincent hichiro okamoto</v>
      </c>
      <c r="C524" t="s">
        <v>1157</v>
      </c>
      <c r="D524" t="s">
        <v>1138</v>
      </c>
      <c r="E524" t="s">
        <v>1158</v>
      </c>
      <c r="F524" t="s">
        <v>25</v>
      </c>
      <c r="G524" t="s">
        <v>861</v>
      </c>
      <c r="H524" t="s">
        <v>10</v>
      </c>
      <c r="I524" t="str">
        <f t="shared" si="17"/>
        <v/>
      </c>
    </row>
    <row r="525" spans="1:9">
      <c r="A525">
        <v>515</v>
      </c>
      <c r="B525" t="str">
        <f t="shared" si="16"/>
        <v>sam  ohta</v>
      </c>
      <c r="C525" t="s">
        <v>1159</v>
      </c>
      <c r="D525" t="s">
        <v>1160</v>
      </c>
      <c r="E525" t="s">
        <v>4</v>
      </c>
      <c r="F525" t="s">
        <v>4000</v>
      </c>
      <c r="G525" t="s">
        <v>4</v>
      </c>
      <c r="H525" t="s">
        <v>4</v>
      </c>
      <c r="I525" t="str">
        <f t="shared" si="17"/>
        <v/>
      </c>
    </row>
    <row r="526" spans="1:9">
      <c r="A526">
        <v>516</v>
      </c>
      <c r="B526" t="str">
        <f t="shared" si="16"/>
        <v>john d oglesby</v>
      </c>
      <c r="C526" t="s">
        <v>1161</v>
      </c>
      <c r="D526" t="s">
        <v>7</v>
      </c>
      <c r="E526" t="s">
        <v>570</v>
      </c>
      <c r="F526" t="s">
        <v>32</v>
      </c>
      <c r="G526" t="s">
        <v>1162</v>
      </c>
      <c r="H526" t="s">
        <v>10</v>
      </c>
      <c r="I526" t="str">
        <f t="shared" si="17"/>
        <v/>
      </c>
    </row>
    <row r="527" spans="1:9">
      <c r="A527">
        <v>517</v>
      </c>
      <c r="B527" t="str">
        <f t="shared" si="16"/>
        <v>dale  ocden steven</v>
      </c>
      <c r="C527" t="s">
        <v>1163</v>
      </c>
      <c r="D527" t="s">
        <v>215</v>
      </c>
      <c r="E527" t="s">
        <v>4</v>
      </c>
      <c r="F527" t="s">
        <v>46</v>
      </c>
      <c r="G527" t="s">
        <v>4</v>
      </c>
      <c r="H527" t="s">
        <v>10</v>
      </c>
      <c r="I527" t="str">
        <f t="shared" si="17"/>
        <v/>
      </c>
    </row>
    <row r="528" spans="1:9">
      <c r="A528">
        <v>518</v>
      </c>
      <c r="B528" t="str">
        <f t="shared" si="16"/>
        <v>michael john o'gara</v>
      </c>
      <c r="C528" t="s">
        <v>1164</v>
      </c>
      <c r="D528" t="s">
        <v>219</v>
      </c>
      <c r="E528" t="s">
        <v>7</v>
      </c>
      <c r="F528" t="s">
        <v>1749</v>
      </c>
      <c r="G528" t="s">
        <v>4</v>
      </c>
      <c r="H528" t="s">
        <v>4</v>
      </c>
      <c r="I528" t="str">
        <f t="shared" si="17"/>
        <v/>
      </c>
    </row>
    <row r="529" spans="1:9">
      <c r="A529">
        <v>519</v>
      </c>
      <c r="B529" t="str">
        <f t="shared" si="16"/>
        <v>joseph wilde o'flaherty</v>
      </c>
      <c r="C529" t="s">
        <v>1165</v>
      </c>
      <c r="D529" t="s">
        <v>80</v>
      </c>
      <c r="E529" t="s">
        <v>1166</v>
      </c>
      <c r="F529" t="s">
        <v>1167</v>
      </c>
      <c r="G529" t="s">
        <v>4</v>
      </c>
      <c r="H529" t="s">
        <v>36</v>
      </c>
      <c r="I529" t="str">
        <f t="shared" si="17"/>
        <v/>
      </c>
    </row>
    <row r="530" spans="1:9">
      <c r="A530">
        <v>520</v>
      </c>
      <c r="B530" t="str">
        <f t="shared" si="16"/>
        <v>joanne b. o'donnell</v>
      </c>
      <c r="C530" t="s">
        <v>1168</v>
      </c>
      <c r="D530" t="s">
        <v>1169</v>
      </c>
      <c r="E530" t="s">
        <v>400</v>
      </c>
      <c r="F530" t="s">
        <v>1749</v>
      </c>
      <c r="G530" t="s">
        <v>4</v>
      </c>
      <c r="H530" t="s">
        <v>4</v>
      </c>
      <c r="I530" t="str">
        <f t="shared" si="17"/>
        <v/>
      </c>
    </row>
    <row r="531" spans="1:9">
      <c r="A531">
        <v>521</v>
      </c>
      <c r="B531" t="str">
        <f t="shared" si="16"/>
        <v>kathleen rose o'connor</v>
      </c>
      <c r="C531" t="s">
        <v>1170</v>
      </c>
      <c r="D531" t="s">
        <v>188</v>
      </c>
      <c r="E531" t="s">
        <v>863</v>
      </c>
      <c r="F531" t="s">
        <v>1171</v>
      </c>
      <c r="G531" t="s">
        <v>922</v>
      </c>
      <c r="H531" t="s">
        <v>1172</v>
      </c>
      <c r="I531" t="str">
        <f t="shared" si="17"/>
        <v/>
      </c>
    </row>
    <row r="532" spans="1:9">
      <c r="A532">
        <v>522</v>
      </c>
      <c r="B532" t="str">
        <f t="shared" si="16"/>
        <v>beverly reid o'conneli</v>
      </c>
      <c r="C532" t="s">
        <v>1173</v>
      </c>
      <c r="D532" t="s">
        <v>1174</v>
      </c>
      <c r="E532" t="s">
        <v>956</v>
      </c>
      <c r="F532" t="s">
        <v>25</v>
      </c>
      <c r="G532" t="s">
        <v>4</v>
      </c>
      <c r="H532" t="s">
        <v>10</v>
      </c>
      <c r="I532" t="str">
        <f t="shared" si="17"/>
        <v/>
      </c>
    </row>
    <row r="533" spans="1:9">
      <c r="A533">
        <v>523</v>
      </c>
      <c r="B533" t="str">
        <f t="shared" si="16"/>
        <v>gilbert glen ochoa</v>
      </c>
      <c r="C533" t="s">
        <v>1175</v>
      </c>
      <c r="D533" t="s">
        <v>1176</v>
      </c>
      <c r="E533" t="s">
        <v>950</v>
      </c>
      <c r="F533" t="s">
        <v>49</v>
      </c>
      <c r="G533" t="s">
        <v>411</v>
      </c>
      <c r="H533" t="s">
        <v>10</v>
      </c>
      <c r="I533" t="str">
        <f t="shared" si="17"/>
        <v/>
      </c>
    </row>
    <row r="534" spans="1:9">
      <c r="A534">
        <v>524</v>
      </c>
      <c r="B534" t="str">
        <f t="shared" si="16"/>
        <v>frank joseph ochoa</v>
      </c>
      <c r="C534" t="s">
        <v>1175</v>
      </c>
      <c r="D534" t="s">
        <v>605</v>
      </c>
      <c r="E534" t="s">
        <v>80</v>
      </c>
      <c r="F534" t="s">
        <v>1177</v>
      </c>
      <c r="G534" t="s">
        <v>1178</v>
      </c>
      <c r="H534" t="s">
        <v>10</v>
      </c>
      <c r="I534" t="str">
        <f t="shared" si="17"/>
        <v/>
      </c>
    </row>
    <row r="535" spans="1:9">
      <c r="A535">
        <v>525</v>
      </c>
      <c r="B535" t="str">
        <f t="shared" si="16"/>
        <v>ricardo roces ocampo</v>
      </c>
      <c r="C535" t="s">
        <v>1179</v>
      </c>
      <c r="D535" t="s">
        <v>1180</v>
      </c>
      <c r="E535" t="s">
        <v>1181</v>
      </c>
      <c r="F535" t="s">
        <v>1182</v>
      </c>
      <c r="G535" t="s">
        <v>135</v>
      </c>
      <c r="H535" t="s">
        <v>103</v>
      </c>
      <c r="I535" t="str">
        <f t="shared" si="17"/>
        <v/>
      </c>
    </row>
    <row r="536" spans="1:9">
      <c r="A536">
        <v>526</v>
      </c>
      <c r="B536" t="str">
        <f t="shared" si="16"/>
        <v>david b. oberholtzer</v>
      </c>
      <c r="C536" t="s">
        <v>1183</v>
      </c>
      <c r="D536" t="s">
        <v>28</v>
      </c>
      <c r="E536" t="s">
        <v>400</v>
      </c>
      <c r="F536" t="s">
        <v>101</v>
      </c>
      <c r="G536" t="s">
        <v>102</v>
      </c>
      <c r="H536" t="s">
        <v>103</v>
      </c>
      <c r="I536" t="str">
        <f t="shared" si="17"/>
        <v/>
      </c>
    </row>
    <row r="537" spans="1:9">
      <c r="A537">
        <v>527</v>
      </c>
      <c r="B537" t="str">
        <f t="shared" si="16"/>
        <v>james e oakley</v>
      </c>
      <c r="C537" t="s">
        <v>1184</v>
      </c>
      <c r="D537" t="s">
        <v>90</v>
      </c>
      <c r="E537" t="s">
        <v>134</v>
      </c>
      <c r="F537" t="s">
        <v>8</v>
      </c>
      <c r="G537" t="s">
        <v>1185</v>
      </c>
      <c r="H537" t="s">
        <v>36</v>
      </c>
      <c r="I537" t="str">
        <f t="shared" si="17"/>
        <v/>
      </c>
    </row>
    <row r="538" spans="1:9">
      <c r="A538">
        <v>528</v>
      </c>
      <c r="B538" t="str">
        <f t="shared" si="16"/>
        <v>kimberly jeanne nystrom-geist</v>
      </c>
      <c r="C538" t="s">
        <v>1186</v>
      </c>
      <c r="D538" t="s">
        <v>1187</v>
      </c>
      <c r="E538" t="s">
        <v>1188</v>
      </c>
      <c r="F538" t="s">
        <v>633</v>
      </c>
      <c r="G538" t="s">
        <v>4</v>
      </c>
      <c r="H538" t="s">
        <v>10</v>
      </c>
      <c r="I538" t="str">
        <f t="shared" si="17"/>
        <v/>
      </c>
    </row>
    <row r="539" spans="1:9">
      <c r="A539">
        <v>529</v>
      </c>
      <c r="B539" t="str">
        <f t="shared" si="16"/>
        <v>troy lynne nunley</v>
      </c>
      <c r="C539" t="s">
        <v>1189</v>
      </c>
      <c r="D539" t="s">
        <v>1190</v>
      </c>
      <c r="E539" t="s">
        <v>1191</v>
      </c>
      <c r="F539" t="s">
        <v>714</v>
      </c>
      <c r="G539" t="s">
        <v>4</v>
      </c>
      <c r="H539" t="s">
        <v>36</v>
      </c>
      <c r="I539" t="str">
        <f t="shared" si="17"/>
        <v/>
      </c>
    </row>
    <row r="540" spans="1:9">
      <c r="A540">
        <v>530</v>
      </c>
      <c r="B540" t="str">
        <f t="shared" si="16"/>
        <v>thomas peter nugent</v>
      </c>
      <c r="C540" t="s">
        <v>1192</v>
      </c>
      <c r="D540" t="s">
        <v>27</v>
      </c>
      <c r="E540" t="s">
        <v>336</v>
      </c>
      <c r="F540" t="s">
        <v>101</v>
      </c>
      <c r="G540" t="s">
        <v>102</v>
      </c>
      <c r="H540" t="s">
        <v>103</v>
      </c>
      <c r="I540" t="str">
        <f t="shared" si="17"/>
        <v/>
      </c>
    </row>
    <row r="541" spans="1:9">
      <c r="A541">
        <v>531</v>
      </c>
      <c r="B541" t="str">
        <f t="shared" si="16"/>
        <v>karen joy nudell</v>
      </c>
      <c r="C541" t="s">
        <v>1193</v>
      </c>
      <c r="D541" t="s">
        <v>889</v>
      </c>
      <c r="E541" t="s">
        <v>1194</v>
      </c>
      <c r="F541" t="s">
        <v>4062</v>
      </c>
      <c r="G541" t="s">
        <v>1195</v>
      </c>
      <c r="H541" t="s">
        <v>204</v>
      </c>
      <c r="I541" t="str">
        <f t="shared" si="17"/>
        <v/>
      </c>
    </row>
    <row r="542" spans="1:9">
      <c r="A542">
        <v>532</v>
      </c>
      <c r="B542" t="str">
        <f t="shared" si="16"/>
        <v>lisa a novak</v>
      </c>
      <c r="C542" t="s">
        <v>1196</v>
      </c>
      <c r="D542" t="s">
        <v>753</v>
      </c>
      <c r="E542" t="s">
        <v>39</v>
      </c>
      <c r="F542" t="s">
        <v>1197</v>
      </c>
      <c r="G542" t="s">
        <v>4</v>
      </c>
      <c r="H542" t="s">
        <v>36</v>
      </c>
      <c r="I542" t="str">
        <f t="shared" si="17"/>
        <v/>
      </c>
    </row>
    <row r="543" spans="1:9">
      <c r="A543">
        <v>533</v>
      </c>
      <c r="B543" t="str">
        <f t="shared" si="16"/>
        <v>diane  northway</v>
      </c>
      <c r="C543" t="s">
        <v>1198</v>
      </c>
      <c r="D543" t="s">
        <v>911</v>
      </c>
      <c r="E543" t="s">
        <v>4</v>
      </c>
      <c r="F543" t="s">
        <v>4065</v>
      </c>
      <c r="G543" t="s">
        <v>4</v>
      </c>
      <c r="H543" t="s">
        <v>4</v>
      </c>
      <c r="I543" t="str">
        <f t="shared" si="17"/>
        <v/>
      </c>
    </row>
    <row r="544" spans="1:9">
      <c r="A544">
        <v>534</v>
      </c>
      <c r="B544" t="str">
        <f t="shared" si="16"/>
        <v>ronald andrew northup</v>
      </c>
      <c r="C544" t="s">
        <v>1199</v>
      </c>
      <c r="D544" t="s">
        <v>413</v>
      </c>
      <c r="E544" t="s">
        <v>170</v>
      </c>
      <c r="F544" t="s">
        <v>1200</v>
      </c>
      <c r="G544" t="s">
        <v>4</v>
      </c>
      <c r="H544" t="s">
        <v>10</v>
      </c>
      <c r="I544" t="str">
        <f t="shared" si="17"/>
        <v/>
      </c>
    </row>
    <row r="545" spans="1:9">
      <c r="A545">
        <v>535</v>
      </c>
      <c r="B545" t="str">
        <f t="shared" si="16"/>
        <v>yolanda neill nonthridoe</v>
      </c>
      <c r="C545" t="s">
        <v>1201</v>
      </c>
      <c r="D545" t="s">
        <v>1121</v>
      </c>
      <c r="E545" t="s">
        <v>1202</v>
      </c>
      <c r="F545" t="s">
        <v>4066</v>
      </c>
      <c r="G545" t="s">
        <v>4</v>
      </c>
      <c r="H545" t="s">
        <v>4</v>
      </c>
      <c r="I545" t="str">
        <f t="shared" si="17"/>
        <v/>
      </c>
    </row>
    <row r="546" spans="1:9">
      <c r="A546">
        <v>536</v>
      </c>
      <c r="B546" t="str">
        <f t="shared" si="16"/>
        <v>cary h nishimoto</v>
      </c>
      <c r="C546" t="s">
        <v>1203</v>
      </c>
      <c r="D546" t="s">
        <v>1204</v>
      </c>
      <c r="E546" t="s">
        <v>250</v>
      </c>
      <c r="F546" t="s">
        <v>1964</v>
      </c>
      <c r="G546" t="s">
        <v>4</v>
      </c>
      <c r="H546" t="s">
        <v>4</v>
      </c>
      <c r="I546" t="str">
        <f t="shared" si="17"/>
        <v/>
      </c>
    </row>
    <row r="547" spans="1:9">
      <c r="A547">
        <v>537</v>
      </c>
      <c r="B547" t="str">
        <f t="shared" si="16"/>
        <v>daniel toru  nishigaya daniel</v>
      </c>
      <c r="C547" t="s">
        <v>1205</v>
      </c>
      <c r="D547" t="s">
        <v>1206</v>
      </c>
      <c r="E547" t="s">
        <v>4</v>
      </c>
      <c r="F547" t="s">
        <v>106</v>
      </c>
      <c r="G547" t="s">
        <v>4</v>
      </c>
      <c r="H547" t="s">
        <v>10</v>
      </c>
      <c r="I547" t="str">
        <f t="shared" si="17"/>
        <v/>
      </c>
    </row>
    <row r="548" spans="1:9">
      <c r="A548">
        <v>538</v>
      </c>
      <c r="B548" t="str">
        <f t="shared" si="16"/>
        <v>patricia  nieto</v>
      </c>
      <c r="C548" t="s">
        <v>1207</v>
      </c>
      <c r="D548" t="s">
        <v>419</v>
      </c>
      <c r="E548" t="s">
        <v>4</v>
      </c>
      <c r="F548" t="s">
        <v>25</v>
      </c>
      <c r="G548" t="s">
        <v>637</v>
      </c>
      <c r="H548" t="s">
        <v>10</v>
      </c>
      <c r="I548" t="str">
        <f t="shared" si="17"/>
        <v/>
      </c>
    </row>
    <row r="549" spans="1:9">
      <c r="A549">
        <v>539</v>
      </c>
      <c r="B549" t="str">
        <f t="shared" si="16"/>
        <v>george w nicholson</v>
      </c>
      <c r="C549" t="s">
        <v>1208</v>
      </c>
      <c r="D549" t="s">
        <v>237</v>
      </c>
      <c r="E549" t="s">
        <v>583</v>
      </c>
      <c r="F549" t="s">
        <v>19</v>
      </c>
      <c r="G549" t="s">
        <v>1209</v>
      </c>
      <c r="H549" t="s">
        <v>212</v>
      </c>
      <c r="I549" t="str">
        <f t="shared" si="17"/>
        <v/>
      </c>
    </row>
    <row r="550" spans="1:9">
      <c r="A550">
        <v>540</v>
      </c>
      <c r="B550" t="str">
        <f t="shared" si="16"/>
        <v>colleen  nichols</v>
      </c>
      <c r="C550" t="s">
        <v>1210</v>
      </c>
      <c r="D550" t="s">
        <v>193</v>
      </c>
      <c r="E550" t="s">
        <v>4</v>
      </c>
      <c r="F550" t="s">
        <v>4060</v>
      </c>
      <c r="G550" t="s">
        <v>4</v>
      </c>
      <c r="H550" t="s">
        <v>4</v>
      </c>
      <c r="I550" t="str">
        <f t="shared" si="17"/>
        <v/>
      </c>
    </row>
    <row r="551" spans="1:9">
      <c r="A551">
        <v>541</v>
      </c>
      <c r="B551" t="str">
        <f t="shared" si="16"/>
        <v>john nho trong nguyen</v>
      </c>
      <c r="C551" t="s">
        <v>1211</v>
      </c>
      <c r="D551" t="s">
        <v>1212</v>
      </c>
      <c r="E551" t="s">
        <v>1213</v>
      </c>
      <c r="F551" t="s">
        <v>32</v>
      </c>
      <c r="G551" t="s">
        <v>559</v>
      </c>
      <c r="H551" t="s">
        <v>10</v>
      </c>
      <c r="I551" t="str">
        <f t="shared" si="17"/>
        <v/>
      </c>
    </row>
    <row r="552" spans="1:9">
      <c r="A552">
        <v>542</v>
      </c>
      <c r="B552" t="str">
        <f t="shared" si="16"/>
        <v>nancy l. newman</v>
      </c>
      <c r="C552" t="s">
        <v>1214</v>
      </c>
      <c r="D552" t="s">
        <v>542</v>
      </c>
      <c r="E552" t="s">
        <v>257</v>
      </c>
      <c r="F552" t="s">
        <v>1215</v>
      </c>
      <c r="G552" t="s">
        <v>4</v>
      </c>
      <c r="H552" t="s">
        <v>103</v>
      </c>
      <c r="I552" t="str">
        <f t="shared" si="17"/>
        <v/>
      </c>
    </row>
    <row r="553" spans="1:9">
      <c r="A553">
        <v>543</v>
      </c>
      <c r="B553" t="str">
        <f t="shared" si="16"/>
        <v>william renwickjr nevitt</v>
      </c>
      <c r="C553" t="s">
        <v>1216</v>
      </c>
      <c r="D553" t="s">
        <v>155</v>
      </c>
      <c r="E553" t="s">
        <v>1217</v>
      </c>
      <c r="F553" t="s">
        <v>101</v>
      </c>
      <c r="G553" t="s">
        <v>102</v>
      </c>
      <c r="H553" t="s">
        <v>103</v>
      </c>
      <c r="I553" t="str">
        <f t="shared" si="17"/>
        <v/>
      </c>
    </row>
    <row r="554" spans="1:9">
      <c r="A554">
        <v>544</v>
      </c>
      <c r="B554" t="str">
        <f t="shared" si="16"/>
        <v>mark grant nelson sr.</v>
      </c>
      <c r="C554" t="s">
        <v>1218</v>
      </c>
      <c r="D554" t="s">
        <v>45</v>
      </c>
      <c r="E554" t="s">
        <v>920</v>
      </c>
      <c r="F554" t="s">
        <v>1219</v>
      </c>
      <c r="G554" t="s">
        <v>1220</v>
      </c>
      <c r="H554" t="s">
        <v>103</v>
      </c>
      <c r="I554" t="str">
        <f t="shared" si="17"/>
        <v/>
      </c>
    </row>
    <row r="555" spans="1:9">
      <c r="A555">
        <v>545</v>
      </c>
      <c r="B555" t="str">
        <f t="shared" si="16"/>
        <v>maren e. nelson</v>
      </c>
      <c r="C555" t="s">
        <v>1221</v>
      </c>
      <c r="D555" t="s">
        <v>1222</v>
      </c>
      <c r="E555" t="s">
        <v>127</v>
      </c>
      <c r="F555" t="s">
        <v>8</v>
      </c>
      <c r="G555" t="s">
        <v>135</v>
      </c>
      <c r="H555" t="s">
        <v>10</v>
      </c>
      <c r="I555" t="str">
        <f t="shared" si="17"/>
        <v/>
      </c>
    </row>
    <row r="556" spans="1:9">
      <c r="A556">
        <v>546</v>
      </c>
      <c r="B556" t="str">
        <f t="shared" si="16"/>
        <v>earl bradley nelson</v>
      </c>
      <c r="C556" t="s">
        <v>1221</v>
      </c>
      <c r="D556" t="s">
        <v>1223</v>
      </c>
      <c r="E556" t="s">
        <v>1224</v>
      </c>
      <c r="F556" t="s">
        <v>567</v>
      </c>
      <c r="G556" t="s">
        <v>4</v>
      </c>
      <c r="H556" t="s">
        <v>10</v>
      </c>
      <c r="I556" t="str">
        <f t="shared" si="17"/>
        <v/>
      </c>
    </row>
    <row r="557" spans="1:9">
      <c r="A557">
        <v>547</v>
      </c>
      <c r="B557" t="str">
        <f t="shared" si="16"/>
        <v>david eugene nelson</v>
      </c>
      <c r="C557" t="s">
        <v>1221</v>
      </c>
      <c r="D557" t="s">
        <v>28</v>
      </c>
      <c r="E557" t="s">
        <v>407</v>
      </c>
      <c r="F557" t="s">
        <v>1225</v>
      </c>
      <c r="G557" t="s">
        <v>4</v>
      </c>
      <c r="H557" t="s">
        <v>10</v>
      </c>
      <c r="I557" t="str">
        <f t="shared" si="17"/>
        <v/>
      </c>
    </row>
    <row r="558" spans="1:9">
      <c r="A558">
        <v>548</v>
      </c>
      <c r="B558" t="str">
        <f t="shared" si="16"/>
        <v>henry e. needham</v>
      </c>
      <c r="C558" t="s">
        <v>1226</v>
      </c>
      <c r="D558" t="s">
        <v>266</v>
      </c>
      <c r="E558" t="s">
        <v>127</v>
      </c>
      <c r="F558" t="s">
        <v>1227</v>
      </c>
      <c r="G558" t="s">
        <v>4</v>
      </c>
      <c r="H558" t="s">
        <v>212</v>
      </c>
      <c r="I558" t="str">
        <f t="shared" si="17"/>
        <v/>
      </c>
    </row>
    <row r="559" spans="1:9">
      <c r="A559">
        <v>549</v>
      </c>
      <c r="B559" t="str">
        <f t="shared" si="16"/>
        <v>rene  navarro</v>
      </c>
      <c r="C559" t="s">
        <v>1228</v>
      </c>
      <c r="D559" t="s">
        <v>305</v>
      </c>
      <c r="E559" t="s">
        <v>4</v>
      </c>
      <c r="F559" t="s">
        <v>2710</v>
      </c>
      <c r="G559" t="s">
        <v>4</v>
      </c>
      <c r="H559" t="s">
        <v>4</v>
      </c>
      <c r="I559" t="str">
        <f t="shared" si="17"/>
        <v/>
      </c>
    </row>
    <row r="560" spans="1:9">
      <c r="A560">
        <v>550</v>
      </c>
      <c r="B560" t="str">
        <f t="shared" si="16"/>
        <v>michael  nash</v>
      </c>
      <c r="C560" t="s">
        <v>1229</v>
      </c>
      <c r="D560" t="s">
        <v>219</v>
      </c>
      <c r="E560" t="s">
        <v>4</v>
      </c>
      <c r="F560" t="s">
        <v>4034</v>
      </c>
      <c r="G560" t="s">
        <v>4</v>
      </c>
      <c r="H560" t="s">
        <v>4</v>
      </c>
      <c r="I560" t="str">
        <f t="shared" si="17"/>
        <v/>
      </c>
    </row>
    <row r="561" spans="1:9">
      <c r="A561">
        <v>551</v>
      </c>
      <c r="B561" t="str">
        <f t="shared" si="16"/>
        <v>lloyd m. nash</v>
      </c>
      <c r="C561" t="s">
        <v>1229</v>
      </c>
      <c r="D561" t="s">
        <v>1230</v>
      </c>
      <c r="E561" t="s">
        <v>189</v>
      </c>
      <c r="F561" t="s">
        <v>46</v>
      </c>
      <c r="G561" t="s">
        <v>4</v>
      </c>
      <c r="H561" t="s">
        <v>10</v>
      </c>
      <c r="I561" t="str">
        <f t="shared" si="17"/>
        <v/>
      </c>
    </row>
    <row r="562" spans="1:9">
      <c r="A562">
        <v>552</v>
      </c>
      <c r="B562" t="str">
        <f t="shared" si="16"/>
        <v>gilbert  nares</v>
      </c>
      <c r="C562" t="s">
        <v>1231</v>
      </c>
      <c r="D562" t="s">
        <v>1176</v>
      </c>
      <c r="E562" t="s">
        <v>4</v>
      </c>
      <c r="F562" t="s">
        <v>19</v>
      </c>
      <c r="G562" t="s">
        <v>1232</v>
      </c>
      <c r="H562" t="s">
        <v>212</v>
      </c>
      <c r="I562" t="str">
        <f t="shared" si="17"/>
        <v/>
      </c>
    </row>
    <row r="563" spans="1:9">
      <c r="A563">
        <v>553</v>
      </c>
      <c r="B563" t="str">
        <f t="shared" si="16"/>
        <v>richard edward naranjo</v>
      </c>
      <c r="C563" t="s">
        <v>1233</v>
      </c>
      <c r="D563" t="s">
        <v>173</v>
      </c>
      <c r="E563" t="s">
        <v>236</v>
      </c>
      <c r="F563" t="s">
        <v>46</v>
      </c>
      <c r="G563" t="s">
        <v>58</v>
      </c>
      <c r="H563" t="s">
        <v>10</v>
      </c>
      <c r="I563" t="str">
        <f t="shared" si="17"/>
        <v/>
      </c>
    </row>
    <row r="564" spans="1:9">
      <c r="A564">
        <v>554</v>
      </c>
      <c r="B564" t="str">
        <f t="shared" si="16"/>
        <v>eric m nakata</v>
      </c>
      <c r="C564" t="s">
        <v>1234</v>
      </c>
      <c r="D564" t="s">
        <v>463</v>
      </c>
      <c r="E564" t="s">
        <v>410</v>
      </c>
      <c r="F564" t="s">
        <v>32</v>
      </c>
      <c r="G564" t="s">
        <v>1235</v>
      </c>
      <c r="H564" t="s">
        <v>36</v>
      </c>
      <c r="I564" t="str">
        <f t="shared" si="17"/>
        <v/>
      </c>
    </row>
    <row r="565" spans="1:9">
      <c r="A565">
        <v>555</v>
      </c>
      <c r="B565" t="str">
        <f t="shared" si="16"/>
        <v>kirk haruo nakamura</v>
      </c>
      <c r="C565" t="s">
        <v>1236</v>
      </c>
      <c r="D565" t="s">
        <v>1237</v>
      </c>
      <c r="E565" t="s">
        <v>1238</v>
      </c>
      <c r="F565" t="s">
        <v>4067</v>
      </c>
      <c r="G565" t="s">
        <v>4</v>
      </c>
      <c r="H565" t="s">
        <v>4</v>
      </c>
      <c r="I565" t="str">
        <f t="shared" si="17"/>
        <v/>
      </c>
    </row>
    <row r="566" spans="1:9">
      <c r="A566">
        <v>556</v>
      </c>
      <c r="B566" t="str">
        <f t="shared" si="16"/>
        <v>vernon k. nakshara</v>
      </c>
      <c r="C566" t="s">
        <v>1239</v>
      </c>
      <c r="D566" t="s">
        <v>1240</v>
      </c>
      <c r="E566" t="s">
        <v>576</v>
      </c>
      <c r="F566" t="s">
        <v>4053</v>
      </c>
      <c r="G566" t="s">
        <v>4</v>
      </c>
      <c r="H566" t="s">
        <v>4</v>
      </c>
      <c r="I566" t="str">
        <f t="shared" si="17"/>
        <v/>
      </c>
    </row>
    <row r="567" spans="1:9">
      <c r="A567">
        <v>557</v>
      </c>
      <c r="B567" t="str">
        <f t="shared" si="16"/>
        <v>jerome steven nadler</v>
      </c>
      <c r="C567" t="s">
        <v>1241</v>
      </c>
      <c r="D567" t="s">
        <v>1242</v>
      </c>
      <c r="E567" t="s">
        <v>339</v>
      </c>
      <c r="F567" t="s">
        <v>49</v>
      </c>
      <c r="G567" t="s">
        <v>15</v>
      </c>
      <c r="H567" t="s">
        <v>10</v>
      </c>
      <c r="I567" t="str">
        <f t="shared" si="17"/>
        <v/>
      </c>
    </row>
    <row r="568" spans="1:9">
      <c r="A568">
        <v>558</v>
      </c>
      <c r="B568" t="str">
        <f t="shared" si="16"/>
        <v>gary  nadler</v>
      </c>
      <c r="C568" t="s">
        <v>1241</v>
      </c>
      <c r="D568" t="s">
        <v>123</v>
      </c>
      <c r="E568" t="s">
        <v>4</v>
      </c>
      <c r="F568" t="s">
        <v>4068</v>
      </c>
      <c r="G568" t="s">
        <v>4</v>
      </c>
      <c r="H568" t="s">
        <v>4</v>
      </c>
      <c r="I568" t="str">
        <f t="shared" si="17"/>
        <v/>
      </c>
    </row>
    <row r="569" spans="1:9">
      <c r="A569">
        <v>559</v>
      </c>
      <c r="B569" t="str">
        <f t="shared" si="16"/>
        <v>william j. murray (jr.)</v>
      </c>
      <c r="C569" t="s">
        <v>1243</v>
      </c>
      <c r="D569" t="s">
        <v>155</v>
      </c>
      <c r="E569" t="s">
        <v>94</v>
      </c>
      <c r="F569" t="s">
        <v>19</v>
      </c>
      <c r="G569" t="s">
        <v>1209</v>
      </c>
      <c r="H569" t="s">
        <v>212</v>
      </c>
      <c r="I569" t="str">
        <f t="shared" si="17"/>
        <v/>
      </c>
    </row>
    <row r="570" spans="1:9">
      <c r="A570">
        <v>560</v>
      </c>
      <c r="B570" t="str">
        <f t="shared" si="16"/>
        <v>patricia m. murphy</v>
      </c>
      <c r="C570" t="s">
        <v>1244</v>
      </c>
      <c r="D570" t="s">
        <v>419</v>
      </c>
      <c r="E570" t="s">
        <v>189</v>
      </c>
      <c r="F570" t="s">
        <v>32</v>
      </c>
      <c r="G570" t="s">
        <v>81</v>
      </c>
      <c r="H570" t="s">
        <v>10</v>
      </c>
      <c r="I570" t="str">
        <f t="shared" si="17"/>
        <v/>
      </c>
    </row>
    <row r="571" spans="1:9">
      <c r="A571">
        <v>561</v>
      </c>
      <c r="B571" t="str">
        <f t="shared" si="16"/>
        <v>mary ann  murphy</v>
      </c>
      <c r="C571" t="s">
        <v>1244</v>
      </c>
      <c r="D571" t="s">
        <v>1245</v>
      </c>
      <c r="E571" t="s">
        <v>4</v>
      </c>
      <c r="F571" t="s">
        <v>25</v>
      </c>
      <c r="G571" t="s">
        <v>4</v>
      </c>
      <c r="H571" t="s">
        <v>103</v>
      </c>
      <c r="I571" t="str">
        <f t="shared" si="17"/>
        <v/>
      </c>
    </row>
    <row r="572" spans="1:9">
      <c r="A572">
        <v>562</v>
      </c>
      <c r="B572" t="str">
        <f t="shared" si="16"/>
        <v>kevin r. murphy</v>
      </c>
      <c r="C572" t="s">
        <v>1244</v>
      </c>
      <c r="D572" t="s">
        <v>1246</v>
      </c>
      <c r="E572" t="s">
        <v>265</v>
      </c>
      <c r="F572" t="s">
        <v>4</v>
      </c>
      <c r="G572" t="s">
        <v>387</v>
      </c>
      <c r="H572" t="s">
        <v>36</v>
      </c>
      <c r="I572" t="str">
        <f t="shared" si="17"/>
        <v/>
      </c>
    </row>
    <row r="573" spans="1:9">
      <c r="A573">
        <v>563</v>
      </c>
      <c r="B573" t="str">
        <f t="shared" si="16"/>
        <v>daniel stephen murphy</v>
      </c>
      <c r="C573" t="s">
        <v>1244</v>
      </c>
      <c r="D573" t="s">
        <v>23</v>
      </c>
      <c r="E573" t="s">
        <v>183</v>
      </c>
      <c r="F573" t="s">
        <v>49</v>
      </c>
      <c r="G573" t="s">
        <v>4</v>
      </c>
      <c r="H573" t="s">
        <v>10</v>
      </c>
      <c r="I573" t="str">
        <f t="shared" si="17"/>
        <v/>
      </c>
    </row>
    <row r="574" spans="1:9">
      <c r="A574">
        <v>564</v>
      </c>
      <c r="B574" t="str">
        <f t="shared" si="16"/>
        <v>john edgar munter</v>
      </c>
      <c r="C574" t="s">
        <v>1247</v>
      </c>
      <c r="D574" t="s">
        <v>7</v>
      </c>
      <c r="E574" t="s">
        <v>1248</v>
      </c>
      <c r="F574" t="s">
        <v>4069</v>
      </c>
      <c r="G574" t="s">
        <v>4</v>
      </c>
      <c r="H574" t="s">
        <v>4</v>
      </c>
      <c r="I574" t="str">
        <f t="shared" si="17"/>
        <v/>
      </c>
    </row>
    <row r="575" spans="1:9">
      <c r="A575">
        <v>565</v>
      </c>
      <c r="B575" t="str">
        <f t="shared" si="16"/>
        <v>gregory (nmn) munoz</v>
      </c>
      <c r="C575" t="s">
        <v>1249</v>
      </c>
      <c r="D575" t="s">
        <v>468</v>
      </c>
      <c r="E575" t="s">
        <v>362</v>
      </c>
      <c r="F575" t="s">
        <v>4023</v>
      </c>
      <c r="G575" t="s">
        <v>4</v>
      </c>
      <c r="H575" t="s">
        <v>4</v>
      </c>
      <c r="I575" t="str">
        <f t="shared" si="17"/>
        <v/>
      </c>
    </row>
    <row r="576" spans="1:9">
      <c r="A576">
        <v>566</v>
      </c>
      <c r="B576" t="str">
        <f t="shared" si="16"/>
        <v>gary shawn mullen</v>
      </c>
      <c r="C576" t="s">
        <v>1250</v>
      </c>
      <c r="D576" t="s">
        <v>123</v>
      </c>
      <c r="E576" t="s">
        <v>1251</v>
      </c>
      <c r="F576" t="s">
        <v>4070</v>
      </c>
      <c r="G576" t="s">
        <v>4</v>
      </c>
      <c r="H576" t="s">
        <v>10</v>
      </c>
      <c r="I576" t="str">
        <f t="shared" si="17"/>
        <v/>
      </c>
    </row>
    <row r="577" spans="1:9">
      <c r="A577">
        <v>567</v>
      </c>
      <c r="B577" t="str">
        <f t="shared" si="16"/>
        <v>robert james moss</v>
      </c>
      <c r="C577" t="s">
        <v>1252</v>
      </c>
      <c r="D577" t="s">
        <v>72</v>
      </c>
      <c r="E577" t="s">
        <v>90</v>
      </c>
      <c r="F577" t="s">
        <v>137</v>
      </c>
      <c r="G577" t="s">
        <v>4</v>
      </c>
      <c r="H577" t="s">
        <v>10</v>
      </c>
      <c r="I577" t="str">
        <f t="shared" si="17"/>
        <v/>
      </c>
    </row>
    <row r="578" spans="1:9">
      <c r="A578">
        <v>568</v>
      </c>
      <c r="B578" t="str">
        <f t="shared" si="16"/>
        <v>richard mitchell mosk 12 feb 23</v>
      </c>
      <c r="C578" t="s">
        <v>1253</v>
      </c>
      <c r="D578" t="s">
        <v>173</v>
      </c>
      <c r="E578" t="s">
        <v>915</v>
      </c>
      <c r="F578" t="s">
        <v>19</v>
      </c>
      <c r="G578" t="s">
        <v>1254</v>
      </c>
      <c r="H578" t="s">
        <v>212</v>
      </c>
      <c r="I578" t="str">
        <f t="shared" si="17"/>
        <v/>
      </c>
    </row>
    <row r="579" spans="1:9">
      <c r="A579">
        <v>569</v>
      </c>
      <c r="B579" t="str">
        <f t="shared" ref="B579:B642" si="18">TRIM($D579) &amp; " " &amp; TRIM($E579) &amp; " " &amp; TRIM($C579)</f>
        <v>jared daniel moses</v>
      </c>
      <c r="C579" t="s">
        <v>1255</v>
      </c>
      <c r="D579" t="s">
        <v>1256</v>
      </c>
      <c r="E579" t="s">
        <v>23</v>
      </c>
      <c r="F579" t="s">
        <v>4035</v>
      </c>
      <c r="G579" t="s">
        <v>4</v>
      </c>
      <c r="H579" t="s">
        <v>4</v>
      </c>
      <c r="I579" t="str">
        <f t="shared" ref="I579:I642" si="19">IF(NOT(ISERROR(FIND("judge",F579))),"judge","")</f>
        <v/>
      </c>
    </row>
    <row r="580" spans="1:9">
      <c r="A580">
        <v>570</v>
      </c>
      <c r="B580" t="str">
        <f t="shared" si="18"/>
        <v>tamara lynn mosbarger</v>
      </c>
      <c r="C580" t="s">
        <v>1257</v>
      </c>
      <c r="D580" t="s">
        <v>1258</v>
      </c>
      <c r="E580" t="s">
        <v>197</v>
      </c>
      <c r="F580" t="s">
        <v>900</v>
      </c>
      <c r="G580" t="s">
        <v>4</v>
      </c>
      <c r="H580" t="s">
        <v>10</v>
      </c>
      <c r="I580" t="str">
        <f t="shared" si="19"/>
        <v/>
      </c>
    </row>
    <row r="581" spans="1:9">
      <c r="A581">
        <v>571</v>
      </c>
      <c r="B581" t="str">
        <f t="shared" si="18"/>
        <v>christine k. moruza</v>
      </c>
      <c r="C581" t="s">
        <v>1259</v>
      </c>
      <c r="D581" t="s">
        <v>1260</v>
      </c>
      <c r="E581" t="s">
        <v>576</v>
      </c>
      <c r="F581" t="s">
        <v>1261</v>
      </c>
      <c r="G581" t="s">
        <v>4</v>
      </c>
      <c r="H581" t="s">
        <v>36</v>
      </c>
      <c r="I581" t="str">
        <f t="shared" si="19"/>
        <v/>
      </c>
    </row>
    <row r="582" spans="1:9">
      <c r="A582">
        <v>572</v>
      </c>
      <c r="B582" t="str">
        <f t="shared" si="18"/>
        <v>miriam ivy morton</v>
      </c>
      <c r="C582" t="s">
        <v>886</v>
      </c>
      <c r="D582" t="s">
        <v>1262</v>
      </c>
      <c r="E582" t="s">
        <v>1263</v>
      </c>
      <c r="F582" t="s">
        <v>32</v>
      </c>
      <c r="G582" t="s">
        <v>1264</v>
      </c>
      <c r="H582" t="s">
        <v>36</v>
      </c>
      <c r="I582" t="str">
        <f t="shared" si="19"/>
        <v/>
      </c>
    </row>
    <row r="583" spans="1:9">
      <c r="A583">
        <v>573</v>
      </c>
      <c r="B583" t="str">
        <f t="shared" si="18"/>
        <v>heather d morse</v>
      </c>
      <c r="C583" t="s">
        <v>1265</v>
      </c>
      <c r="D583" t="s">
        <v>1266</v>
      </c>
      <c r="E583" t="s">
        <v>570</v>
      </c>
      <c r="F583" t="s">
        <v>4071</v>
      </c>
      <c r="G583" t="s">
        <v>1267</v>
      </c>
      <c r="H583" t="s">
        <v>4</v>
      </c>
      <c r="I583" t="str">
        <f t="shared" si="19"/>
        <v/>
      </c>
    </row>
    <row r="584" spans="1:9">
      <c r="A584">
        <v>574</v>
      </c>
      <c r="B584" t="str">
        <f t="shared" si="18"/>
        <v>carl w. morris</v>
      </c>
      <c r="C584" t="s">
        <v>847</v>
      </c>
      <c r="D584" t="s">
        <v>206</v>
      </c>
      <c r="E584" t="s">
        <v>65</v>
      </c>
      <c r="F584" t="s">
        <v>4072</v>
      </c>
      <c r="G584" t="s">
        <v>4</v>
      </c>
      <c r="H584" t="s">
        <v>4</v>
      </c>
      <c r="I584" t="str">
        <f t="shared" si="19"/>
        <v/>
      </c>
    </row>
    <row r="585" spans="1:9">
      <c r="A585">
        <v>575</v>
      </c>
      <c r="B585" t="str">
        <f t="shared" si="18"/>
        <v>dwayne kenyatta moring</v>
      </c>
      <c r="C585" t="s">
        <v>1268</v>
      </c>
      <c r="D585" t="s">
        <v>1269</v>
      </c>
      <c r="E585" t="s">
        <v>1270</v>
      </c>
      <c r="F585" t="s">
        <v>101</v>
      </c>
      <c r="G585" t="s">
        <v>102</v>
      </c>
      <c r="H585" t="s">
        <v>103</v>
      </c>
      <c r="I585" t="str">
        <f t="shared" si="19"/>
        <v/>
      </c>
    </row>
    <row r="586" spans="1:9">
      <c r="A586">
        <v>576</v>
      </c>
      <c r="B586" t="str">
        <f t="shared" si="18"/>
        <v>brett huston morgan</v>
      </c>
      <c r="C586" t="s">
        <v>1271</v>
      </c>
      <c r="D586" t="s">
        <v>1272</v>
      </c>
      <c r="E586" t="s">
        <v>1273</v>
      </c>
      <c r="F586" t="s">
        <v>303</v>
      </c>
      <c r="G586" t="s">
        <v>4</v>
      </c>
      <c r="H586" t="s">
        <v>10</v>
      </c>
      <c r="I586" t="str">
        <f t="shared" si="19"/>
        <v/>
      </c>
    </row>
    <row r="587" spans="1:9">
      <c r="A587">
        <v>577</v>
      </c>
      <c r="B587" t="str">
        <f t="shared" si="18"/>
        <v>edward b. moreton</v>
      </c>
      <c r="C587" t="s">
        <v>1274</v>
      </c>
      <c r="D587" t="s">
        <v>236</v>
      </c>
      <c r="E587" t="s">
        <v>400</v>
      </c>
      <c r="F587" t="s">
        <v>25</v>
      </c>
      <c r="G587" t="s">
        <v>40</v>
      </c>
      <c r="H587" t="s">
        <v>10</v>
      </c>
      <c r="I587" t="str">
        <f t="shared" si="19"/>
        <v/>
      </c>
    </row>
    <row r="588" spans="1:9">
      <c r="A588">
        <v>578</v>
      </c>
      <c r="B588" t="str">
        <f t="shared" si="18"/>
        <v>david  moranda</v>
      </c>
      <c r="C588" t="s">
        <v>1275</v>
      </c>
      <c r="D588" t="s">
        <v>28</v>
      </c>
      <c r="E588" t="s">
        <v>4</v>
      </c>
      <c r="F588" t="s">
        <v>1276</v>
      </c>
      <c r="G588" t="s">
        <v>1001</v>
      </c>
      <c r="H588" t="s">
        <v>10</v>
      </c>
      <c r="I588" t="str">
        <f t="shared" si="19"/>
        <v/>
      </c>
    </row>
    <row r="589" spans="1:9">
      <c r="A589">
        <v>579</v>
      </c>
      <c r="B589" t="str">
        <f t="shared" si="18"/>
        <v>ann carole moorman 12 feb 29</v>
      </c>
      <c r="C589" t="s">
        <v>1277</v>
      </c>
      <c r="D589" t="s">
        <v>3</v>
      </c>
      <c r="E589" t="s">
        <v>1278</v>
      </c>
      <c r="F589" t="s">
        <v>492</v>
      </c>
      <c r="G589" t="s">
        <v>1279</v>
      </c>
      <c r="H589" t="s">
        <v>1280</v>
      </c>
      <c r="I589" t="str">
        <f t="shared" si="19"/>
        <v/>
      </c>
    </row>
    <row r="590" spans="1:9">
      <c r="A590">
        <v>580</v>
      </c>
      <c r="B590" t="str">
        <f t="shared" si="18"/>
        <v>eileen c. moore</v>
      </c>
      <c r="C590" t="s">
        <v>1281</v>
      </c>
      <c r="D590" t="s">
        <v>1282</v>
      </c>
      <c r="E590" t="s">
        <v>332</v>
      </c>
      <c r="F590" t="s">
        <v>19</v>
      </c>
      <c r="G590" t="s">
        <v>1283</v>
      </c>
      <c r="H590" t="s">
        <v>212</v>
      </c>
      <c r="I590" t="str">
        <f t="shared" si="19"/>
        <v/>
      </c>
    </row>
    <row r="591" spans="1:9">
      <c r="A591">
        <v>581</v>
      </c>
      <c r="B591" t="str">
        <f t="shared" si="18"/>
        <v>dwight w moore</v>
      </c>
      <c r="C591" t="s">
        <v>1281</v>
      </c>
      <c r="D591" t="s">
        <v>1284</v>
      </c>
      <c r="E591" t="s">
        <v>583</v>
      </c>
      <c r="F591" t="s">
        <v>32</v>
      </c>
      <c r="G591" t="s">
        <v>411</v>
      </c>
      <c r="H591" t="s">
        <v>36</v>
      </c>
      <c r="I591" t="str">
        <f t="shared" si="19"/>
        <v/>
      </c>
    </row>
    <row r="592" spans="1:9">
      <c r="A592">
        <v>582</v>
      </c>
      <c r="B592" t="str">
        <f t="shared" si="18"/>
        <v>mark v mooney</v>
      </c>
      <c r="C592" t="s">
        <v>1285</v>
      </c>
      <c r="D592" t="s">
        <v>45</v>
      </c>
      <c r="E592" t="s">
        <v>1043</v>
      </c>
      <c r="F592" t="s">
        <v>4035</v>
      </c>
      <c r="G592" t="s">
        <v>4</v>
      </c>
      <c r="H592" t="s">
        <v>4</v>
      </c>
      <c r="I592" t="str">
        <f t="shared" si="19"/>
        <v/>
      </c>
    </row>
    <row r="593" spans="1:9">
      <c r="A593">
        <v>583</v>
      </c>
      <c r="B593" t="str">
        <f t="shared" si="18"/>
        <v>john michael monterosso</v>
      </c>
      <c r="C593" t="s">
        <v>1286</v>
      </c>
      <c r="D593" t="s">
        <v>7</v>
      </c>
      <c r="E593" t="s">
        <v>219</v>
      </c>
      <c r="F593" t="s">
        <v>921</v>
      </c>
      <c r="G593" t="s">
        <v>118</v>
      </c>
      <c r="H593" t="s">
        <v>10</v>
      </c>
      <c r="I593" t="str">
        <f t="shared" si="19"/>
        <v/>
      </c>
    </row>
    <row r="594" spans="1:9">
      <c r="A594">
        <v>584</v>
      </c>
      <c r="B594" t="str">
        <f t="shared" si="18"/>
        <v>kathryn  montejano</v>
      </c>
      <c r="C594" t="s">
        <v>1287</v>
      </c>
      <c r="D594" t="s">
        <v>209</v>
      </c>
      <c r="E594" t="s">
        <v>4</v>
      </c>
      <c r="F594" t="s">
        <v>281</v>
      </c>
      <c r="G594" t="s">
        <v>686</v>
      </c>
      <c r="H594" t="s">
        <v>10</v>
      </c>
      <c r="I594" t="str">
        <f t="shared" si="19"/>
        <v/>
      </c>
    </row>
    <row r="595" spans="1:9">
      <c r="A595">
        <v>585</v>
      </c>
      <c r="B595" t="str">
        <f t="shared" si="18"/>
        <v>richard raymond monroy</v>
      </c>
      <c r="C595" t="s">
        <v>1288</v>
      </c>
      <c r="D595" t="s">
        <v>173</v>
      </c>
      <c r="E595" t="s">
        <v>496</v>
      </c>
      <c r="F595" t="s">
        <v>101</v>
      </c>
      <c r="G595" t="s">
        <v>102</v>
      </c>
      <c r="H595" t="s">
        <v>103</v>
      </c>
      <c r="I595" t="str">
        <f t="shared" si="19"/>
        <v/>
      </c>
    </row>
    <row r="596" spans="1:9">
      <c r="A596">
        <v>586</v>
      </c>
      <c r="B596" t="str">
        <f t="shared" si="18"/>
        <v>william m monroe</v>
      </c>
      <c r="C596" t="s">
        <v>1289</v>
      </c>
      <c r="D596" t="s">
        <v>155</v>
      </c>
      <c r="E596" t="s">
        <v>410</v>
      </c>
      <c r="F596" t="s">
        <v>137</v>
      </c>
      <c r="G596" t="s">
        <v>4</v>
      </c>
      <c r="H596" t="s">
        <v>4</v>
      </c>
      <c r="I596" t="str">
        <f t="shared" si="19"/>
        <v/>
      </c>
    </row>
    <row r="597" spans="1:9">
      <c r="A597">
        <v>587</v>
      </c>
      <c r="B597" t="str">
        <f t="shared" si="18"/>
        <v>william joseph monahan</v>
      </c>
      <c r="C597" t="s">
        <v>1290</v>
      </c>
      <c r="D597" t="s">
        <v>155</v>
      </c>
      <c r="E597" t="s">
        <v>80</v>
      </c>
      <c r="F597" t="s">
        <v>14</v>
      </c>
      <c r="G597" t="s">
        <v>4</v>
      </c>
      <c r="H597" t="s">
        <v>10</v>
      </c>
      <c r="I597" t="str">
        <f t="shared" si="19"/>
        <v/>
      </c>
    </row>
    <row r="598" spans="1:9">
      <c r="A598">
        <v>588</v>
      </c>
      <c r="B598" t="str">
        <f t="shared" si="18"/>
        <v>stephen m. moloney</v>
      </c>
      <c r="C598" t="s">
        <v>1291</v>
      </c>
      <c r="D598" t="s">
        <v>183</v>
      </c>
      <c r="E598" t="s">
        <v>189</v>
      </c>
      <c r="F598" t="s">
        <v>4073</v>
      </c>
      <c r="G598" t="s">
        <v>135</v>
      </c>
      <c r="H598" t="s">
        <v>4</v>
      </c>
      <c r="I598" t="str">
        <f t="shared" si="19"/>
        <v/>
      </c>
    </row>
    <row r="599" spans="1:9">
      <c r="A599">
        <v>589</v>
      </c>
      <c r="B599" t="str">
        <f t="shared" si="18"/>
        <v>john devlon molloy</v>
      </c>
      <c r="C599" t="s">
        <v>1292</v>
      </c>
      <c r="D599" t="s">
        <v>7</v>
      </c>
      <c r="E599" t="s">
        <v>1293</v>
      </c>
      <c r="F599" t="s">
        <v>1294</v>
      </c>
      <c r="G599" t="s">
        <v>4</v>
      </c>
      <c r="H599" t="s">
        <v>10</v>
      </c>
      <c r="I599" t="str">
        <f t="shared" si="19"/>
        <v/>
      </c>
    </row>
    <row r="600" spans="1:9">
      <c r="A600">
        <v>590</v>
      </c>
      <c r="B600" t="str">
        <f t="shared" si="18"/>
        <v>anthony j mohr</v>
      </c>
      <c r="C600" t="s">
        <v>1295</v>
      </c>
      <c r="D600" t="s">
        <v>150</v>
      </c>
      <c r="E600" t="s">
        <v>1296</v>
      </c>
      <c r="F600" t="s">
        <v>32</v>
      </c>
      <c r="G600" t="s">
        <v>40</v>
      </c>
      <c r="H600" t="s">
        <v>10</v>
      </c>
      <c r="I600" t="str">
        <f t="shared" si="19"/>
        <v/>
      </c>
    </row>
    <row r="601" spans="1:9">
      <c r="A601">
        <v>591</v>
      </c>
      <c r="B601" t="str">
        <f t="shared" si="18"/>
        <v>stephen louis mock</v>
      </c>
      <c r="C601" t="s">
        <v>1297</v>
      </c>
      <c r="D601" t="s">
        <v>183</v>
      </c>
      <c r="E601" t="s">
        <v>540</v>
      </c>
      <c r="F601" t="s">
        <v>860</v>
      </c>
      <c r="G601" t="s">
        <v>1298</v>
      </c>
      <c r="H601" t="s">
        <v>36</v>
      </c>
      <c r="I601" t="str">
        <f t="shared" si="19"/>
        <v/>
      </c>
    </row>
    <row r="602" spans="1:9">
      <c r="A602">
        <v>592</v>
      </c>
      <c r="B602" t="str">
        <f t="shared" si="18"/>
        <v>jamoa athena moberly</v>
      </c>
      <c r="C602" t="s">
        <v>1299</v>
      </c>
      <c r="D602" t="s">
        <v>1300</v>
      </c>
      <c r="E602" t="s">
        <v>1301</v>
      </c>
      <c r="F602" t="s">
        <v>1302</v>
      </c>
      <c r="G602" t="s">
        <v>4</v>
      </c>
      <c r="H602" t="s">
        <v>10</v>
      </c>
      <c r="I602" t="str">
        <f t="shared" si="19"/>
        <v/>
      </c>
    </row>
    <row r="603" spans="1:9">
      <c r="A603">
        <v>593</v>
      </c>
      <c r="B603" t="str">
        <f t="shared" si="18"/>
        <v>james m. mize</v>
      </c>
      <c r="C603" t="s">
        <v>1303</v>
      </c>
      <c r="D603" t="s">
        <v>90</v>
      </c>
      <c r="E603" t="s">
        <v>189</v>
      </c>
      <c r="F603" t="s">
        <v>1304</v>
      </c>
      <c r="G603" t="s">
        <v>1305</v>
      </c>
      <c r="H603" t="s">
        <v>10</v>
      </c>
      <c r="I603" t="str">
        <f t="shared" si="19"/>
        <v/>
      </c>
    </row>
    <row r="604" spans="1:9">
      <c r="A604">
        <v>594</v>
      </c>
      <c r="B604" t="str">
        <f t="shared" si="18"/>
        <v>donald sebastian mitchell</v>
      </c>
      <c r="C604" t="s">
        <v>915</v>
      </c>
      <c r="D604" t="s">
        <v>509</v>
      </c>
      <c r="E604" t="s">
        <v>1306</v>
      </c>
      <c r="F604" t="s">
        <v>4074</v>
      </c>
      <c r="G604" t="s">
        <v>4</v>
      </c>
      <c r="H604" t="s">
        <v>4</v>
      </c>
      <c r="I604" t="str">
        <f t="shared" si="19"/>
        <v/>
      </c>
    </row>
    <row r="605" spans="1:9">
      <c r="A605">
        <v>595</v>
      </c>
      <c r="B605" t="str">
        <f t="shared" si="18"/>
        <v>daviann lilee mitchell</v>
      </c>
      <c r="C605" t="s">
        <v>915</v>
      </c>
      <c r="D605" t="s">
        <v>1307</v>
      </c>
      <c r="E605" t="s">
        <v>1308</v>
      </c>
      <c r="F605" t="s">
        <v>46</v>
      </c>
      <c r="G605" t="s">
        <v>1309</v>
      </c>
      <c r="H605" t="s">
        <v>10</v>
      </c>
      <c r="I605" t="str">
        <f t="shared" si="19"/>
        <v/>
      </c>
    </row>
    <row r="606" spans="1:9">
      <c r="A606">
        <v>596</v>
      </c>
      <c r="B606" t="str">
        <f t="shared" si="18"/>
        <v>craig jordan mitchell</v>
      </c>
      <c r="C606" t="s">
        <v>915</v>
      </c>
      <c r="D606" t="s">
        <v>322</v>
      </c>
      <c r="E606" t="s">
        <v>1069</v>
      </c>
      <c r="F606" t="s">
        <v>1749</v>
      </c>
      <c r="G606" t="s">
        <v>1310</v>
      </c>
      <c r="H606" t="s">
        <v>299</v>
      </c>
      <c r="I606" t="str">
        <f t="shared" si="19"/>
        <v/>
      </c>
    </row>
    <row r="607" spans="1:9">
      <c r="A607">
        <v>597</v>
      </c>
      <c r="B607" t="str">
        <f t="shared" si="18"/>
        <v>peter j mirich</v>
      </c>
      <c r="C607" t="s">
        <v>1311</v>
      </c>
      <c r="D607" t="s">
        <v>336</v>
      </c>
      <c r="E607" t="s">
        <v>1296</v>
      </c>
      <c r="F607" t="s">
        <v>1312</v>
      </c>
      <c r="G607" t="s">
        <v>135</v>
      </c>
      <c r="H607" t="s">
        <v>10</v>
      </c>
      <c r="I607" t="str">
        <f t="shared" si="19"/>
        <v/>
      </c>
    </row>
    <row r="608" spans="1:9">
      <c r="A608">
        <v>598</v>
      </c>
      <c r="B608" t="str">
        <f t="shared" si="18"/>
        <v>george antony miram</v>
      </c>
      <c r="C608" t="s">
        <v>1313</v>
      </c>
      <c r="D608" t="s">
        <v>237</v>
      </c>
      <c r="E608" t="s">
        <v>1314</v>
      </c>
      <c r="F608" t="s">
        <v>231</v>
      </c>
      <c r="G608" t="s">
        <v>4</v>
      </c>
      <c r="H608" t="s">
        <v>10</v>
      </c>
      <c r="I608" t="str">
        <f t="shared" si="19"/>
        <v/>
      </c>
    </row>
    <row r="609" spans="1:9">
      <c r="A609">
        <v>599</v>
      </c>
      <c r="B609" t="str">
        <f t="shared" si="18"/>
        <v>lawrence joseph mira lawrence</v>
      </c>
      <c r="C609" t="s">
        <v>1315</v>
      </c>
      <c r="D609" t="s">
        <v>1316</v>
      </c>
      <c r="E609" t="s">
        <v>80</v>
      </c>
      <c r="F609" t="s">
        <v>2204</v>
      </c>
      <c r="G609" t="s">
        <v>4</v>
      </c>
      <c r="H609" t="s">
        <v>4</v>
      </c>
      <c r="I609" t="str">
        <f t="shared" si="19"/>
        <v/>
      </c>
    </row>
    <row r="610" spans="1:9">
      <c r="A610">
        <v>289</v>
      </c>
      <c r="B610" t="str">
        <f t="shared" si="18"/>
        <v>robert bruce minto</v>
      </c>
      <c r="C610" t="s">
        <v>1317</v>
      </c>
      <c r="D610" t="s">
        <v>72</v>
      </c>
      <c r="E610" t="s">
        <v>47</v>
      </c>
      <c r="F610" t="s">
        <v>25</v>
      </c>
      <c r="G610" t="s">
        <v>1318</v>
      </c>
      <c r="H610" t="s">
        <v>103</v>
      </c>
      <c r="I610" t="str">
        <f t="shared" si="19"/>
        <v/>
      </c>
    </row>
    <row r="611" spans="1:9">
      <c r="A611">
        <v>600</v>
      </c>
      <c r="B611" t="str">
        <f t="shared" si="18"/>
        <v>david l. minning</v>
      </c>
      <c r="C611" t="s">
        <v>1319</v>
      </c>
      <c r="D611" t="s">
        <v>28</v>
      </c>
      <c r="E611" t="s">
        <v>257</v>
      </c>
      <c r="F611" t="s">
        <v>49</v>
      </c>
      <c r="G611" t="s">
        <v>461</v>
      </c>
      <c r="H611" t="s">
        <v>10</v>
      </c>
      <c r="I611" t="str">
        <f t="shared" si="19"/>
        <v/>
      </c>
    </row>
    <row r="612" spans="1:9">
      <c r="A612">
        <v>601</v>
      </c>
      <c r="B612" t="str">
        <f t="shared" si="18"/>
        <v>elisabeth keiko mineta</v>
      </c>
      <c r="C612" t="s">
        <v>1320</v>
      </c>
      <c r="D612" t="s">
        <v>1321</v>
      </c>
      <c r="E612" t="s">
        <v>1322</v>
      </c>
      <c r="F612" t="s">
        <v>32</v>
      </c>
      <c r="G612" t="s">
        <v>1323</v>
      </c>
      <c r="H612" t="s">
        <v>10</v>
      </c>
      <c r="I612" t="str">
        <f t="shared" si="19"/>
        <v/>
      </c>
    </row>
    <row r="613" spans="1:9">
      <c r="A613">
        <v>602</v>
      </c>
      <c r="B613" t="str">
        <f t="shared" si="18"/>
        <v>david sherman milton</v>
      </c>
      <c r="C613" t="s">
        <v>1324</v>
      </c>
      <c r="D613" t="s">
        <v>28</v>
      </c>
      <c r="E613" t="s">
        <v>687</v>
      </c>
      <c r="F613" t="s">
        <v>25</v>
      </c>
      <c r="G613" t="s">
        <v>4</v>
      </c>
      <c r="H613" t="s">
        <v>10</v>
      </c>
      <c r="I613" t="str">
        <f t="shared" si="19"/>
        <v/>
      </c>
    </row>
    <row r="614" spans="1:9">
      <c r="A614">
        <v>603</v>
      </c>
      <c r="B614" t="str">
        <f t="shared" si="18"/>
        <v>richard e. mills</v>
      </c>
      <c r="C614" t="s">
        <v>1325</v>
      </c>
      <c r="D614" t="s">
        <v>173</v>
      </c>
      <c r="E614" t="s">
        <v>127</v>
      </c>
      <c r="F614" t="s">
        <v>101</v>
      </c>
      <c r="G614" t="s">
        <v>102</v>
      </c>
      <c r="H614" t="s">
        <v>103</v>
      </c>
      <c r="I614" t="str">
        <f t="shared" si="19"/>
        <v/>
      </c>
    </row>
    <row r="615" spans="1:9">
      <c r="A615">
        <v>604</v>
      </c>
      <c r="B615" t="str">
        <f t="shared" si="18"/>
        <v>cheryl rae mills</v>
      </c>
      <c r="C615" t="s">
        <v>1325</v>
      </c>
      <c r="D615" t="s">
        <v>1326</v>
      </c>
      <c r="E615" t="s">
        <v>1327</v>
      </c>
      <c r="F615" t="s">
        <v>755</v>
      </c>
      <c r="G615" t="s">
        <v>4</v>
      </c>
      <c r="H615" t="s">
        <v>10</v>
      </c>
      <c r="I615" t="str">
        <f t="shared" si="19"/>
        <v/>
      </c>
    </row>
    <row r="616" spans="1:9">
      <c r="A616">
        <v>605</v>
      </c>
      <c r="B616" t="str">
        <f t="shared" si="18"/>
        <v>bruce c. mills</v>
      </c>
      <c r="C616" t="s">
        <v>1325</v>
      </c>
      <c r="D616" t="s">
        <v>47</v>
      </c>
      <c r="E616" t="s">
        <v>332</v>
      </c>
      <c r="F616" t="s">
        <v>32</v>
      </c>
      <c r="G616" t="s">
        <v>4</v>
      </c>
      <c r="H616" t="s">
        <v>4</v>
      </c>
      <c r="I616" t="str">
        <f t="shared" si="19"/>
        <v/>
      </c>
    </row>
    <row r="617" spans="1:9">
      <c r="A617">
        <v>606</v>
      </c>
      <c r="B617" t="str">
        <f t="shared" si="18"/>
        <v>scott t. millington</v>
      </c>
      <c r="C617" t="s">
        <v>1328</v>
      </c>
      <c r="D617" t="s">
        <v>436</v>
      </c>
      <c r="E617" t="s">
        <v>636</v>
      </c>
      <c r="F617" t="s">
        <v>25</v>
      </c>
      <c r="G617" t="s">
        <v>1329</v>
      </c>
      <c r="H617" t="s">
        <v>10</v>
      </c>
      <c r="I617" t="str">
        <f t="shared" si="19"/>
        <v/>
      </c>
    </row>
    <row r="618" spans="1:9">
      <c r="A618">
        <v>607</v>
      </c>
      <c r="B618" t="str">
        <f t="shared" si="18"/>
        <v>robin  miller sloan</v>
      </c>
      <c r="C618" t="s">
        <v>1330</v>
      </c>
      <c r="D618" t="s">
        <v>121</v>
      </c>
      <c r="E618" t="s">
        <v>4</v>
      </c>
      <c r="F618" t="s">
        <v>25</v>
      </c>
      <c r="G618" t="s">
        <v>40</v>
      </c>
      <c r="H618" t="s">
        <v>10</v>
      </c>
      <c r="I618" t="str">
        <f t="shared" si="19"/>
        <v/>
      </c>
    </row>
    <row r="619" spans="1:9">
      <c r="A619">
        <v>608</v>
      </c>
      <c r="B619" t="str">
        <f t="shared" si="18"/>
        <v>rita j. miller</v>
      </c>
      <c r="C619" t="s">
        <v>1331</v>
      </c>
      <c r="D619" t="s">
        <v>1332</v>
      </c>
      <c r="E619" t="s">
        <v>94</v>
      </c>
      <c r="F619" t="s">
        <v>1749</v>
      </c>
      <c r="G619" t="s">
        <v>4</v>
      </c>
      <c r="H619" t="s">
        <v>4</v>
      </c>
      <c r="I619" t="str">
        <f t="shared" si="19"/>
        <v/>
      </c>
    </row>
    <row r="620" spans="1:9">
      <c r="A620">
        <v>609</v>
      </c>
      <c r="B620" t="str">
        <f t="shared" si="18"/>
        <v>maria j. miller</v>
      </c>
      <c r="C620" t="s">
        <v>1331</v>
      </c>
      <c r="D620" t="s">
        <v>529</v>
      </c>
      <c r="E620" t="s">
        <v>94</v>
      </c>
      <c r="F620" t="s">
        <v>1333</v>
      </c>
      <c r="G620" t="s">
        <v>4</v>
      </c>
      <c r="H620" t="s">
        <v>36</v>
      </c>
      <c r="I620" t="str">
        <f t="shared" si="19"/>
        <v/>
      </c>
    </row>
    <row r="621" spans="1:9">
      <c r="A621">
        <v>610</v>
      </c>
      <c r="B621" t="str">
        <f t="shared" si="18"/>
        <v>linda l. miller</v>
      </c>
      <c r="C621" t="s">
        <v>1331</v>
      </c>
      <c r="D621" t="s">
        <v>989</v>
      </c>
      <c r="E621" t="s">
        <v>257</v>
      </c>
      <c r="F621" t="s">
        <v>4023</v>
      </c>
      <c r="G621" t="s">
        <v>4</v>
      </c>
      <c r="H621" t="s">
        <v>4</v>
      </c>
      <c r="I621" t="str">
        <f t="shared" si="19"/>
        <v/>
      </c>
    </row>
    <row r="622" spans="1:9">
      <c r="A622">
        <v>611</v>
      </c>
      <c r="B622" t="str">
        <f t="shared" si="18"/>
        <v>franz e. miller</v>
      </c>
      <c r="C622" t="s">
        <v>1331</v>
      </c>
      <c r="D622" t="s">
        <v>1334</v>
      </c>
      <c r="E622" t="s">
        <v>127</v>
      </c>
      <c r="F622" t="s">
        <v>1335</v>
      </c>
      <c r="G622" t="s">
        <v>4</v>
      </c>
      <c r="H622" t="s">
        <v>36</v>
      </c>
      <c r="I622" t="str">
        <f t="shared" si="19"/>
        <v/>
      </c>
    </row>
    <row r="623" spans="1:9">
      <c r="A623">
        <v>612</v>
      </c>
      <c r="B623" t="str">
        <f t="shared" si="18"/>
        <v>douglas paul miller</v>
      </c>
      <c r="C623" t="s">
        <v>1331</v>
      </c>
      <c r="D623" t="s">
        <v>593</v>
      </c>
      <c r="E623" t="s">
        <v>280</v>
      </c>
      <c r="F623" t="s">
        <v>19</v>
      </c>
      <c r="G623" t="s">
        <v>985</v>
      </c>
      <c r="H623" t="s">
        <v>212</v>
      </c>
      <c r="I623" t="str">
        <f t="shared" si="19"/>
        <v/>
      </c>
    </row>
    <row r="624" spans="1:9">
      <c r="A624">
        <v>613</v>
      </c>
      <c r="B624" t="str">
        <f t="shared" si="18"/>
        <v xml:space="preserve"> s.rula dalief millard mark</v>
      </c>
      <c r="C624" t="s">
        <v>1336</v>
      </c>
      <c r="D624" t="s">
        <v>4</v>
      </c>
      <c r="E624" t="s">
        <v>1337</v>
      </c>
      <c r="F624" t="s">
        <v>4075</v>
      </c>
      <c r="G624" t="s">
        <v>4</v>
      </c>
      <c r="H624" t="s">
        <v>4</v>
      </c>
      <c r="I624" t="str">
        <f t="shared" si="19"/>
        <v/>
      </c>
    </row>
    <row r="625" spans="1:9">
      <c r="A625">
        <v>614</v>
      </c>
      <c r="B625" t="str">
        <f t="shared" si="18"/>
        <v>marilyn b. miles</v>
      </c>
      <c r="C625" t="s">
        <v>1338</v>
      </c>
      <c r="D625" t="s">
        <v>1339</v>
      </c>
      <c r="E625" t="s">
        <v>400</v>
      </c>
      <c r="F625" t="s">
        <v>143</v>
      </c>
      <c r="G625" t="s">
        <v>4</v>
      </c>
      <c r="H625" t="s">
        <v>10</v>
      </c>
      <c r="I625" t="str">
        <f t="shared" si="19"/>
        <v/>
      </c>
    </row>
    <row r="626" spans="1:9">
      <c r="A626">
        <v>615</v>
      </c>
      <c r="B626" t="str">
        <f t="shared" si="18"/>
        <v>nathan dean mihara</v>
      </c>
      <c r="C626" t="s">
        <v>1340</v>
      </c>
      <c r="D626" t="s">
        <v>255</v>
      </c>
      <c r="E626" t="s">
        <v>535</v>
      </c>
      <c r="F626" t="s">
        <v>674</v>
      </c>
      <c r="G626" t="s">
        <v>1341</v>
      </c>
      <c r="H626" t="s">
        <v>212</v>
      </c>
      <c r="I626" t="str">
        <f t="shared" si="19"/>
        <v/>
      </c>
    </row>
    <row r="627" spans="1:9">
      <c r="A627">
        <v>616</v>
      </c>
      <c r="B627" t="str">
        <f t="shared" si="18"/>
        <v>amalia l. meza</v>
      </c>
      <c r="C627" t="s">
        <v>1342</v>
      </c>
      <c r="D627" t="s">
        <v>1343</v>
      </c>
      <c r="E627" t="s">
        <v>257</v>
      </c>
      <c r="F627" t="s">
        <v>101</v>
      </c>
      <c r="G627" t="s">
        <v>102</v>
      </c>
      <c r="H627" t="s">
        <v>103</v>
      </c>
      <c r="I627" t="str">
        <f t="shared" si="19"/>
        <v/>
      </c>
    </row>
    <row r="628" spans="1:9">
      <c r="A628">
        <v>617</v>
      </c>
      <c r="B628" t="str">
        <f t="shared" si="18"/>
        <v>patrick  meyers</v>
      </c>
      <c r="C628" t="s">
        <v>1344</v>
      </c>
      <c r="D628" t="s">
        <v>6</v>
      </c>
      <c r="E628" t="s">
        <v>4</v>
      </c>
      <c r="F628" t="s">
        <v>1345</v>
      </c>
      <c r="G628" t="s">
        <v>1346</v>
      </c>
      <c r="H628" t="s">
        <v>103</v>
      </c>
      <c r="I628" t="str">
        <f t="shared" si="19"/>
        <v/>
      </c>
    </row>
    <row r="629" spans="1:9">
      <c r="A629">
        <v>618</v>
      </c>
      <c r="B629" t="str">
        <f t="shared" si="18"/>
        <v>judith levey meyer</v>
      </c>
      <c r="C629" t="s">
        <v>1347</v>
      </c>
      <c r="D629" t="s">
        <v>334</v>
      </c>
      <c r="E629" t="s">
        <v>1348</v>
      </c>
      <c r="F629" t="s">
        <v>4076</v>
      </c>
      <c r="G629" t="s">
        <v>4</v>
      </c>
      <c r="H629" t="s">
        <v>4</v>
      </c>
      <c r="I629" t="str">
        <f t="shared" si="19"/>
        <v/>
      </c>
    </row>
    <row r="630" spans="1:9">
      <c r="A630">
        <v>619</v>
      </c>
      <c r="B630" t="str">
        <f t="shared" si="18"/>
        <v>john s meyer</v>
      </c>
      <c r="C630" t="s">
        <v>1347</v>
      </c>
      <c r="D630" t="s">
        <v>7</v>
      </c>
      <c r="E630" t="s">
        <v>182</v>
      </c>
      <c r="F630" t="s">
        <v>101</v>
      </c>
      <c r="G630" t="s">
        <v>102</v>
      </c>
      <c r="H630" t="s">
        <v>103</v>
      </c>
      <c r="I630" t="str">
        <f t="shared" si="19"/>
        <v/>
      </c>
    </row>
    <row r="631" spans="1:9">
      <c r="A631">
        <v>620</v>
      </c>
      <c r="B631" t="str">
        <f t="shared" si="18"/>
        <v>douglas vernie mewhinney</v>
      </c>
      <c r="C631" t="s">
        <v>1349</v>
      </c>
      <c r="D631" t="s">
        <v>593</v>
      </c>
      <c r="E631" t="s">
        <v>1350</v>
      </c>
      <c r="F631" t="s">
        <v>1351</v>
      </c>
      <c r="G631" t="s">
        <v>4</v>
      </c>
      <c r="H631" t="s">
        <v>36</v>
      </c>
      <c r="I631" t="str">
        <f t="shared" si="19"/>
        <v/>
      </c>
    </row>
    <row r="632" spans="1:9">
      <c r="A632">
        <v>621</v>
      </c>
      <c r="B632" t="str">
        <f t="shared" si="18"/>
        <v>hilleri g. merritt</v>
      </c>
      <c r="C632" t="s">
        <v>1352</v>
      </c>
      <c r="D632" t="s">
        <v>1353</v>
      </c>
      <c r="E632" t="s">
        <v>156</v>
      </c>
      <c r="F632" t="s">
        <v>25</v>
      </c>
      <c r="G632" t="s">
        <v>4</v>
      </c>
      <c r="H632" t="s">
        <v>10</v>
      </c>
      <c r="I632" t="str">
        <f t="shared" si="19"/>
        <v/>
      </c>
    </row>
    <row r="633" spans="1:9">
      <c r="A633">
        <v>622</v>
      </c>
      <c r="B633" t="str">
        <f t="shared" si="18"/>
        <v>kimberly kay menninger</v>
      </c>
      <c r="C633" t="s">
        <v>1354</v>
      </c>
      <c r="D633" t="s">
        <v>1187</v>
      </c>
      <c r="E633" t="s">
        <v>384</v>
      </c>
      <c r="F633" t="s">
        <v>1355</v>
      </c>
      <c r="G633" t="s">
        <v>4</v>
      </c>
      <c r="H633" t="s">
        <v>36</v>
      </c>
      <c r="I633" t="str">
        <f t="shared" si="19"/>
        <v/>
      </c>
    </row>
    <row r="634" spans="1:9">
      <c r="A634">
        <v>623</v>
      </c>
      <c r="B634" t="str">
        <f t="shared" si="18"/>
        <v>sally lynn meloch</v>
      </c>
      <c r="C634" t="s">
        <v>1356</v>
      </c>
      <c r="D634" t="s">
        <v>1357</v>
      </c>
      <c r="E634" t="s">
        <v>197</v>
      </c>
      <c r="F634" t="s">
        <v>1749</v>
      </c>
      <c r="G634" t="s">
        <v>4</v>
      </c>
      <c r="H634" t="s">
        <v>4</v>
      </c>
      <c r="I634" t="str">
        <f t="shared" si="19"/>
        <v/>
      </c>
    </row>
    <row r="635" spans="1:9">
      <c r="A635">
        <v>624</v>
      </c>
      <c r="B635" t="str">
        <f t="shared" si="18"/>
        <v>kenneth john melikian</v>
      </c>
      <c r="C635" t="s">
        <v>1358</v>
      </c>
      <c r="D635" t="s">
        <v>60</v>
      </c>
      <c r="E635" t="s">
        <v>7</v>
      </c>
      <c r="F635" t="s">
        <v>1052</v>
      </c>
      <c r="G635" t="s">
        <v>4</v>
      </c>
      <c r="H635" t="s">
        <v>36</v>
      </c>
      <c r="I635" t="str">
        <f t="shared" si="19"/>
        <v/>
      </c>
    </row>
    <row r="636" spans="1:9">
      <c r="A636">
        <v>625</v>
      </c>
      <c r="B636" t="str">
        <f t="shared" si="18"/>
        <v>louis mark meisinger</v>
      </c>
      <c r="C636" t="s">
        <v>1359</v>
      </c>
      <c r="D636" t="s">
        <v>540</v>
      </c>
      <c r="E636" t="s">
        <v>45</v>
      </c>
      <c r="F636" t="s">
        <v>4003</v>
      </c>
      <c r="G636" t="s">
        <v>461</v>
      </c>
      <c r="H636" t="s">
        <v>4</v>
      </c>
      <c r="I636" t="str">
        <f t="shared" si="19"/>
        <v/>
      </c>
    </row>
    <row r="637" spans="1:9">
      <c r="A637">
        <v>626</v>
      </c>
      <c r="B637" t="str">
        <f t="shared" si="18"/>
        <v>john vernon meigs</v>
      </c>
      <c r="C637" t="s">
        <v>1360</v>
      </c>
      <c r="D637" t="s">
        <v>7</v>
      </c>
      <c r="E637" t="s">
        <v>1240</v>
      </c>
      <c r="F637" t="s">
        <v>25</v>
      </c>
      <c r="G637" t="s">
        <v>1361</v>
      </c>
      <c r="H637" t="s">
        <v>10</v>
      </c>
      <c r="I637" t="str">
        <f t="shared" si="19"/>
        <v/>
      </c>
    </row>
    <row r="638" spans="1:9">
      <c r="A638">
        <v>627</v>
      </c>
      <c r="B638" t="str">
        <f t="shared" si="18"/>
        <v>barbara ann meiers</v>
      </c>
      <c r="C638" t="s">
        <v>1362</v>
      </c>
      <c r="D638" t="s">
        <v>2</v>
      </c>
      <c r="E638" t="s">
        <v>3</v>
      </c>
      <c r="F638" t="s">
        <v>698</v>
      </c>
      <c r="G638" t="s">
        <v>1363</v>
      </c>
      <c r="H638" t="s">
        <v>103</v>
      </c>
      <c r="I638" t="str">
        <f t="shared" si="19"/>
        <v/>
      </c>
    </row>
    <row r="639" spans="1:9">
      <c r="A639">
        <v>628</v>
      </c>
      <c r="B639" t="str">
        <f t="shared" si="18"/>
        <v>peter joseph meeka</v>
      </c>
      <c r="C639" t="s">
        <v>1364</v>
      </c>
      <c r="D639" t="s">
        <v>336</v>
      </c>
      <c r="E639" t="s">
        <v>80</v>
      </c>
      <c r="F639" t="s">
        <v>46</v>
      </c>
      <c r="G639" t="s">
        <v>637</v>
      </c>
      <c r="H639" t="s">
        <v>10</v>
      </c>
      <c r="I639" t="str">
        <f t="shared" si="19"/>
        <v/>
      </c>
    </row>
    <row r="640" spans="1:9">
      <c r="A640">
        <v>629</v>
      </c>
      <c r="B640" t="str">
        <f t="shared" si="18"/>
        <v>cheryl chun meegan</v>
      </c>
      <c r="C640" t="s">
        <v>1365</v>
      </c>
      <c r="D640" t="s">
        <v>1326</v>
      </c>
      <c r="E640" t="s">
        <v>1366</v>
      </c>
      <c r="F640" t="s">
        <v>1304</v>
      </c>
      <c r="G640" t="s">
        <v>4</v>
      </c>
      <c r="H640" t="s">
        <v>10</v>
      </c>
      <c r="I640" t="str">
        <f t="shared" si="19"/>
        <v/>
      </c>
    </row>
    <row r="641" spans="1:9">
      <c r="A641">
        <v>630</v>
      </c>
      <c r="B641" t="str">
        <f t="shared" si="18"/>
        <v>alan  medvigy gary alan</v>
      </c>
      <c r="C641" t="s">
        <v>1367</v>
      </c>
      <c r="D641" t="s">
        <v>48</v>
      </c>
      <c r="E641" t="s">
        <v>4</v>
      </c>
      <c r="F641" t="s">
        <v>32</v>
      </c>
      <c r="G641" t="s">
        <v>171</v>
      </c>
      <c r="H641" t="s">
        <v>36</v>
      </c>
      <c r="I641" t="str">
        <f t="shared" si="19"/>
        <v/>
      </c>
    </row>
    <row r="642" spans="1:9">
      <c r="A642">
        <v>631</v>
      </c>
      <c r="B642" t="str">
        <f t="shared" si="18"/>
        <v>kenneth j medel</v>
      </c>
      <c r="C642" t="s">
        <v>1368</v>
      </c>
      <c r="D642" t="s">
        <v>60</v>
      </c>
      <c r="E642" t="s">
        <v>1296</v>
      </c>
      <c r="F642" t="s">
        <v>101</v>
      </c>
      <c r="G642" t="s">
        <v>102</v>
      </c>
      <c r="H642" t="s">
        <v>103</v>
      </c>
      <c r="I642" t="str">
        <f t="shared" si="19"/>
        <v/>
      </c>
    </row>
    <row r="643" spans="1:9">
      <c r="A643">
        <v>632</v>
      </c>
      <c r="B643" t="str">
        <f t="shared" ref="B643:B706" si="20">TRIM($D643) &amp; " " &amp; TRIM($E643) &amp; " " &amp; TRIM($C643)</f>
        <v>daniel barrett arrett mcnerney</v>
      </c>
      <c r="C643" t="s">
        <v>1369</v>
      </c>
      <c r="D643" t="s">
        <v>1370</v>
      </c>
      <c r="E643" t="s">
        <v>1371</v>
      </c>
      <c r="F643" t="s">
        <v>1414</v>
      </c>
      <c r="G643" t="s">
        <v>4</v>
      </c>
      <c r="H643" t="s">
        <v>4</v>
      </c>
      <c r="I643" t="str">
        <f t="shared" ref="I643:I706" si="21">IF(NOT(ISERROR(FIND("judge",F643))),"judge","")</f>
        <v/>
      </c>
    </row>
    <row r="644" spans="1:9">
      <c r="A644">
        <v>633</v>
      </c>
      <c r="B644" t="str">
        <f t="shared" si="20"/>
        <v>bobby  mcnatt</v>
      </c>
      <c r="C644" t="s">
        <v>1372</v>
      </c>
      <c r="D644" t="s">
        <v>1373</v>
      </c>
      <c r="E644" t="s">
        <v>4</v>
      </c>
      <c r="F644" t="s">
        <v>49</v>
      </c>
      <c r="G644" t="s">
        <v>556</v>
      </c>
      <c r="H644" t="s">
        <v>10</v>
      </c>
      <c r="I644" t="str">
        <f t="shared" si="21"/>
        <v/>
      </c>
    </row>
    <row r="645" spans="1:9">
      <c r="A645">
        <v>634</v>
      </c>
      <c r="B645" t="str">
        <f t="shared" si="20"/>
        <v>julie ann mcmanus</v>
      </c>
      <c r="C645" t="s">
        <v>1374</v>
      </c>
      <c r="D645" t="s">
        <v>481</v>
      </c>
      <c r="E645" t="s">
        <v>3</v>
      </c>
      <c r="F645" t="s">
        <v>1375</v>
      </c>
      <c r="G645" t="s">
        <v>4</v>
      </c>
      <c r="H645" t="s">
        <v>36</v>
      </c>
      <c r="I645" t="str">
        <f t="shared" si="21"/>
        <v/>
      </c>
    </row>
    <row r="646" spans="1:9">
      <c r="A646">
        <v>635</v>
      </c>
      <c r="B646" t="str">
        <f t="shared" si="20"/>
        <v>sandra lynn mclean</v>
      </c>
      <c r="C646" t="s">
        <v>1376</v>
      </c>
      <c r="D646" t="s">
        <v>1377</v>
      </c>
      <c r="E646" t="s">
        <v>197</v>
      </c>
      <c r="F646" t="s">
        <v>4077</v>
      </c>
      <c r="G646" t="s">
        <v>4</v>
      </c>
      <c r="H646" t="s">
        <v>4</v>
      </c>
      <c r="I646" t="str">
        <f t="shared" si="21"/>
        <v/>
      </c>
    </row>
    <row r="647" spans="1:9">
      <c r="A647">
        <v>636</v>
      </c>
      <c r="B647" t="str">
        <f t="shared" si="20"/>
        <v>dennis j. mclaughlin</v>
      </c>
      <c r="C647" t="s">
        <v>1378</v>
      </c>
      <c r="D647" t="s">
        <v>1065</v>
      </c>
      <c r="E647" t="s">
        <v>94</v>
      </c>
      <c r="F647" t="s">
        <v>387</v>
      </c>
      <c r="G647" t="s">
        <v>4</v>
      </c>
      <c r="H647" t="s">
        <v>10</v>
      </c>
      <c r="I647" t="str">
        <f t="shared" si="21"/>
        <v/>
      </c>
    </row>
    <row r="648" spans="1:9">
      <c r="A648">
        <v>637</v>
      </c>
      <c r="B648" t="str">
        <f t="shared" si="20"/>
        <v>denise marie  mclaughlin-bennett</v>
      </c>
      <c r="C648" t="s">
        <v>1379</v>
      </c>
      <c r="D648" t="s">
        <v>1380</v>
      </c>
      <c r="E648" t="s">
        <v>4</v>
      </c>
      <c r="F648" t="s">
        <v>1381</v>
      </c>
      <c r="G648" t="s">
        <v>4</v>
      </c>
      <c r="H648" t="s">
        <v>10</v>
      </c>
      <c r="I648" t="str">
        <f t="shared" si="21"/>
        <v/>
      </c>
    </row>
    <row r="649" spans="1:9">
      <c r="A649">
        <v>638</v>
      </c>
      <c r="B649" t="str">
        <f t="shared" si="20"/>
        <v>thomas iva mcknew jr</v>
      </c>
      <c r="C649" t="s">
        <v>1382</v>
      </c>
      <c r="D649" t="s">
        <v>27</v>
      </c>
      <c r="E649" t="s">
        <v>1383</v>
      </c>
      <c r="F649" t="s">
        <v>1384</v>
      </c>
      <c r="G649" t="s">
        <v>802</v>
      </c>
      <c r="H649" t="s">
        <v>36</v>
      </c>
      <c r="I649" t="str">
        <f t="shared" si="21"/>
        <v/>
      </c>
    </row>
    <row r="650" spans="1:9">
      <c r="A650">
        <v>639</v>
      </c>
      <c r="B650" t="str">
        <f t="shared" si="20"/>
        <v>art wilkie mckinster</v>
      </c>
      <c r="C650" t="s">
        <v>1385</v>
      </c>
      <c r="D650" t="s">
        <v>1386</v>
      </c>
      <c r="E650" t="s">
        <v>1387</v>
      </c>
      <c r="F650" t="s">
        <v>19</v>
      </c>
      <c r="G650" t="s">
        <v>985</v>
      </c>
      <c r="H650" t="s">
        <v>212</v>
      </c>
      <c r="I650" t="str">
        <f t="shared" si="21"/>
        <v/>
      </c>
    </row>
    <row r="651" spans="1:9">
      <c r="A651">
        <v>640</v>
      </c>
      <c r="B651" t="str">
        <f t="shared" si="20"/>
        <v>kevin e mckenney</v>
      </c>
      <c r="C651" t="s">
        <v>1388</v>
      </c>
      <c r="D651" t="s">
        <v>1246</v>
      </c>
      <c r="E651" t="s">
        <v>134</v>
      </c>
      <c r="F651" t="s">
        <v>2710</v>
      </c>
      <c r="G651" t="s">
        <v>4</v>
      </c>
      <c r="H651" t="s">
        <v>4</v>
      </c>
      <c r="I651" t="str">
        <f t="shared" si="21"/>
        <v/>
      </c>
    </row>
    <row r="652" spans="1:9">
      <c r="A652">
        <v>641</v>
      </c>
      <c r="B652" t="str">
        <f t="shared" si="20"/>
        <v>patti jo mckay</v>
      </c>
      <c r="C652" t="s">
        <v>1389</v>
      </c>
      <c r="D652" t="s">
        <v>1390</v>
      </c>
      <c r="E652" t="s">
        <v>1391</v>
      </c>
      <c r="F652" t="s">
        <v>1749</v>
      </c>
      <c r="G652" t="s">
        <v>4</v>
      </c>
      <c r="H652" t="s">
        <v>4</v>
      </c>
      <c r="I652" t="str">
        <f t="shared" si="21"/>
        <v/>
      </c>
    </row>
    <row r="653" spans="1:9">
      <c r="A653">
        <v>642</v>
      </c>
      <c r="B653" t="str">
        <f t="shared" si="20"/>
        <v>michele lorraine mckay mccoy</v>
      </c>
      <c r="C653" t="s">
        <v>1392</v>
      </c>
      <c r="D653" t="s">
        <v>312</v>
      </c>
      <c r="E653" t="s">
        <v>1393</v>
      </c>
      <c r="F653" t="s">
        <v>1394</v>
      </c>
      <c r="G653" t="s">
        <v>4</v>
      </c>
      <c r="H653" t="s">
        <v>10</v>
      </c>
      <c r="I653" t="str">
        <f t="shared" si="21"/>
        <v/>
      </c>
    </row>
    <row r="654" spans="1:9">
      <c r="A654">
        <v>643</v>
      </c>
      <c r="B654" t="str">
        <f t="shared" si="20"/>
        <v>james a mcintyre</v>
      </c>
      <c r="C654" t="s">
        <v>1099</v>
      </c>
      <c r="D654" t="s">
        <v>90</v>
      </c>
      <c r="E654" t="s">
        <v>39</v>
      </c>
      <c r="F654" t="s">
        <v>1395</v>
      </c>
      <c r="G654" t="s">
        <v>1232</v>
      </c>
      <c r="H654" t="s">
        <v>212</v>
      </c>
      <c r="I654" t="str">
        <f t="shared" si="21"/>
        <v/>
      </c>
    </row>
    <row r="655" spans="1:9">
      <c r="A655">
        <v>644</v>
      </c>
      <c r="B655" t="str">
        <f t="shared" si="20"/>
        <v>rosemary t. mcguire</v>
      </c>
      <c r="C655" t="s">
        <v>1396</v>
      </c>
      <c r="D655" t="s">
        <v>1397</v>
      </c>
      <c r="E655" t="s">
        <v>636</v>
      </c>
      <c r="F655" t="s">
        <v>1061</v>
      </c>
      <c r="G655" t="s">
        <v>4</v>
      </c>
      <c r="H655" t="s">
        <v>36</v>
      </c>
      <c r="I655" t="str">
        <f t="shared" si="21"/>
        <v/>
      </c>
    </row>
    <row r="656" spans="1:9">
      <c r="A656">
        <v>645</v>
      </c>
      <c r="B656" t="str">
        <f t="shared" si="20"/>
        <v>william r. mcguiness</v>
      </c>
      <c r="C656" t="s">
        <v>1398</v>
      </c>
      <c r="D656" t="s">
        <v>155</v>
      </c>
      <c r="E656" t="s">
        <v>265</v>
      </c>
      <c r="F656" t="s">
        <v>1399</v>
      </c>
      <c r="G656" t="s">
        <v>650</v>
      </c>
      <c r="H656" t="s">
        <v>1400</v>
      </c>
      <c r="I656" t="str">
        <f t="shared" si="21"/>
        <v/>
      </c>
    </row>
    <row r="657" spans="1:9">
      <c r="A657">
        <v>646</v>
      </c>
      <c r="B657" t="str">
        <f t="shared" si="20"/>
        <v xml:space="preserve"> denis mcguiness robert</v>
      </c>
      <c r="C657" t="s">
        <v>1401</v>
      </c>
      <c r="D657" t="s">
        <v>4</v>
      </c>
      <c r="E657" t="s">
        <v>1402</v>
      </c>
      <c r="F657" t="s">
        <v>4066</v>
      </c>
      <c r="G657" t="s">
        <v>4</v>
      </c>
      <c r="H657" t="s">
        <v>4</v>
      </c>
      <c r="I657" t="str">
        <f t="shared" si="21"/>
        <v/>
      </c>
    </row>
    <row r="658" spans="1:9">
      <c r="A658">
        <v>647</v>
      </c>
      <c r="B658" t="str">
        <f t="shared" si="20"/>
        <v>william j mcgrath</v>
      </c>
      <c r="C658" t="s">
        <v>1403</v>
      </c>
      <c r="D658" t="s">
        <v>155</v>
      </c>
      <c r="E658" t="s">
        <v>1296</v>
      </c>
      <c r="F658" t="s">
        <v>101</v>
      </c>
      <c r="G658" t="s">
        <v>102</v>
      </c>
      <c r="H658" t="s">
        <v>103</v>
      </c>
      <c r="I658" t="str">
        <f t="shared" si="21"/>
        <v/>
      </c>
    </row>
    <row r="659" spans="1:9">
      <c r="A659">
        <v>648</v>
      </c>
      <c r="B659" t="str">
        <f t="shared" si="20"/>
        <v>beth  mcgowen</v>
      </c>
      <c r="C659" t="s">
        <v>1404</v>
      </c>
      <c r="D659" t="s">
        <v>1405</v>
      </c>
      <c r="E659" t="s">
        <v>4</v>
      </c>
      <c r="F659" t="s">
        <v>49</v>
      </c>
      <c r="G659" t="s">
        <v>4</v>
      </c>
      <c r="H659" t="s">
        <v>10</v>
      </c>
      <c r="I659" t="str">
        <f t="shared" si="21"/>
        <v/>
      </c>
    </row>
    <row r="660" spans="1:9">
      <c r="A660">
        <v>649</v>
      </c>
      <c r="B660" t="str">
        <f t="shared" si="20"/>
        <v>kevin j. mcgee</v>
      </c>
      <c r="C660" t="s">
        <v>1406</v>
      </c>
      <c r="D660" t="s">
        <v>1246</v>
      </c>
      <c r="E660" t="s">
        <v>94</v>
      </c>
      <c r="F660" t="s">
        <v>1139</v>
      </c>
      <c r="G660" t="s">
        <v>4</v>
      </c>
      <c r="H660" t="s">
        <v>10</v>
      </c>
      <c r="I660" t="str">
        <f t="shared" si="21"/>
        <v/>
      </c>
    </row>
    <row r="661" spans="1:9">
      <c r="A661">
        <v>650</v>
      </c>
      <c r="B661" t="str">
        <f t="shared" si="20"/>
        <v>james edward mcfetridge</v>
      </c>
      <c r="C661" t="s">
        <v>1407</v>
      </c>
      <c r="D661" t="s">
        <v>90</v>
      </c>
      <c r="E661" t="s">
        <v>236</v>
      </c>
      <c r="F661" t="s">
        <v>1408</v>
      </c>
      <c r="G661" t="s">
        <v>4</v>
      </c>
      <c r="H661" t="s">
        <v>10</v>
      </c>
      <c r="I661" t="str">
        <f t="shared" si="21"/>
        <v/>
      </c>
    </row>
    <row r="662" spans="1:9">
      <c r="A662">
        <v>651</v>
      </c>
      <c r="B662" t="str">
        <f t="shared" si="20"/>
        <v>linda ann mcfadden</v>
      </c>
      <c r="C662" t="s">
        <v>1409</v>
      </c>
      <c r="D662" t="s">
        <v>989</v>
      </c>
      <c r="E662" t="s">
        <v>3</v>
      </c>
      <c r="F662" t="s">
        <v>29</v>
      </c>
      <c r="G662" t="s">
        <v>4</v>
      </c>
      <c r="H662" t="s">
        <v>10</v>
      </c>
      <c r="I662" t="str">
        <f t="shared" si="21"/>
        <v/>
      </c>
    </row>
    <row r="663" spans="1:9">
      <c r="A663">
        <v>652</v>
      </c>
      <c r="B663" t="str">
        <f t="shared" si="20"/>
        <v>robert poul mcelhany</v>
      </c>
      <c r="C663" t="s">
        <v>1410</v>
      </c>
      <c r="D663" t="s">
        <v>72</v>
      </c>
      <c r="E663" t="s">
        <v>1411</v>
      </c>
      <c r="F663" t="s">
        <v>8</v>
      </c>
      <c r="G663" t="s">
        <v>1044</v>
      </c>
      <c r="H663" t="s">
        <v>10</v>
      </c>
      <c r="I663" t="str">
        <f t="shared" si="21"/>
        <v/>
      </c>
    </row>
    <row r="664" spans="1:9">
      <c r="A664">
        <v>653</v>
      </c>
      <c r="B664" t="str">
        <f t="shared" si="20"/>
        <v>david thoma meeachen</v>
      </c>
      <c r="C664" t="s">
        <v>1412</v>
      </c>
      <c r="D664" t="s">
        <v>28</v>
      </c>
      <c r="E664" t="s">
        <v>1413</v>
      </c>
      <c r="F664" t="s">
        <v>137</v>
      </c>
      <c r="G664" t="s">
        <v>4</v>
      </c>
      <c r="H664" t="s">
        <v>4</v>
      </c>
      <c r="I664" t="str">
        <f t="shared" si="21"/>
        <v/>
      </c>
    </row>
    <row r="665" spans="1:9">
      <c r="A665">
        <v>654</v>
      </c>
      <c r="B665" t="str">
        <f t="shared" si="20"/>
        <v>alex c. mcdonald</v>
      </c>
      <c r="C665" t="s">
        <v>1415</v>
      </c>
      <c r="D665" t="s">
        <v>939</v>
      </c>
      <c r="E665" t="s">
        <v>332</v>
      </c>
      <c r="F665" t="s">
        <v>1416</v>
      </c>
      <c r="G665" t="s">
        <v>1417</v>
      </c>
      <c r="H665" t="s">
        <v>212</v>
      </c>
      <c r="I665" t="str">
        <f t="shared" si="21"/>
        <v/>
      </c>
    </row>
    <row r="666" spans="1:9">
      <c r="A666">
        <v>655</v>
      </c>
      <c r="B666" t="str">
        <f t="shared" si="20"/>
        <v>joanne  mccracken</v>
      </c>
      <c r="C666" t="s">
        <v>1418</v>
      </c>
      <c r="D666" t="s">
        <v>1169</v>
      </c>
      <c r="E666" t="s">
        <v>4</v>
      </c>
      <c r="F666" t="s">
        <v>14</v>
      </c>
      <c r="G666" t="s">
        <v>4</v>
      </c>
      <c r="H666" t="s">
        <v>10</v>
      </c>
      <c r="I666" t="str">
        <f t="shared" si="21"/>
        <v/>
      </c>
    </row>
    <row r="667" spans="1:9">
      <c r="A667">
        <v>656</v>
      </c>
      <c r="B667" t="str">
        <f t="shared" si="20"/>
        <v>charles w mccoy</v>
      </c>
      <c r="C667" t="s">
        <v>1419</v>
      </c>
      <c r="D667" t="s">
        <v>35</v>
      </c>
      <c r="E667" t="s">
        <v>583</v>
      </c>
      <c r="F667" t="s">
        <v>25</v>
      </c>
      <c r="G667" t="s">
        <v>1420</v>
      </c>
      <c r="H667" t="s">
        <v>10</v>
      </c>
      <c r="I667" t="str">
        <f t="shared" si="21"/>
        <v/>
      </c>
    </row>
    <row r="668" spans="1:9">
      <c r="A668">
        <v>657</v>
      </c>
      <c r="B668" t="str">
        <f t="shared" si="20"/>
        <v>kevin james mccormick</v>
      </c>
      <c r="C668" t="s">
        <v>1421</v>
      </c>
      <c r="D668" t="s">
        <v>1246</v>
      </c>
      <c r="E668" t="s">
        <v>90</v>
      </c>
      <c r="F668" t="s">
        <v>1422</v>
      </c>
      <c r="G668" t="s">
        <v>4</v>
      </c>
      <c r="H668" t="s">
        <v>10</v>
      </c>
      <c r="I668" t="str">
        <f t="shared" si="21"/>
        <v/>
      </c>
    </row>
    <row r="669" spans="1:9">
      <c r="A669">
        <v>658</v>
      </c>
      <c r="B669" t="str">
        <f t="shared" si="20"/>
        <v>judith d. mcconnell</v>
      </c>
      <c r="C669" t="s">
        <v>1423</v>
      </c>
      <c r="D669" t="s">
        <v>334</v>
      </c>
      <c r="E669" t="s">
        <v>186</v>
      </c>
      <c r="F669" t="s">
        <v>19</v>
      </c>
      <c r="G669" t="s">
        <v>1424</v>
      </c>
      <c r="H669" t="s">
        <v>833</v>
      </c>
      <c r="I669" t="str">
        <f t="shared" si="21"/>
        <v/>
      </c>
    </row>
    <row r="670" spans="1:9">
      <c r="A670">
        <v>659</v>
      </c>
      <c r="B670" t="str">
        <f t="shared" si="20"/>
        <v>brian s. mccarville</v>
      </c>
      <c r="C670" t="s">
        <v>1425</v>
      </c>
      <c r="D670" t="s">
        <v>57</v>
      </c>
      <c r="E670" t="s">
        <v>174</v>
      </c>
      <c r="F670" t="s">
        <v>1426</v>
      </c>
      <c r="G670" t="s">
        <v>626</v>
      </c>
      <c r="H670" t="s">
        <v>36</v>
      </c>
      <c r="I670" t="str">
        <f t="shared" si="21"/>
        <v/>
      </c>
    </row>
    <row r="671" spans="1:9">
      <c r="A671">
        <v>660</v>
      </c>
      <c r="B671" t="str">
        <f t="shared" si="20"/>
        <v>michael sterliug mccartin</v>
      </c>
      <c r="C671" t="s">
        <v>1427</v>
      </c>
      <c r="D671" t="s">
        <v>219</v>
      </c>
      <c r="E671" t="s">
        <v>1428</v>
      </c>
      <c r="F671" t="s">
        <v>1335</v>
      </c>
      <c r="G671" t="s">
        <v>4</v>
      </c>
      <c r="H671" t="s">
        <v>36</v>
      </c>
      <c r="I671" t="str">
        <f t="shared" si="21"/>
        <v/>
      </c>
    </row>
    <row r="672" spans="1:9">
      <c r="A672">
        <v>661</v>
      </c>
      <c r="B672" t="str">
        <f t="shared" si="20"/>
        <v>bridgid m mccann</v>
      </c>
      <c r="C672" t="s">
        <v>1429</v>
      </c>
      <c r="D672" t="s">
        <v>1430</v>
      </c>
      <c r="E672" t="s">
        <v>410</v>
      </c>
      <c r="F672" t="s">
        <v>1431</v>
      </c>
      <c r="G672" t="s">
        <v>1432</v>
      </c>
      <c r="H672" t="s">
        <v>36</v>
      </c>
      <c r="I672" t="str">
        <f t="shared" si="21"/>
        <v/>
      </c>
    </row>
    <row r="673" spans="1:9">
      <c r="A673">
        <v>662</v>
      </c>
      <c r="B673" t="str">
        <f t="shared" si="20"/>
        <v>brian  mccabe</v>
      </c>
      <c r="C673" t="s">
        <v>1433</v>
      </c>
      <c r="D673" t="s">
        <v>57</v>
      </c>
      <c r="E673" t="s">
        <v>4</v>
      </c>
      <c r="F673" t="s">
        <v>571</v>
      </c>
      <c r="G673" t="s">
        <v>1001</v>
      </c>
      <c r="H673" t="s">
        <v>10</v>
      </c>
      <c r="I673" t="str">
        <f t="shared" si="21"/>
        <v/>
      </c>
    </row>
    <row r="674" spans="1:9">
      <c r="A674">
        <v>663</v>
      </c>
      <c r="B674" t="str">
        <f t="shared" si="20"/>
        <v>peter j mcbrien</v>
      </c>
      <c r="C674" t="s">
        <v>1434</v>
      </c>
      <c r="D674" t="s">
        <v>336</v>
      </c>
      <c r="E674" t="s">
        <v>1296</v>
      </c>
      <c r="F674" t="s">
        <v>32</v>
      </c>
      <c r="G674" t="s">
        <v>434</v>
      </c>
      <c r="H674" t="s">
        <v>10</v>
      </c>
      <c r="I674" t="str">
        <f t="shared" si="21"/>
        <v/>
      </c>
    </row>
    <row r="675" spans="1:9">
      <c r="A675">
        <v>664</v>
      </c>
      <c r="B675" t="str">
        <f t="shared" si="20"/>
        <v>james joseph mcbride</v>
      </c>
      <c r="C675" t="s">
        <v>1435</v>
      </c>
      <c r="D675" t="s">
        <v>90</v>
      </c>
      <c r="E675" t="s">
        <v>80</v>
      </c>
      <c r="F675" t="s">
        <v>49</v>
      </c>
      <c r="G675" t="s">
        <v>70</v>
      </c>
      <c r="H675" t="s">
        <v>10</v>
      </c>
      <c r="I675" t="str">
        <f t="shared" si="21"/>
        <v/>
      </c>
    </row>
    <row r="676" spans="1:9">
      <c r="A676">
        <v>665</v>
      </c>
      <c r="B676" t="str">
        <f t="shared" si="20"/>
        <v>william hays mcadam</v>
      </c>
      <c r="C676" t="s">
        <v>1436</v>
      </c>
      <c r="D676" t="s">
        <v>155</v>
      </c>
      <c r="E676" t="s">
        <v>1437</v>
      </c>
      <c r="F676" t="s">
        <v>101</v>
      </c>
      <c r="G676" t="s">
        <v>102</v>
      </c>
      <c r="H676" t="s">
        <v>103</v>
      </c>
      <c r="I676" t="str">
        <f t="shared" si="21"/>
        <v/>
      </c>
    </row>
    <row r="677" spans="1:9">
      <c r="A677">
        <v>666</v>
      </c>
      <c r="B677" t="str">
        <f t="shared" si="20"/>
        <v>samuel thow mcadam</v>
      </c>
      <c r="C677" t="s">
        <v>1436</v>
      </c>
      <c r="D677" t="s">
        <v>1438</v>
      </c>
      <c r="E677" t="s">
        <v>1439</v>
      </c>
      <c r="F677" t="s">
        <v>1440</v>
      </c>
      <c r="G677" t="s">
        <v>4</v>
      </c>
      <c r="H677" t="s">
        <v>10</v>
      </c>
      <c r="I677" t="str">
        <f t="shared" si="21"/>
        <v/>
      </c>
    </row>
    <row r="678" spans="1:9">
      <c r="A678">
        <v>667</v>
      </c>
      <c r="B678" t="str">
        <f t="shared" si="20"/>
        <v>john david mazurek</v>
      </c>
      <c r="C678" t="s">
        <v>1441</v>
      </c>
      <c r="D678" t="s">
        <v>7</v>
      </c>
      <c r="E678" t="s">
        <v>28</v>
      </c>
      <c r="F678" t="s">
        <v>32</v>
      </c>
      <c r="G678" t="s">
        <v>411</v>
      </c>
      <c r="H678" t="s">
        <v>36</v>
      </c>
      <c r="I678" t="str">
        <f t="shared" si="21"/>
        <v/>
      </c>
    </row>
    <row r="679" spans="1:9">
      <c r="A679">
        <v>668</v>
      </c>
      <c r="B679" t="str">
        <f t="shared" si="20"/>
        <v>william a mayhew</v>
      </c>
      <c r="C679" t="s">
        <v>1442</v>
      </c>
      <c r="D679" t="s">
        <v>155</v>
      </c>
      <c r="E679" t="s">
        <v>39</v>
      </c>
      <c r="F679" t="s">
        <v>1443</v>
      </c>
      <c r="G679" t="s">
        <v>4</v>
      </c>
      <c r="H679" t="s">
        <v>10</v>
      </c>
      <c r="I679" t="str">
        <f t="shared" si="21"/>
        <v/>
      </c>
    </row>
    <row r="680" spans="1:9">
      <c r="A680">
        <v>669</v>
      </c>
      <c r="B680" t="str">
        <f t="shared" si="20"/>
        <v>cindee f mayfield</v>
      </c>
      <c r="C680" t="s">
        <v>1444</v>
      </c>
      <c r="D680" t="s">
        <v>1445</v>
      </c>
      <c r="E680" t="s">
        <v>288</v>
      </c>
      <c r="F680" t="s">
        <v>1225</v>
      </c>
      <c r="G680" t="s">
        <v>4</v>
      </c>
      <c r="H680" t="s">
        <v>10</v>
      </c>
      <c r="I680" t="str">
        <f t="shared" si="21"/>
        <v/>
      </c>
    </row>
    <row r="681" spans="1:9">
      <c r="A681">
        <v>670</v>
      </c>
      <c r="B681" t="str">
        <f t="shared" si="20"/>
        <v>darrell  mavis</v>
      </c>
      <c r="C681" t="s">
        <v>1446</v>
      </c>
      <c r="D681" t="s">
        <v>1447</v>
      </c>
      <c r="E681" t="s">
        <v>4</v>
      </c>
      <c r="F681" t="s">
        <v>1448</v>
      </c>
      <c r="G681" t="s">
        <v>4</v>
      </c>
      <c r="H681" t="s">
        <v>10</v>
      </c>
      <c r="I681" t="str">
        <f t="shared" si="21"/>
        <v/>
      </c>
    </row>
    <row r="682" spans="1:9">
      <c r="A682">
        <v>671</v>
      </c>
      <c r="B682" t="str">
        <f t="shared" si="20"/>
        <v>philip k mautino</v>
      </c>
      <c r="C682" t="s">
        <v>1449</v>
      </c>
      <c r="D682" t="s">
        <v>589</v>
      </c>
      <c r="E682" t="s">
        <v>514</v>
      </c>
      <c r="F682" t="s">
        <v>698</v>
      </c>
      <c r="G682" t="s">
        <v>4</v>
      </c>
      <c r="H682" t="s">
        <v>10</v>
      </c>
      <c r="I682" t="str">
        <f t="shared" si="21"/>
        <v/>
      </c>
    </row>
    <row r="683" spans="1:9">
      <c r="A683">
        <v>672</v>
      </c>
      <c r="B683" t="str">
        <f t="shared" si="20"/>
        <v>louis robert mauro</v>
      </c>
      <c r="C683" t="s">
        <v>1450</v>
      </c>
      <c r="D683" t="s">
        <v>540</v>
      </c>
      <c r="E683" t="s">
        <v>72</v>
      </c>
      <c r="F683" t="s">
        <v>19</v>
      </c>
      <c r="G683" t="s">
        <v>1209</v>
      </c>
      <c r="H683" t="s">
        <v>212</v>
      </c>
      <c r="I683" t="str">
        <f t="shared" si="21"/>
        <v/>
      </c>
    </row>
    <row r="684" spans="1:9">
      <c r="A684">
        <v>673</v>
      </c>
      <c r="B684" t="str">
        <f t="shared" si="20"/>
        <v>laura anne matz</v>
      </c>
      <c r="C684" t="s">
        <v>1451</v>
      </c>
      <c r="D684" t="s">
        <v>259</v>
      </c>
      <c r="E684" t="s">
        <v>1452</v>
      </c>
      <c r="F684" t="s">
        <v>8</v>
      </c>
      <c r="G684" t="s">
        <v>40</v>
      </c>
      <c r="H684" t="s">
        <v>10</v>
      </c>
      <c r="I684" t="str">
        <f t="shared" si="21"/>
        <v/>
      </c>
    </row>
    <row r="685" spans="1:9">
      <c r="A685">
        <v>674</v>
      </c>
      <c r="B685" t="str">
        <f t="shared" si="20"/>
        <v>michael charles mattice</v>
      </c>
      <c r="C685" t="s">
        <v>1453</v>
      </c>
      <c r="D685" t="s">
        <v>219</v>
      </c>
      <c r="E685" t="s">
        <v>35</v>
      </c>
      <c r="F685" t="s">
        <v>1454</v>
      </c>
      <c r="G685" t="s">
        <v>1455</v>
      </c>
      <c r="H685" t="s">
        <v>103</v>
      </c>
      <c r="I685" t="str">
        <f t="shared" si="21"/>
        <v/>
      </c>
    </row>
    <row r="686" spans="1:9">
      <c r="A686">
        <v>675</v>
      </c>
      <c r="B686" t="str">
        <f t="shared" si="20"/>
        <v>david charles mathias</v>
      </c>
      <c r="C686" t="s">
        <v>1456</v>
      </c>
      <c r="D686" t="s">
        <v>28</v>
      </c>
      <c r="E686" t="s">
        <v>35</v>
      </c>
      <c r="F686" t="s">
        <v>281</v>
      </c>
      <c r="G686" t="s">
        <v>4</v>
      </c>
      <c r="H686" t="s">
        <v>10</v>
      </c>
      <c r="I686" t="str">
        <f t="shared" si="21"/>
        <v/>
      </c>
    </row>
    <row r="687" spans="1:9">
      <c r="A687">
        <v>676</v>
      </c>
      <c r="B687" t="str">
        <f t="shared" si="20"/>
        <v>susan j matcham</v>
      </c>
      <c r="C687" t="s">
        <v>1457</v>
      </c>
      <c r="D687" t="s">
        <v>676</v>
      </c>
      <c r="E687" t="s">
        <v>1296</v>
      </c>
      <c r="F687" t="s">
        <v>146</v>
      </c>
      <c r="G687" t="s">
        <v>4</v>
      </c>
      <c r="H687" t="s">
        <v>4</v>
      </c>
      <c r="I687" t="str">
        <f t="shared" si="21"/>
        <v/>
      </c>
    </row>
    <row r="688" spans="1:9">
      <c r="A688">
        <v>677</v>
      </c>
      <c r="B688" t="str">
        <f t="shared" si="20"/>
        <v>laura jean masunaga</v>
      </c>
      <c r="C688" t="s">
        <v>1458</v>
      </c>
      <c r="D688" t="s">
        <v>259</v>
      </c>
      <c r="E688" t="s">
        <v>1131</v>
      </c>
      <c r="F688" t="s">
        <v>1459</v>
      </c>
      <c r="G688" t="s">
        <v>4</v>
      </c>
      <c r="H688" t="s">
        <v>36</v>
      </c>
      <c r="I688" t="str">
        <f t="shared" si="21"/>
        <v/>
      </c>
    </row>
    <row r="689" spans="1:9">
      <c r="A689">
        <v>678</v>
      </c>
      <c r="B689" t="str">
        <f t="shared" si="20"/>
        <v>anne-christine theresa massullo</v>
      </c>
      <c r="C689" t="s">
        <v>1460</v>
      </c>
      <c r="D689" t="s">
        <v>1461</v>
      </c>
      <c r="E689" t="s">
        <v>1462</v>
      </c>
      <c r="F689" t="s">
        <v>88</v>
      </c>
      <c r="G689" t="s">
        <v>4</v>
      </c>
      <c r="H689" t="s">
        <v>10</v>
      </c>
      <c r="I689" t="str">
        <f t="shared" si="21"/>
        <v/>
      </c>
    </row>
    <row r="690" spans="1:9">
      <c r="A690">
        <v>679</v>
      </c>
      <c r="B690" t="str">
        <f t="shared" si="20"/>
        <v>tomar barbara mason</v>
      </c>
      <c r="C690" t="s">
        <v>1463</v>
      </c>
      <c r="D690" t="s">
        <v>1464</v>
      </c>
      <c r="E690" t="s">
        <v>2</v>
      </c>
      <c r="F690" t="s">
        <v>4078</v>
      </c>
      <c r="G690" t="s">
        <v>4</v>
      </c>
      <c r="H690" t="s">
        <v>4</v>
      </c>
      <c r="I690" t="str">
        <f t="shared" si="21"/>
        <v/>
      </c>
    </row>
    <row r="691" spans="1:9">
      <c r="A691">
        <v>680</v>
      </c>
      <c r="B691" t="str">
        <f t="shared" si="20"/>
        <v>david allen mason</v>
      </c>
      <c r="C691" t="s">
        <v>1463</v>
      </c>
      <c r="D691" t="s">
        <v>28</v>
      </c>
      <c r="E691" t="s">
        <v>192</v>
      </c>
      <c r="F691" t="s">
        <v>1465</v>
      </c>
      <c r="G691" t="s">
        <v>4</v>
      </c>
      <c r="H691" t="s">
        <v>36</v>
      </c>
      <c r="I691" t="str">
        <f t="shared" si="21"/>
        <v/>
      </c>
    </row>
    <row r="692" spans="1:9">
      <c r="A692">
        <v>681</v>
      </c>
      <c r="B692" t="str">
        <f t="shared" si="20"/>
        <v>victor david martinez</v>
      </c>
      <c r="C692" t="s">
        <v>1466</v>
      </c>
      <c r="D692" t="s">
        <v>76</v>
      </c>
      <c r="E692" t="s">
        <v>28</v>
      </c>
      <c r="F692" t="s">
        <v>32</v>
      </c>
      <c r="G692" t="s">
        <v>40</v>
      </c>
      <c r="H692" t="s">
        <v>103</v>
      </c>
      <c r="I692" t="str">
        <f t="shared" si="21"/>
        <v/>
      </c>
    </row>
    <row r="693" spans="1:9">
      <c r="A693">
        <v>682</v>
      </c>
      <c r="B693" t="str">
        <f t="shared" si="20"/>
        <v>robert m. martinez</v>
      </c>
      <c r="C693" t="s">
        <v>1466</v>
      </c>
      <c r="D693" t="s">
        <v>72</v>
      </c>
      <c r="E693" t="s">
        <v>189</v>
      </c>
      <c r="F693" t="s">
        <v>46</v>
      </c>
      <c r="G693" t="s">
        <v>4</v>
      </c>
      <c r="H693" t="s">
        <v>10</v>
      </c>
      <c r="I693" t="str">
        <f t="shared" si="21"/>
        <v/>
      </c>
    </row>
    <row r="694" spans="1:9">
      <c r="A694">
        <v>683</v>
      </c>
      <c r="B694" t="str">
        <f t="shared" si="20"/>
        <v>alexander r. martinez</v>
      </c>
      <c r="C694" t="s">
        <v>1466</v>
      </c>
      <c r="D694" t="s">
        <v>389</v>
      </c>
      <c r="E694" t="s">
        <v>265</v>
      </c>
      <c r="F694" t="s">
        <v>1467</v>
      </c>
      <c r="G694" t="s">
        <v>1468</v>
      </c>
      <c r="H694" t="s">
        <v>10</v>
      </c>
      <c r="I694" t="str">
        <f t="shared" si="21"/>
        <v/>
      </c>
    </row>
    <row r="695" spans="1:9">
      <c r="A695">
        <v>684</v>
      </c>
      <c r="B695" t="str">
        <f t="shared" si="20"/>
        <v>richard charles martin</v>
      </c>
      <c r="C695" t="s">
        <v>478</v>
      </c>
      <c r="D695" t="s">
        <v>173</v>
      </c>
      <c r="E695" t="s">
        <v>35</v>
      </c>
      <c r="F695" t="s">
        <v>492</v>
      </c>
      <c r="G695" t="s">
        <v>1361</v>
      </c>
      <c r="H695" t="s">
        <v>10</v>
      </c>
      <c r="I695" t="str">
        <f t="shared" si="21"/>
        <v/>
      </c>
    </row>
    <row r="696" spans="1:9">
      <c r="A696">
        <v>685</v>
      </c>
      <c r="B696" t="str">
        <f t="shared" si="20"/>
        <v>lia raeshawn martin</v>
      </c>
      <c r="C696" t="s">
        <v>478</v>
      </c>
      <c r="D696" t="s">
        <v>1469</v>
      </c>
      <c r="E696" t="s">
        <v>1470</v>
      </c>
      <c r="F696" t="s">
        <v>46</v>
      </c>
      <c r="G696" t="s">
        <v>299</v>
      </c>
      <c r="H696" t="s">
        <v>10</v>
      </c>
      <c r="I696" t="str">
        <f t="shared" si="21"/>
        <v/>
      </c>
    </row>
    <row r="697" spans="1:9">
      <c r="A697">
        <v>686</v>
      </c>
      <c r="B697" t="str">
        <f t="shared" si="20"/>
        <v>john n. martin</v>
      </c>
      <c r="C697" t="s">
        <v>478</v>
      </c>
      <c r="D697" t="s">
        <v>7</v>
      </c>
      <c r="E697" t="s">
        <v>1471</v>
      </c>
      <c r="F697" t="s">
        <v>32</v>
      </c>
      <c r="G697" t="s">
        <v>141</v>
      </c>
      <c r="H697" t="s">
        <v>36</v>
      </c>
      <c r="I697" t="str">
        <f t="shared" si="21"/>
        <v/>
      </c>
    </row>
    <row r="698" spans="1:9">
      <c r="A698">
        <v>686</v>
      </c>
      <c r="B698" t="str">
        <f t="shared" si="20"/>
        <v>john edward martin</v>
      </c>
      <c r="C698" t="s">
        <v>478</v>
      </c>
      <c r="D698" t="s">
        <v>7</v>
      </c>
      <c r="E698" t="s">
        <v>236</v>
      </c>
      <c r="F698" t="s">
        <v>1472</v>
      </c>
      <c r="G698" t="s">
        <v>4</v>
      </c>
      <c r="H698" t="s">
        <v>10</v>
      </c>
      <c r="I698" t="str">
        <f t="shared" si="21"/>
        <v/>
      </c>
    </row>
    <row r="699" spans="1:9">
      <c r="A699">
        <v>687</v>
      </c>
      <c r="B699" t="str">
        <f t="shared" si="20"/>
        <v>christopher b. marshall</v>
      </c>
      <c r="C699" t="s">
        <v>1473</v>
      </c>
      <c r="D699" t="s">
        <v>64</v>
      </c>
      <c r="E699" t="s">
        <v>400</v>
      </c>
      <c r="F699" t="s">
        <v>371</v>
      </c>
      <c r="G699" t="s">
        <v>1474</v>
      </c>
      <c r="H699" t="s">
        <v>36</v>
      </c>
      <c r="I699" t="str">
        <f t="shared" si="21"/>
        <v/>
      </c>
    </row>
    <row r="700" spans="1:9">
      <c r="A700">
        <v>688</v>
      </c>
      <c r="B700" t="str">
        <f t="shared" si="20"/>
        <v>bruce frederick frederick marrs</v>
      </c>
      <c r="C700" t="s">
        <v>1475</v>
      </c>
      <c r="D700" t="s">
        <v>1476</v>
      </c>
      <c r="E700" t="s">
        <v>254</v>
      </c>
      <c r="F700" t="s">
        <v>1477</v>
      </c>
      <c r="G700" t="s">
        <v>4</v>
      </c>
      <c r="H700" t="s">
        <v>10</v>
      </c>
      <c r="I700" t="str">
        <f t="shared" si="21"/>
        <v/>
      </c>
    </row>
    <row r="701" spans="1:9">
      <c r="A701">
        <v>689</v>
      </c>
      <c r="B701" t="str">
        <f t="shared" si="20"/>
        <v>marc  marmaro</v>
      </c>
      <c r="C701" t="s">
        <v>1478</v>
      </c>
      <c r="D701" t="s">
        <v>1479</v>
      </c>
      <c r="E701" t="s">
        <v>4</v>
      </c>
      <c r="F701" t="s">
        <v>46</v>
      </c>
      <c r="G701" t="s">
        <v>4</v>
      </c>
      <c r="H701" t="s">
        <v>10</v>
      </c>
      <c r="I701" t="str">
        <f t="shared" si="21"/>
        <v/>
      </c>
    </row>
    <row r="702" spans="1:9">
      <c r="A702">
        <v>690</v>
      </c>
      <c r="B702" t="str">
        <f t="shared" si="20"/>
        <v>monica marjane marlow</v>
      </c>
      <c r="C702" t="s">
        <v>1480</v>
      </c>
      <c r="D702" t="s">
        <v>160</v>
      </c>
      <c r="E702" t="s">
        <v>1481</v>
      </c>
      <c r="F702" t="s">
        <v>49</v>
      </c>
      <c r="G702" t="s">
        <v>1482</v>
      </c>
      <c r="H702" t="s">
        <v>36</v>
      </c>
      <c r="I702" t="str">
        <f t="shared" si="21"/>
        <v/>
      </c>
    </row>
    <row r="703" spans="1:9">
      <c r="A703">
        <v>691</v>
      </c>
      <c r="B703" t="str">
        <f t="shared" si="20"/>
        <v>george patrick marlette</v>
      </c>
      <c r="C703" t="s">
        <v>1483</v>
      </c>
      <c r="D703" t="s">
        <v>237</v>
      </c>
      <c r="E703" t="s">
        <v>6</v>
      </c>
      <c r="F703" t="s">
        <v>1304</v>
      </c>
      <c r="G703" t="s">
        <v>4</v>
      </c>
      <c r="H703" t="s">
        <v>4</v>
      </c>
      <c r="I703" t="str">
        <f t="shared" si="21"/>
        <v/>
      </c>
    </row>
    <row r="704" spans="1:9">
      <c r="A704">
        <v>692</v>
      </c>
      <c r="B704" t="str">
        <f t="shared" si="20"/>
        <v>linda s deputy marks</v>
      </c>
      <c r="C704" t="s">
        <v>1484</v>
      </c>
      <c r="D704" t="s">
        <v>989</v>
      </c>
      <c r="E704" t="s">
        <v>1485</v>
      </c>
      <c r="F704" t="s">
        <v>32</v>
      </c>
      <c r="G704" t="s">
        <v>725</v>
      </c>
      <c r="H704" t="s">
        <v>36</v>
      </c>
      <c r="I704" t="str">
        <f t="shared" si="21"/>
        <v/>
      </c>
    </row>
    <row r="705" spans="1:9">
      <c r="A705">
        <v>692</v>
      </c>
      <c r="B705" t="str">
        <f t="shared" si="20"/>
        <v>linda s. marks</v>
      </c>
      <c r="C705" t="s">
        <v>1484</v>
      </c>
      <c r="D705" t="s">
        <v>989</v>
      </c>
      <c r="E705" t="s">
        <v>174</v>
      </c>
      <c r="F705" t="s">
        <v>32</v>
      </c>
      <c r="G705" t="s">
        <v>725</v>
      </c>
      <c r="H705" t="s">
        <v>36</v>
      </c>
      <c r="I705" t="str">
        <f t="shared" si="21"/>
        <v/>
      </c>
    </row>
    <row r="706" spans="1:9">
      <c r="A706">
        <v>693</v>
      </c>
      <c r="B706" t="str">
        <f t="shared" si="20"/>
        <v>joy bf wiesenfeld markman</v>
      </c>
      <c r="C706" t="s">
        <v>1486</v>
      </c>
      <c r="D706" t="s">
        <v>1194</v>
      </c>
      <c r="E706" t="s">
        <v>1487</v>
      </c>
      <c r="F706" t="s">
        <v>137</v>
      </c>
      <c r="G706" t="s">
        <v>4</v>
      </c>
      <c r="H706" t="s">
        <v>36</v>
      </c>
      <c r="I706" t="str">
        <f t="shared" si="21"/>
        <v/>
      </c>
    </row>
    <row r="707" spans="1:9">
      <c r="A707">
        <v>694</v>
      </c>
      <c r="B707" t="str">
        <f t="shared" ref="B707:B770" si="22">TRIM($D707) &amp; " " &amp; TRIM($E707) &amp; " " &amp; TRIM($C707)</f>
        <v>paul mario marigonda</v>
      </c>
      <c r="C707" t="s">
        <v>1488</v>
      </c>
      <c r="D707" t="s">
        <v>280</v>
      </c>
      <c r="E707" t="s">
        <v>1489</v>
      </c>
      <c r="F707" t="s">
        <v>1490</v>
      </c>
      <c r="G707" t="s">
        <v>4</v>
      </c>
      <c r="H707" t="s">
        <v>36</v>
      </c>
      <c r="I707" t="str">
        <f t="shared" ref="I707:I770" si="23">IF(NOT(ISERROR(FIND("judge",F707))),"judge","")</f>
        <v/>
      </c>
    </row>
    <row r="708" spans="1:9">
      <c r="A708">
        <v>695</v>
      </c>
      <c r="B708" t="str">
        <f t="shared" si="22"/>
        <v>sandra lynn margulies</v>
      </c>
      <c r="C708" t="s">
        <v>1491</v>
      </c>
      <c r="D708" t="s">
        <v>1377</v>
      </c>
      <c r="E708" t="s">
        <v>197</v>
      </c>
      <c r="F708" t="s">
        <v>19</v>
      </c>
      <c r="G708" t="s">
        <v>1492</v>
      </c>
      <c r="H708" t="s">
        <v>212</v>
      </c>
      <c r="I708" t="str">
        <f t="shared" si="23"/>
        <v/>
      </c>
    </row>
    <row r="709" spans="1:9">
      <c r="A709">
        <v>696</v>
      </c>
      <c r="B709" t="str">
        <f t="shared" si="22"/>
        <v>charles bf margnes</v>
      </c>
      <c r="C709" t="s">
        <v>1493</v>
      </c>
      <c r="D709" t="s">
        <v>35</v>
      </c>
      <c r="E709" t="s">
        <v>767</v>
      </c>
      <c r="F709" t="s">
        <v>32</v>
      </c>
      <c r="G709" t="s">
        <v>1494</v>
      </c>
      <c r="H709" t="s">
        <v>36</v>
      </c>
      <c r="I709" t="str">
        <f t="shared" si="23"/>
        <v/>
      </c>
    </row>
    <row r="710" spans="1:9">
      <c r="A710">
        <v>697</v>
      </c>
      <c r="B710" t="str">
        <f t="shared" si="22"/>
        <v>stephen austin marcus</v>
      </c>
      <c r="C710" t="s">
        <v>1495</v>
      </c>
      <c r="D710" t="s">
        <v>183</v>
      </c>
      <c r="E710" t="s">
        <v>1496</v>
      </c>
      <c r="F710" t="s">
        <v>4079</v>
      </c>
      <c r="G710" t="s">
        <v>4</v>
      </c>
      <c r="H710" t="s">
        <v>4</v>
      </c>
      <c r="I710" t="str">
        <f t="shared" si="23"/>
        <v/>
      </c>
    </row>
    <row r="711" spans="1:9">
      <c r="A711">
        <v>698</v>
      </c>
      <c r="B711" t="str">
        <f t="shared" si="22"/>
        <v>guadalupe guadalupe marcoida</v>
      </c>
      <c r="C711" t="s">
        <v>1497</v>
      </c>
      <c r="D711" t="s">
        <v>1498</v>
      </c>
      <c r="E711" t="s">
        <v>1498</v>
      </c>
      <c r="F711" t="s">
        <v>654</v>
      </c>
      <c r="G711" t="s">
        <v>49</v>
      </c>
      <c r="H711" t="s">
        <v>103</v>
      </c>
      <c r="I711" t="str">
        <f t="shared" si="23"/>
        <v/>
      </c>
    </row>
    <row r="712" spans="1:9">
      <c r="A712">
        <v>699</v>
      </c>
      <c r="B712" t="str">
        <f t="shared" si="22"/>
        <v>james john marchiano</v>
      </c>
      <c r="C712" t="s">
        <v>1499</v>
      </c>
      <c r="D712" t="s">
        <v>90</v>
      </c>
      <c r="E712" t="s">
        <v>7</v>
      </c>
      <c r="F712" t="s">
        <v>1500</v>
      </c>
      <c r="G712" t="s">
        <v>1501</v>
      </c>
      <c r="H712" t="s">
        <v>833</v>
      </c>
      <c r="I712" t="str">
        <f t="shared" si="23"/>
        <v/>
      </c>
    </row>
    <row r="713" spans="1:9">
      <c r="A713">
        <v>700</v>
      </c>
      <c r="B713" t="str">
        <f t="shared" si="22"/>
        <v>steven alan mapes</v>
      </c>
      <c r="C713" t="s">
        <v>1502</v>
      </c>
      <c r="D713" t="s">
        <v>339</v>
      </c>
      <c r="E713" t="s">
        <v>48</v>
      </c>
      <c r="F713" t="s">
        <v>32</v>
      </c>
      <c r="G713" t="s">
        <v>1022</v>
      </c>
      <c r="H713" t="s">
        <v>10</v>
      </c>
      <c r="I713" t="str">
        <f t="shared" si="23"/>
        <v/>
      </c>
    </row>
    <row r="714" spans="1:9">
      <c r="A714">
        <v>701</v>
      </c>
      <c r="B714" t="str">
        <f t="shared" si="22"/>
        <v>andre bk manssourian</v>
      </c>
      <c r="C714" t="s">
        <v>1503</v>
      </c>
      <c r="D714" t="s">
        <v>1504</v>
      </c>
      <c r="E714" t="s">
        <v>739</v>
      </c>
      <c r="F714" t="s">
        <v>32</v>
      </c>
      <c r="G714" t="s">
        <v>4</v>
      </c>
      <c r="H714" t="s">
        <v>36</v>
      </c>
      <c r="I714" t="str">
        <f t="shared" si="23"/>
        <v/>
      </c>
    </row>
    <row r="715" spans="1:9">
      <c r="A715">
        <v>702</v>
      </c>
      <c r="B715" t="str">
        <f t="shared" si="22"/>
        <v>peter  manoukian socrater pe</v>
      </c>
      <c r="C715" t="s">
        <v>1505</v>
      </c>
      <c r="D715" t="s">
        <v>336</v>
      </c>
      <c r="E715" t="s">
        <v>4</v>
      </c>
      <c r="F715" t="s">
        <v>1506</v>
      </c>
      <c r="G715" t="s">
        <v>4</v>
      </c>
      <c r="H715" t="s">
        <v>4</v>
      </c>
      <c r="I715" t="str">
        <f t="shared" si="23"/>
        <v/>
      </c>
    </row>
    <row r="716" spans="1:9">
      <c r="A716">
        <v>703</v>
      </c>
      <c r="B716" t="str">
        <f t="shared" si="22"/>
        <v>stephen v manley</v>
      </c>
      <c r="C716" t="s">
        <v>1507</v>
      </c>
      <c r="D716" t="s">
        <v>183</v>
      </c>
      <c r="E716" t="s">
        <v>1043</v>
      </c>
      <c r="F716" t="s">
        <v>49</v>
      </c>
      <c r="G716" t="s">
        <v>4</v>
      </c>
      <c r="H716" t="s">
        <v>10</v>
      </c>
      <c r="I716" t="str">
        <f t="shared" si="23"/>
        <v/>
      </c>
    </row>
    <row r="717" spans="1:9">
      <c r="A717">
        <v>704</v>
      </c>
      <c r="B717" t="str">
        <f t="shared" si="22"/>
        <v>nora m. manella</v>
      </c>
      <c r="C717" t="s">
        <v>1508</v>
      </c>
      <c r="D717" t="s">
        <v>1509</v>
      </c>
      <c r="E717" t="s">
        <v>189</v>
      </c>
      <c r="F717" t="s">
        <v>19</v>
      </c>
      <c r="G717" t="s">
        <v>20</v>
      </c>
      <c r="H717" t="s">
        <v>21</v>
      </c>
      <c r="I717" t="str">
        <f t="shared" si="23"/>
        <v/>
      </c>
    </row>
    <row r="718" spans="1:9">
      <c r="A718">
        <v>705</v>
      </c>
      <c r="B718" t="str">
        <f t="shared" si="22"/>
        <v>mark anthony mandio</v>
      </c>
      <c r="C718" t="s">
        <v>1510</v>
      </c>
      <c r="D718" t="s">
        <v>45</v>
      </c>
      <c r="E718" t="s">
        <v>150</v>
      </c>
      <c r="F718" t="s">
        <v>921</v>
      </c>
      <c r="G718" t="s">
        <v>118</v>
      </c>
      <c r="H718" t="s">
        <v>10</v>
      </c>
      <c r="I718" t="str">
        <f t="shared" si="23"/>
        <v/>
      </c>
    </row>
    <row r="719" spans="1:9">
      <c r="A719">
        <v>706</v>
      </c>
      <c r="B719" t="str">
        <f t="shared" si="22"/>
        <v>elaine  mandel</v>
      </c>
      <c r="C719" t="s">
        <v>1511</v>
      </c>
      <c r="D719" t="s">
        <v>525</v>
      </c>
      <c r="E719" t="s">
        <v>4</v>
      </c>
      <c r="F719" t="s">
        <v>25</v>
      </c>
      <c r="G719" t="s">
        <v>4</v>
      </c>
      <c r="H719" t="s">
        <v>10</v>
      </c>
      <c r="I719" t="str">
        <f t="shared" si="23"/>
        <v/>
      </c>
    </row>
    <row r="720" spans="1:9">
      <c r="A720">
        <v>707</v>
      </c>
      <c r="B720" t="str">
        <f t="shared" si="22"/>
        <v>steven curtis malone</v>
      </c>
      <c r="C720" t="s">
        <v>1512</v>
      </c>
      <c r="D720" t="s">
        <v>339</v>
      </c>
      <c r="E720" t="s">
        <v>533</v>
      </c>
      <c r="F720" t="s">
        <v>74</v>
      </c>
      <c r="G720" t="s">
        <v>1513</v>
      </c>
      <c r="H720" t="s">
        <v>10</v>
      </c>
      <c r="I720" t="str">
        <f t="shared" si="23"/>
        <v/>
      </c>
    </row>
    <row r="721" spans="1:9">
      <c r="A721">
        <v>708</v>
      </c>
      <c r="B721" t="str">
        <f t="shared" si="22"/>
        <v>richard m mallett</v>
      </c>
      <c r="C721" t="s">
        <v>1514</v>
      </c>
      <c r="D721" t="s">
        <v>173</v>
      </c>
      <c r="E721" t="s">
        <v>410</v>
      </c>
      <c r="F721" t="s">
        <v>303</v>
      </c>
      <c r="G721" t="s">
        <v>4</v>
      </c>
      <c r="H721" t="s">
        <v>36</v>
      </c>
      <c r="I721" t="str">
        <f t="shared" si="23"/>
        <v/>
      </c>
    </row>
    <row r="722" spans="1:9">
      <c r="A722">
        <v>709</v>
      </c>
      <c r="B722" t="str">
        <f t="shared" si="22"/>
        <v>robert michael mallano</v>
      </c>
      <c r="C722" t="s">
        <v>1515</v>
      </c>
      <c r="D722" t="s">
        <v>72</v>
      </c>
      <c r="E722" t="s">
        <v>219</v>
      </c>
      <c r="F722" t="s">
        <v>19</v>
      </c>
      <c r="G722" t="s">
        <v>20</v>
      </c>
      <c r="H722" t="s">
        <v>21</v>
      </c>
      <c r="I722" t="str">
        <f t="shared" si="23"/>
        <v/>
      </c>
    </row>
    <row r="723" spans="1:9">
      <c r="A723">
        <v>710</v>
      </c>
      <c r="B723" t="str">
        <f t="shared" si="22"/>
        <v>barbara j. mallach</v>
      </c>
      <c r="C723" t="s">
        <v>1516</v>
      </c>
      <c r="D723" t="s">
        <v>2</v>
      </c>
      <c r="E723" t="s">
        <v>94</v>
      </c>
      <c r="F723" t="s">
        <v>231</v>
      </c>
      <c r="G723" t="s">
        <v>4</v>
      </c>
      <c r="H723" t="s">
        <v>10</v>
      </c>
      <c r="I723" t="str">
        <f t="shared" si="23"/>
        <v/>
      </c>
    </row>
    <row r="724" spans="1:9">
      <c r="A724">
        <v>711</v>
      </c>
      <c r="B724" t="str">
        <f t="shared" si="22"/>
        <v>albert h. maldonado</v>
      </c>
      <c r="C724" t="s">
        <v>1517</v>
      </c>
      <c r="D724" t="s">
        <v>116</v>
      </c>
      <c r="E724" t="s">
        <v>957</v>
      </c>
      <c r="F724" t="s">
        <v>1518</v>
      </c>
      <c r="G724" t="s">
        <v>4</v>
      </c>
      <c r="H724" t="s">
        <v>4</v>
      </c>
      <c r="I724" t="str">
        <f t="shared" si="23"/>
        <v/>
      </c>
    </row>
    <row r="725" spans="1:9">
      <c r="A725">
        <v>712</v>
      </c>
      <c r="B725" t="str">
        <f t="shared" si="22"/>
        <v>sharon bernadette majors-lewis</v>
      </c>
      <c r="C725" t="s">
        <v>1519</v>
      </c>
      <c r="D725" t="s">
        <v>246</v>
      </c>
      <c r="E725" t="s">
        <v>1520</v>
      </c>
      <c r="F725" t="s">
        <v>101</v>
      </c>
      <c r="G725" t="s">
        <v>102</v>
      </c>
      <c r="H725" t="s">
        <v>103</v>
      </c>
      <c r="I725" t="str">
        <f t="shared" si="23"/>
        <v/>
      </c>
    </row>
    <row r="726" spans="1:9">
      <c r="A726">
        <v>713</v>
      </c>
      <c r="B726" t="str">
        <f t="shared" si="22"/>
        <v>runston g. maino</v>
      </c>
      <c r="C726" t="s">
        <v>1521</v>
      </c>
      <c r="D726" t="s">
        <v>1522</v>
      </c>
      <c r="E726" t="s">
        <v>156</v>
      </c>
      <c r="F726" t="s">
        <v>101</v>
      </c>
      <c r="G726" t="s">
        <v>102</v>
      </c>
      <c r="H726" t="s">
        <v>103</v>
      </c>
      <c r="I726" t="str">
        <f t="shared" si="23"/>
        <v/>
      </c>
    </row>
    <row r="727" spans="1:9">
      <c r="A727">
        <v>714</v>
      </c>
      <c r="B727" t="str">
        <f t="shared" si="22"/>
        <v>clare marie maier</v>
      </c>
      <c r="C727" t="s">
        <v>1523</v>
      </c>
      <c r="D727" t="s">
        <v>1524</v>
      </c>
      <c r="E727" t="s">
        <v>43</v>
      </c>
      <c r="F727" t="s">
        <v>1525</v>
      </c>
      <c r="G727" t="s">
        <v>4</v>
      </c>
      <c r="H727" t="s">
        <v>36</v>
      </c>
      <c r="I727" t="str">
        <f t="shared" si="23"/>
        <v/>
      </c>
    </row>
    <row r="728" spans="1:9">
      <c r="A728">
        <v>715</v>
      </c>
      <c r="B728" t="str">
        <f t="shared" si="22"/>
        <v>patrick john mahoney</v>
      </c>
      <c r="C728" t="s">
        <v>1526</v>
      </c>
      <c r="D728" t="s">
        <v>6</v>
      </c>
      <c r="E728" t="s">
        <v>7</v>
      </c>
      <c r="F728" t="s">
        <v>88</v>
      </c>
      <c r="G728" t="s">
        <v>10</v>
      </c>
      <c r="H728" t="s">
        <v>4</v>
      </c>
      <c r="I728" t="str">
        <f t="shared" si="23"/>
        <v/>
      </c>
    </row>
    <row r="729" spans="1:9">
      <c r="A729">
        <v>716</v>
      </c>
      <c r="B729" t="str">
        <f t="shared" si="22"/>
        <v>frederick  maguire</v>
      </c>
      <c r="C729" t="s">
        <v>1527</v>
      </c>
      <c r="D729" t="s">
        <v>254</v>
      </c>
      <c r="E729" t="s">
        <v>4</v>
      </c>
      <c r="F729" t="s">
        <v>101</v>
      </c>
      <c r="G729" t="s">
        <v>102</v>
      </c>
      <c r="H729" t="s">
        <v>103</v>
      </c>
      <c r="I729" t="str">
        <f t="shared" si="23"/>
        <v/>
      </c>
    </row>
    <row r="730" spans="1:9">
      <c r="A730">
        <v>717</v>
      </c>
      <c r="B730" t="str">
        <f t="shared" si="22"/>
        <v>daniel patrick maguire</v>
      </c>
      <c r="C730" t="s">
        <v>1527</v>
      </c>
      <c r="D730" t="s">
        <v>23</v>
      </c>
      <c r="E730" t="s">
        <v>6</v>
      </c>
      <c r="F730" t="s">
        <v>49</v>
      </c>
      <c r="G730" t="s">
        <v>934</v>
      </c>
      <c r="H730" t="s">
        <v>10</v>
      </c>
      <c r="I730" t="str">
        <f t="shared" si="23"/>
        <v/>
      </c>
    </row>
    <row r="731" spans="1:9">
      <c r="A731">
        <v>718</v>
      </c>
      <c r="B731" t="str">
        <f t="shared" si="22"/>
        <v>mark supermidcourt of ca county of mono g magit</v>
      </c>
      <c r="C731" t="s">
        <v>1528</v>
      </c>
      <c r="D731" t="s">
        <v>45</v>
      </c>
      <c r="E731" t="s">
        <v>1529</v>
      </c>
      <c r="F731" t="s">
        <v>1530</v>
      </c>
      <c r="G731" t="s">
        <v>4</v>
      </c>
      <c r="H731" t="s">
        <v>10</v>
      </c>
      <c r="I731" t="str">
        <f t="shared" si="23"/>
        <v/>
      </c>
    </row>
    <row r="732" spans="1:9">
      <c r="A732">
        <v>719</v>
      </c>
      <c r="B732" t="str">
        <f t="shared" si="22"/>
        <v>katherine  mader</v>
      </c>
      <c r="C732" t="s">
        <v>1531</v>
      </c>
      <c r="D732" t="s">
        <v>1532</v>
      </c>
      <c r="E732" t="s">
        <v>4</v>
      </c>
      <c r="F732" t="s">
        <v>4080</v>
      </c>
      <c r="G732" t="s">
        <v>4</v>
      </c>
      <c r="H732" t="s">
        <v>4</v>
      </c>
      <c r="I732" t="str">
        <f t="shared" si="23"/>
        <v/>
      </c>
    </row>
    <row r="733" spans="1:9">
      <c r="A733">
        <v>720</v>
      </c>
      <c r="B733" t="str">
        <f t="shared" si="22"/>
        <v>thomas michael maddock</v>
      </c>
      <c r="C733" t="s">
        <v>1533</v>
      </c>
      <c r="D733" t="s">
        <v>27</v>
      </c>
      <c r="E733" t="s">
        <v>219</v>
      </c>
      <c r="F733" t="s">
        <v>4081</v>
      </c>
      <c r="G733" t="s">
        <v>4</v>
      </c>
      <c r="H733" t="s">
        <v>4</v>
      </c>
      <c r="I733" t="str">
        <f t="shared" si="23"/>
        <v/>
      </c>
    </row>
    <row r="734" spans="1:9">
      <c r="A734">
        <v>721</v>
      </c>
      <c r="B734" t="str">
        <f t="shared" si="22"/>
        <v>patrick t. madden</v>
      </c>
      <c r="C734" t="s">
        <v>1534</v>
      </c>
      <c r="D734" t="s">
        <v>6</v>
      </c>
      <c r="E734" t="s">
        <v>636</v>
      </c>
      <c r="F734" t="s">
        <v>492</v>
      </c>
      <c r="G734" t="s">
        <v>692</v>
      </c>
      <c r="H734" t="s">
        <v>10</v>
      </c>
      <c r="I734" t="str">
        <f t="shared" si="23"/>
        <v/>
      </c>
    </row>
    <row r="735" spans="1:9">
      <c r="A735">
        <v>722</v>
      </c>
      <c r="B735" t="str">
        <f t="shared" si="22"/>
        <v>ronni banks maclaren</v>
      </c>
      <c r="C735" t="s">
        <v>1535</v>
      </c>
      <c r="D735" t="s">
        <v>1536</v>
      </c>
      <c r="E735" t="s">
        <v>1537</v>
      </c>
      <c r="F735" t="s">
        <v>387</v>
      </c>
      <c r="G735" t="s">
        <v>4</v>
      </c>
      <c r="H735" t="s">
        <v>10</v>
      </c>
      <c r="I735" t="str">
        <f t="shared" si="23"/>
        <v/>
      </c>
    </row>
    <row r="736" spans="1:9">
      <c r="A736">
        <v>723</v>
      </c>
      <c r="B736" t="str">
        <f t="shared" si="22"/>
        <v>malcolm h. mackey</v>
      </c>
      <c r="C736" t="s">
        <v>1538</v>
      </c>
      <c r="D736" t="s">
        <v>1539</v>
      </c>
      <c r="E736" t="s">
        <v>957</v>
      </c>
      <c r="F736" t="s">
        <v>25</v>
      </c>
      <c r="G736" t="s">
        <v>1540</v>
      </c>
      <c r="H736" t="s">
        <v>10</v>
      </c>
      <c r="I736" t="str">
        <f t="shared" si="23"/>
        <v/>
      </c>
    </row>
    <row r="737" spans="1:9">
      <c r="A737">
        <v>724</v>
      </c>
      <c r="B737" t="str">
        <f t="shared" si="22"/>
        <v>lyle michael mackenzie</v>
      </c>
      <c r="C737" t="s">
        <v>1541</v>
      </c>
      <c r="D737" t="s">
        <v>153</v>
      </c>
      <c r="E737" t="s">
        <v>219</v>
      </c>
      <c r="F737" t="s">
        <v>426</v>
      </c>
      <c r="G737" t="s">
        <v>427</v>
      </c>
      <c r="H737" t="s">
        <v>10</v>
      </c>
      <c r="I737" t="str">
        <f t="shared" si="23"/>
        <v/>
      </c>
    </row>
    <row r="738" spans="1:9">
      <c r="A738">
        <v>725</v>
      </c>
      <c r="B738" t="str">
        <f t="shared" si="22"/>
        <v>kenji  machida</v>
      </c>
      <c r="C738" t="s">
        <v>1542</v>
      </c>
      <c r="D738" t="s">
        <v>1543</v>
      </c>
      <c r="E738" t="s">
        <v>4</v>
      </c>
      <c r="F738" t="s">
        <v>25</v>
      </c>
      <c r="G738" t="s">
        <v>4</v>
      </c>
      <c r="H738" t="s">
        <v>10</v>
      </c>
      <c r="I738" t="str">
        <f t="shared" si="23"/>
        <v/>
      </c>
    </row>
    <row r="739" spans="1:9">
      <c r="A739">
        <v>726</v>
      </c>
      <c r="B739" t="str">
        <f t="shared" si="22"/>
        <v>william a. maclaughlin</v>
      </c>
      <c r="C739" t="s">
        <v>1544</v>
      </c>
      <c r="D739" t="s">
        <v>155</v>
      </c>
      <c r="E739" t="s">
        <v>447</v>
      </c>
      <c r="F739" t="s">
        <v>1749</v>
      </c>
      <c r="G739" t="s">
        <v>4</v>
      </c>
      <c r="H739" t="s">
        <v>4</v>
      </c>
      <c r="I739" t="str">
        <f t="shared" si="23"/>
        <v/>
      </c>
    </row>
    <row r="740" spans="1:9">
      <c r="A740">
        <v>727</v>
      </c>
      <c r="B740" t="str">
        <f t="shared" si="22"/>
        <v>earl h. maas iii</v>
      </c>
      <c r="C740" t="s">
        <v>1545</v>
      </c>
      <c r="D740" t="s">
        <v>1223</v>
      </c>
      <c r="E740" t="s">
        <v>957</v>
      </c>
      <c r="F740" t="s">
        <v>101</v>
      </c>
      <c r="G740" t="s">
        <v>102</v>
      </c>
      <c r="H740" t="s">
        <v>10</v>
      </c>
      <c r="I740" t="str">
        <f t="shared" si="23"/>
        <v/>
      </c>
    </row>
    <row r="741" spans="1:9">
      <c r="A741">
        <v>728</v>
      </c>
      <c r="B741" t="str">
        <f t="shared" si="22"/>
        <v>dalila c. lyons</v>
      </c>
      <c r="C741" t="s">
        <v>1546</v>
      </c>
      <c r="D741" t="s">
        <v>1547</v>
      </c>
      <c r="E741" t="s">
        <v>332</v>
      </c>
      <c r="F741" t="s">
        <v>4082</v>
      </c>
      <c r="G741" t="s">
        <v>4</v>
      </c>
      <c r="H741" t="s">
        <v>4</v>
      </c>
      <c r="I741" t="str">
        <f t="shared" si="23"/>
        <v/>
      </c>
    </row>
    <row r="742" spans="1:9">
      <c r="A742">
        <v>729</v>
      </c>
      <c r="B742" t="str">
        <f t="shared" si="22"/>
        <v>roger lynn lund</v>
      </c>
      <c r="C742" t="s">
        <v>1548</v>
      </c>
      <c r="D742" t="s">
        <v>853</v>
      </c>
      <c r="E742" t="s">
        <v>197</v>
      </c>
      <c r="F742" t="s">
        <v>32</v>
      </c>
      <c r="G742" t="s">
        <v>81</v>
      </c>
      <c r="H742" t="s">
        <v>10</v>
      </c>
      <c r="I742" t="str">
        <f t="shared" si="23"/>
        <v/>
      </c>
    </row>
    <row r="743" spans="1:9">
      <c r="A743">
        <v>730</v>
      </c>
      <c r="B743" t="str">
        <f t="shared" si="22"/>
        <v>ana maria mac luna</v>
      </c>
      <c r="C743" t="s">
        <v>1549</v>
      </c>
      <c r="D743" t="s">
        <v>1550</v>
      </c>
      <c r="E743" t="s">
        <v>1551</v>
      </c>
      <c r="F743" t="s">
        <v>4083</v>
      </c>
      <c r="G743" t="s">
        <v>4</v>
      </c>
      <c r="H743" t="s">
        <v>4</v>
      </c>
      <c r="I743" t="str">
        <f t="shared" si="23"/>
        <v/>
      </c>
    </row>
    <row r="744" spans="1:9">
      <c r="A744">
        <v>731</v>
      </c>
      <c r="B744" t="str">
        <f t="shared" si="22"/>
        <v>sharon arne lueras</v>
      </c>
      <c r="C744" t="s">
        <v>1552</v>
      </c>
      <c r="D744" t="s">
        <v>246</v>
      </c>
      <c r="E744" t="s">
        <v>1553</v>
      </c>
      <c r="F744" t="s">
        <v>184</v>
      </c>
      <c r="G744" t="s">
        <v>4</v>
      </c>
      <c r="H744" t="s">
        <v>10</v>
      </c>
      <c r="I744" t="str">
        <f t="shared" si="23"/>
        <v/>
      </c>
    </row>
    <row r="745" spans="1:9">
      <c r="A745">
        <v>732</v>
      </c>
      <c r="B745" t="str">
        <f t="shared" si="22"/>
        <v>roger a luebs</v>
      </c>
      <c r="C745" t="s">
        <v>1554</v>
      </c>
      <c r="D745" t="s">
        <v>853</v>
      </c>
      <c r="E745" t="s">
        <v>39</v>
      </c>
      <c r="F745" t="s">
        <v>32</v>
      </c>
      <c r="G745" t="s">
        <v>247</v>
      </c>
      <c r="H745" t="s">
        <v>10</v>
      </c>
      <c r="I745" t="str">
        <f t="shared" si="23"/>
        <v/>
      </c>
    </row>
    <row r="746" spans="1:9">
      <c r="A746">
        <v>733</v>
      </c>
      <c r="B746" t="str">
        <f t="shared" si="22"/>
        <v>cynthia ann ludvigsen</v>
      </c>
      <c r="C746" t="s">
        <v>1555</v>
      </c>
      <c r="D746" t="s">
        <v>365</v>
      </c>
      <c r="E746" t="s">
        <v>3</v>
      </c>
      <c r="F746" t="s">
        <v>49</v>
      </c>
      <c r="G746" t="s">
        <v>1022</v>
      </c>
      <c r="H746" t="s">
        <v>10</v>
      </c>
      <c r="I746" t="str">
        <f t="shared" si="23"/>
        <v/>
      </c>
    </row>
    <row r="747" spans="1:9">
      <c r="A747">
        <v>734</v>
      </c>
      <c r="B747" t="str">
        <f t="shared" si="22"/>
        <v>lewis j lucky</v>
      </c>
      <c r="C747" t="s">
        <v>1556</v>
      </c>
      <c r="D747" t="s">
        <v>1104</v>
      </c>
      <c r="E747" t="s">
        <v>1296</v>
      </c>
      <c r="F747" t="s">
        <v>32</v>
      </c>
      <c r="G747" t="s">
        <v>187</v>
      </c>
      <c r="H747" t="s">
        <v>10</v>
      </c>
      <c r="I747" t="str">
        <f t="shared" si="23"/>
        <v/>
      </c>
    </row>
    <row r="748" spans="1:9">
      <c r="A748">
        <v>735</v>
      </c>
      <c r="B748" t="str">
        <f t="shared" si="22"/>
        <v>katherine l. lucero</v>
      </c>
      <c r="C748" t="s">
        <v>1557</v>
      </c>
      <c r="D748" t="s">
        <v>1532</v>
      </c>
      <c r="E748" t="s">
        <v>257</v>
      </c>
      <c r="F748" t="s">
        <v>32</v>
      </c>
      <c r="G748" t="s">
        <v>1034</v>
      </c>
      <c r="H748" t="s">
        <v>4</v>
      </c>
      <c r="I748" t="str">
        <f t="shared" si="23"/>
        <v/>
      </c>
    </row>
    <row r="749" spans="1:9">
      <c r="A749">
        <v>736</v>
      </c>
      <c r="B749" t="str">
        <f t="shared" si="22"/>
        <v>kristen a. lucena</v>
      </c>
      <c r="C749" t="s">
        <v>1558</v>
      </c>
      <c r="D749" t="s">
        <v>1559</v>
      </c>
      <c r="E749" t="s">
        <v>447</v>
      </c>
      <c r="F749" t="s">
        <v>900</v>
      </c>
      <c r="G749" t="s">
        <v>4</v>
      </c>
      <c r="H749" t="s">
        <v>10</v>
      </c>
      <c r="I749" t="str">
        <f t="shared" si="23"/>
        <v/>
      </c>
    </row>
    <row r="750" spans="1:9">
      <c r="A750">
        <v>737</v>
      </c>
      <c r="B750" t="str">
        <f t="shared" si="22"/>
        <v>patricia mary lucas</v>
      </c>
      <c r="C750" t="s">
        <v>1560</v>
      </c>
      <c r="D750" t="s">
        <v>419</v>
      </c>
      <c r="E750" t="s">
        <v>126</v>
      </c>
      <c r="F750" t="s">
        <v>49</v>
      </c>
      <c r="G750" t="s">
        <v>55</v>
      </c>
      <c r="H750" t="s">
        <v>10</v>
      </c>
      <c r="I750" t="str">
        <f t="shared" si="23"/>
        <v/>
      </c>
    </row>
    <row r="751" spans="1:9">
      <c r="A751">
        <v>738</v>
      </c>
      <c r="B751" t="str">
        <f t="shared" si="22"/>
        <v>anthony p lucaccini</v>
      </c>
      <c r="C751" t="s">
        <v>1561</v>
      </c>
      <c r="D751" t="s">
        <v>150</v>
      </c>
      <c r="E751" t="s">
        <v>252</v>
      </c>
      <c r="F751" t="s">
        <v>4084</v>
      </c>
      <c r="G751" t="s">
        <v>4</v>
      </c>
      <c r="H751" t="s">
        <v>4</v>
      </c>
      <c r="I751" t="str">
        <f t="shared" si="23"/>
        <v/>
      </c>
    </row>
    <row r="752" spans="1:9">
      <c r="A752">
        <v>739</v>
      </c>
      <c r="B752" t="str">
        <f t="shared" si="22"/>
        <v>john waipa lua</v>
      </c>
      <c r="C752" t="s">
        <v>1562</v>
      </c>
      <c r="D752" t="s">
        <v>7</v>
      </c>
      <c r="E752" t="s">
        <v>1563</v>
      </c>
      <c r="F752" t="s">
        <v>32</v>
      </c>
      <c r="G752" t="s">
        <v>95</v>
      </c>
      <c r="H752" t="s">
        <v>10</v>
      </c>
      <c r="I752" t="str">
        <f t="shared" si="23"/>
        <v/>
      </c>
    </row>
    <row r="753" spans="1:9">
      <c r="A753">
        <v>740</v>
      </c>
      <c r="B753" t="str">
        <f t="shared" si="22"/>
        <v>elaine  lu</v>
      </c>
      <c r="C753" t="s">
        <v>1564</v>
      </c>
      <c r="D753" t="s">
        <v>525</v>
      </c>
      <c r="E753" t="s">
        <v>4</v>
      </c>
      <c r="F753" t="s">
        <v>4085</v>
      </c>
      <c r="G753" t="s">
        <v>4</v>
      </c>
      <c r="H753" t="s">
        <v>4</v>
      </c>
      <c r="I753" t="str">
        <f t="shared" si="23"/>
        <v/>
      </c>
    </row>
    <row r="754" spans="1:9">
      <c r="A754">
        <v>741</v>
      </c>
      <c r="B754" t="str">
        <f t="shared" si="22"/>
        <v xml:space="preserve">  </v>
      </c>
      <c r="C754" t="s">
        <v>4</v>
      </c>
      <c r="D754" t="s">
        <v>4</v>
      </c>
      <c r="E754" t="s">
        <v>4</v>
      </c>
      <c r="F754" t="s">
        <v>4082</v>
      </c>
      <c r="G754" t="s">
        <v>4</v>
      </c>
      <c r="H754" t="s">
        <v>4</v>
      </c>
      <c r="I754" t="str">
        <f t="shared" si="23"/>
        <v/>
      </c>
    </row>
    <row r="755" spans="1:9">
      <c r="A755">
        <v>742</v>
      </c>
      <c r="B755" t="str">
        <f t="shared" si="22"/>
        <v>willie jr.  lott</v>
      </c>
      <c r="C755" t="s">
        <v>1565</v>
      </c>
      <c r="D755" t="s">
        <v>4086</v>
      </c>
      <c r="E755" t="s">
        <v>4</v>
      </c>
      <c r="F755" t="s">
        <v>4087</v>
      </c>
      <c r="G755" t="s">
        <v>176</v>
      </c>
      <c r="H755" t="s">
        <v>4</v>
      </c>
      <c r="I755" t="str">
        <f t="shared" si="23"/>
        <v/>
      </c>
    </row>
    <row r="756" spans="1:9">
      <c r="A756">
        <v>743</v>
      </c>
      <c r="B756" t="str">
        <f t="shared" si="22"/>
        <v>j d. lord</v>
      </c>
      <c r="C756" t="s">
        <v>1566</v>
      </c>
      <c r="D756" t="s">
        <v>1296</v>
      </c>
      <c r="E756" t="s">
        <v>186</v>
      </c>
      <c r="F756" t="s">
        <v>1749</v>
      </c>
      <c r="G756" t="s">
        <v>692</v>
      </c>
      <c r="H756" t="s">
        <v>4</v>
      </c>
      <c r="I756" t="str">
        <f t="shared" si="23"/>
        <v/>
      </c>
    </row>
    <row r="757" spans="1:9">
      <c r="A757">
        <v>744</v>
      </c>
      <c r="B757" t="str">
        <f t="shared" si="22"/>
        <v>susan l lopez-giss</v>
      </c>
      <c r="C757" t="s">
        <v>1567</v>
      </c>
      <c r="D757" t="s">
        <v>676</v>
      </c>
      <c r="E757" t="s">
        <v>77</v>
      </c>
      <c r="F757" t="s">
        <v>4088</v>
      </c>
      <c r="G757" t="s">
        <v>4</v>
      </c>
      <c r="H757" t="s">
        <v>4</v>
      </c>
      <c r="I757" t="str">
        <f t="shared" si="23"/>
        <v/>
      </c>
    </row>
    <row r="758" spans="1:9">
      <c r="A758">
        <v>745</v>
      </c>
      <c r="B758" t="str">
        <f t="shared" si="22"/>
        <v>gilbert m. lopez</v>
      </c>
      <c r="C758" t="s">
        <v>1568</v>
      </c>
      <c r="D758" t="s">
        <v>1176</v>
      </c>
      <c r="E758" t="s">
        <v>189</v>
      </c>
      <c r="F758" t="s">
        <v>54</v>
      </c>
      <c r="G758" t="s">
        <v>1569</v>
      </c>
      <c r="H758" t="s">
        <v>36</v>
      </c>
      <c r="I758" t="str">
        <f t="shared" si="23"/>
        <v/>
      </c>
    </row>
    <row r="759" spans="1:9">
      <c r="A759">
        <v>746</v>
      </c>
      <c r="B759" t="str">
        <f t="shared" si="22"/>
        <v>daniel s lopez</v>
      </c>
      <c r="C759" t="s">
        <v>1568</v>
      </c>
      <c r="D759" t="s">
        <v>23</v>
      </c>
      <c r="E759" t="s">
        <v>182</v>
      </c>
      <c r="F759" t="s">
        <v>46</v>
      </c>
      <c r="G759" t="s">
        <v>4</v>
      </c>
      <c r="H759" t="s">
        <v>10</v>
      </c>
      <c r="I759" t="str">
        <f t="shared" si="23"/>
        <v/>
      </c>
    </row>
    <row r="760" spans="1:9">
      <c r="A760">
        <v>747</v>
      </c>
      <c r="B760" t="str">
        <f t="shared" si="22"/>
        <v>robert christy longstreth</v>
      </c>
      <c r="C760" t="s">
        <v>1570</v>
      </c>
      <c r="D760" t="s">
        <v>72</v>
      </c>
      <c r="E760" t="s">
        <v>1571</v>
      </c>
      <c r="F760" t="s">
        <v>101</v>
      </c>
      <c r="G760" t="s">
        <v>102</v>
      </c>
      <c r="H760" t="s">
        <v>103</v>
      </c>
      <c r="I760" t="str">
        <f t="shared" si="23"/>
        <v/>
      </c>
    </row>
    <row r="761" spans="1:9">
      <c r="A761">
        <v>748</v>
      </c>
      <c r="B761" t="str">
        <f t="shared" si="22"/>
        <v>john james lonergan</v>
      </c>
      <c r="C761" t="s">
        <v>1572</v>
      </c>
      <c r="D761" t="s">
        <v>7</v>
      </c>
      <c r="E761" t="s">
        <v>90</v>
      </c>
      <c r="F761" t="s">
        <v>2204</v>
      </c>
      <c r="G761" t="s">
        <v>4</v>
      </c>
      <c r="H761" t="s">
        <v>4</v>
      </c>
      <c r="I761" t="str">
        <f t="shared" si="23"/>
        <v/>
      </c>
    </row>
    <row r="762" spans="1:9">
      <c r="A762">
        <v>749</v>
      </c>
      <c r="B762" t="str">
        <f t="shared" si="22"/>
        <v>brett george london</v>
      </c>
      <c r="C762" t="s">
        <v>1573</v>
      </c>
      <c r="D762" t="s">
        <v>1272</v>
      </c>
      <c r="E762" t="s">
        <v>237</v>
      </c>
      <c r="F762" t="s">
        <v>32</v>
      </c>
      <c r="G762" t="s">
        <v>725</v>
      </c>
      <c r="H762" t="s">
        <v>36</v>
      </c>
      <c r="I762" t="str">
        <f t="shared" si="23"/>
        <v/>
      </c>
    </row>
    <row r="763" spans="1:9">
      <c r="A763">
        <v>750</v>
      </c>
      <c r="B763" t="str">
        <f t="shared" si="22"/>
        <v>richard james loftus jr</v>
      </c>
      <c r="C763" t="s">
        <v>1574</v>
      </c>
      <c r="D763" t="s">
        <v>173</v>
      </c>
      <c r="E763" t="s">
        <v>90</v>
      </c>
      <c r="F763" t="s">
        <v>1575</v>
      </c>
      <c r="G763" t="s">
        <v>4</v>
      </c>
      <c r="H763" t="s">
        <v>10</v>
      </c>
      <c r="I763" t="str">
        <f t="shared" si="23"/>
        <v/>
      </c>
    </row>
    <row r="764" spans="1:9">
      <c r="A764">
        <v>751</v>
      </c>
      <c r="B764" t="str">
        <f t="shared" si="22"/>
        <v>linda lou lofthus</v>
      </c>
      <c r="C764" t="s">
        <v>1576</v>
      </c>
      <c r="D764" t="s">
        <v>989</v>
      </c>
      <c r="E764" t="s">
        <v>1577</v>
      </c>
      <c r="F764" t="s">
        <v>49</v>
      </c>
      <c r="G764" t="s">
        <v>556</v>
      </c>
      <c r="H764" t="s">
        <v>10</v>
      </c>
      <c r="I764" t="str">
        <f t="shared" si="23"/>
        <v/>
      </c>
    </row>
    <row r="765" spans="1:9">
      <c r="A765">
        <v>752</v>
      </c>
      <c r="B765" t="str">
        <f t="shared" si="22"/>
        <v>richard clifton livermore</v>
      </c>
      <c r="C765" t="s">
        <v>1578</v>
      </c>
      <c r="D765" t="s">
        <v>173</v>
      </c>
      <c r="E765" t="s">
        <v>1579</v>
      </c>
      <c r="F765" t="s">
        <v>49</v>
      </c>
      <c r="G765" t="s">
        <v>1580</v>
      </c>
      <c r="H765" t="s">
        <v>10</v>
      </c>
      <c r="I765" t="str">
        <f t="shared" si="23"/>
        <v/>
      </c>
    </row>
    <row r="766" spans="1:9">
      <c r="A766">
        <v>753</v>
      </c>
      <c r="B766" t="str">
        <f t="shared" si="22"/>
        <v>goodwin h. liu</v>
      </c>
      <c r="C766" t="s">
        <v>1581</v>
      </c>
      <c r="D766" t="s">
        <v>1582</v>
      </c>
      <c r="E766" t="s">
        <v>957</v>
      </c>
      <c r="F766" t="s">
        <v>211</v>
      </c>
      <c r="G766" t="s">
        <v>4</v>
      </c>
      <c r="H766" t="s">
        <v>212</v>
      </c>
      <c r="I766" t="str">
        <f t="shared" si="23"/>
        <v/>
      </c>
    </row>
    <row r="767" spans="1:9">
      <c r="A767">
        <v>754</v>
      </c>
      <c r="B767" t="str">
        <f t="shared" si="22"/>
        <v>donna alyson little</v>
      </c>
      <c r="C767" t="s">
        <v>1583</v>
      </c>
      <c r="D767" t="s">
        <v>471</v>
      </c>
      <c r="E767" t="s">
        <v>1584</v>
      </c>
      <c r="F767" t="s">
        <v>32</v>
      </c>
      <c r="G767" t="s">
        <v>4</v>
      </c>
      <c r="H767" t="s">
        <v>4</v>
      </c>
      <c r="I767" t="str">
        <f t="shared" si="23"/>
        <v/>
      </c>
    </row>
    <row r="768" spans="1:9">
      <c r="A768">
        <v>755</v>
      </c>
      <c r="B768" t="str">
        <f t="shared" si="22"/>
        <v>elizabeth ann lippitt</v>
      </c>
      <c r="C768" t="s">
        <v>1585</v>
      </c>
      <c r="D768" t="s">
        <v>191</v>
      </c>
      <c r="E768" t="s">
        <v>3</v>
      </c>
      <c r="F768" t="s">
        <v>32</v>
      </c>
      <c r="G768" t="s">
        <v>1586</v>
      </c>
      <c r="H768" t="s">
        <v>36</v>
      </c>
      <c r="I768" t="str">
        <f t="shared" si="23"/>
        <v/>
      </c>
    </row>
    <row r="769" spans="1:9">
      <c r="A769">
        <v>756</v>
      </c>
      <c r="B769" t="str">
        <f t="shared" si="22"/>
        <v>frederick l. link</v>
      </c>
      <c r="C769" t="s">
        <v>1587</v>
      </c>
      <c r="D769" t="s">
        <v>254</v>
      </c>
      <c r="E769" t="s">
        <v>257</v>
      </c>
      <c r="F769" t="s">
        <v>101</v>
      </c>
      <c r="G769" t="s">
        <v>102</v>
      </c>
      <c r="H769" t="s">
        <v>103</v>
      </c>
      <c r="I769" t="str">
        <f t="shared" si="23"/>
        <v/>
      </c>
    </row>
    <row r="770" spans="1:9">
      <c r="A770">
        <v>757</v>
      </c>
      <c r="B770" t="str">
        <f t="shared" si="22"/>
        <v>michael paul linfield</v>
      </c>
      <c r="C770" t="s">
        <v>1588</v>
      </c>
      <c r="D770" t="s">
        <v>219</v>
      </c>
      <c r="E770" t="s">
        <v>280</v>
      </c>
      <c r="F770" t="s">
        <v>25</v>
      </c>
      <c r="G770" t="s">
        <v>4</v>
      </c>
      <c r="H770" t="s">
        <v>10</v>
      </c>
      <c r="I770" t="str">
        <f t="shared" si="23"/>
        <v/>
      </c>
    </row>
    <row r="771" spans="1:9">
      <c r="A771">
        <v>758</v>
      </c>
      <c r="B771" t="str">
        <f t="shared" ref="B771:B834" si="24">TRIM($D771) &amp; " " &amp; TRIM($E771) &amp; " " &amp; TRIM($C771)</f>
        <v>wendy suzanne lindley</v>
      </c>
      <c r="C771" t="s">
        <v>1589</v>
      </c>
      <c r="D771" t="s">
        <v>1709</v>
      </c>
      <c r="E771" t="s">
        <v>1590</v>
      </c>
      <c r="F771" t="s">
        <v>137</v>
      </c>
      <c r="G771" t="s">
        <v>4</v>
      </c>
      <c r="H771" t="s">
        <v>4</v>
      </c>
      <c r="I771" t="str">
        <f t="shared" ref="I771:I834" si="25">IF(NOT(ISERROR(FIND("judge",F771))),"judge","")</f>
        <v/>
      </c>
    </row>
    <row r="772" spans="1:9">
      <c r="A772">
        <v>759</v>
      </c>
      <c r="B772" t="str">
        <f t="shared" si="24"/>
        <v>william q liebmann</v>
      </c>
      <c r="C772" t="s">
        <v>1591</v>
      </c>
      <c r="D772" t="s">
        <v>155</v>
      </c>
      <c r="E772" t="s">
        <v>1592</v>
      </c>
      <c r="F772" t="s">
        <v>83</v>
      </c>
      <c r="G772" t="s">
        <v>4</v>
      </c>
      <c r="H772" t="s">
        <v>10</v>
      </c>
      <c r="I772" t="str">
        <f t="shared" si="25"/>
        <v/>
      </c>
    </row>
    <row r="773" spans="1:9">
      <c r="A773">
        <v>760</v>
      </c>
      <c r="B773" t="str">
        <f t="shared" si="24"/>
        <v>ernest joseph licalsi</v>
      </c>
      <c r="C773" t="s">
        <v>1593</v>
      </c>
      <c r="D773" t="s">
        <v>757</v>
      </c>
      <c r="E773" t="s">
        <v>80</v>
      </c>
      <c r="F773" t="s">
        <v>1594</v>
      </c>
      <c r="G773" t="s">
        <v>4</v>
      </c>
      <c r="H773" t="s">
        <v>36</v>
      </c>
      <c r="I773" t="str">
        <f t="shared" si="25"/>
        <v/>
      </c>
    </row>
    <row r="774" spans="1:9">
      <c r="A774">
        <v>761</v>
      </c>
      <c r="B774" t="str">
        <f t="shared" si="24"/>
        <v>12 mar - 7 am 8:54 2012 feb - 6michael r. libutti</v>
      </c>
      <c r="C774" t="s">
        <v>1595</v>
      </c>
      <c r="D774" t="s">
        <v>4089</v>
      </c>
      <c r="E774" t="s">
        <v>265</v>
      </c>
      <c r="F774" t="s">
        <v>49</v>
      </c>
      <c r="G774" t="s">
        <v>151</v>
      </c>
      <c r="H774" t="s">
        <v>10</v>
      </c>
      <c r="I774" t="str">
        <f t="shared" si="25"/>
        <v/>
      </c>
    </row>
    <row r="775" spans="1:9">
      <c r="A775">
        <v>762</v>
      </c>
      <c r="B775" t="str">
        <f t="shared" si="24"/>
        <v>trent  lewis thomas</v>
      </c>
      <c r="C775" t="s">
        <v>1596</v>
      </c>
      <c r="D775" t="s">
        <v>1597</v>
      </c>
      <c r="E775" t="s">
        <v>4</v>
      </c>
      <c r="F775" t="s">
        <v>1749</v>
      </c>
      <c r="G775" t="s">
        <v>4</v>
      </c>
      <c r="H775" t="s">
        <v>4</v>
      </c>
      <c r="I775" t="str">
        <f t="shared" si="25"/>
        <v/>
      </c>
    </row>
    <row r="776" spans="1:9">
      <c r="A776">
        <v>763</v>
      </c>
      <c r="B776" t="str">
        <f t="shared" si="24"/>
        <v>michael bruce lewis</v>
      </c>
      <c r="C776" t="s">
        <v>1104</v>
      </c>
      <c r="D776" t="s">
        <v>219</v>
      </c>
      <c r="E776" t="s">
        <v>47</v>
      </c>
      <c r="F776" t="s">
        <v>1598</v>
      </c>
      <c r="G776" t="s">
        <v>4</v>
      </c>
      <c r="H776" t="s">
        <v>10</v>
      </c>
      <c r="I776" t="str">
        <f t="shared" si="25"/>
        <v/>
      </c>
    </row>
    <row r="777" spans="1:9">
      <c r="A777">
        <v>764</v>
      </c>
      <c r="B777" t="str">
        <f t="shared" si="24"/>
        <v>margo lynn lewis</v>
      </c>
      <c r="C777" t="s">
        <v>1104</v>
      </c>
      <c r="D777" t="s">
        <v>1599</v>
      </c>
      <c r="E777" t="s">
        <v>197</v>
      </c>
      <c r="F777" t="s">
        <v>101</v>
      </c>
      <c r="G777" t="s">
        <v>102</v>
      </c>
      <c r="H777" t="s">
        <v>103</v>
      </c>
      <c r="I777" t="str">
        <f t="shared" si="25"/>
        <v/>
      </c>
    </row>
    <row r="778" spans="1:9">
      <c r="A778">
        <v>765</v>
      </c>
      <c r="B778" t="str">
        <f t="shared" si="24"/>
        <v>jon lantz lewis</v>
      </c>
      <c r="C778" t="s">
        <v>1104</v>
      </c>
      <c r="D778" t="s">
        <v>431</v>
      </c>
      <c r="E778" t="s">
        <v>1600</v>
      </c>
      <c r="F778" t="s">
        <v>101</v>
      </c>
      <c r="G778" t="s">
        <v>102</v>
      </c>
      <c r="H778" t="s">
        <v>103</v>
      </c>
      <c r="I778" t="str">
        <f t="shared" si="25"/>
        <v/>
      </c>
    </row>
    <row r="779" spans="1:9">
      <c r="A779">
        <v>766</v>
      </c>
      <c r="B779" t="str">
        <f t="shared" si="24"/>
        <v>kathleen marie lewis</v>
      </c>
      <c r="C779" t="s">
        <v>1104</v>
      </c>
      <c r="D779" t="s">
        <v>188</v>
      </c>
      <c r="E779" t="s">
        <v>43</v>
      </c>
      <c r="F779" t="s">
        <v>101</v>
      </c>
      <c r="G779" t="s">
        <v>102</v>
      </c>
      <c r="H779" t="s">
        <v>103</v>
      </c>
      <c r="I779" t="str">
        <f t="shared" si="25"/>
        <v/>
      </c>
    </row>
    <row r="780" spans="1:9">
      <c r="A780">
        <v>767</v>
      </c>
      <c r="B780" t="str">
        <f t="shared" si="24"/>
        <v>joan m. lewis</v>
      </c>
      <c r="C780" t="s">
        <v>1104</v>
      </c>
      <c r="D780" t="s">
        <v>242</v>
      </c>
      <c r="E780" t="s">
        <v>189</v>
      </c>
      <c r="F780" t="s">
        <v>101</v>
      </c>
      <c r="G780" t="s">
        <v>102</v>
      </c>
      <c r="H780" t="s">
        <v>103</v>
      </c>
      <c r="I780" t="str">
        <f t="shared" si="25"/>
        <v/>
      </c>
    </row>
    <row r="781" spans="1:9">
      <c r="A781">
        <v>768</v>
      </c>
      <c r="B781" t="str">
        <f t="shared" si="24"/>
        <v>gregory h. lewis</v>
      </c>
      <c r="C781" t="s">
        <v>1104</v>
      </c>
      <c r="D781" t="s">
        <v>468</v>
      </c>
      <c r="E781" t="s">
        <v>957</v>
      </c>
      <c r="F781" t="s">
        <v>1601</v>
      </c>
      <c r="G781" t="s">
        <v>4</v>
      </c>
      <c r="H781" t="s">
        <v>4</v>
      </c>
      <c r="I781" t="str">
        <f t="shared" si="25"/>
        <v/>
      </c>
    </row>
    <row r="782" spans="1:9">
      <c r="A782">
        <v>769</v>
      </c>
      <c r="B782" t="str">
        <f t="shared" si="24"/>
        <v>arthur m. lew</v>
      </c>
      <c r="C782" t="s">
        <v>1602</v>
      </c>
      <c r="D782" t="s">
        <v>169</v>
      </c>
      <c r="E782" t="s">
        <v>189</v>
      </c>
      <c r="F782" t="s">
        <v>1964</v>
      </c>
      <c r="G782" t="s">
        <v>40</v>
      </c>
      <c r="H782" t="s">
        <v>4</v>
      </c>
      <c r="I782" t="str">
        <f t="shared" si="25"/>
        <v/>
      </c>
    </row>
    <row r="783" spans="1:9">
      <c r="A783">
        <v>770</v>
      </c>
      <c r="B783" t="str">
        <f t="shared" si="24"/>
        <v>herbert lrwin levy</v>
      </c>
      <c r="C783" t="s">
        <v>1603</v>
      </c>
      <c r="D783" t="s">
        <v>425</v>
      </c>
      <c r="E783" t="s">
        <v>1604</v>
      </c>
      <c r="F783" t="s">
        <v>1605</v>
      </c>
      <c r="G783" t="s">
        <v>4</v>
      </c>
      <c r="H783" t="s">
        <v>4</v>
      </c>
      <c r="I783" t="str">
        <f t="shared" si="25"/>
        <v/>
      </c>
    </row>
    <row r="784" spans="1:9">
      <c r="A784">
        <v>771</v>
      </c>
      <c r="B784" t="str">
        <f t="shared" si="24"/>
        <v>michele donna levine</v>
      </c>
      <c r="C784" t="s">
        <v>1606</v>
      </c>
      <c r="D784" t="s">
        <v>312</v>
      </c>
      <c r="E784" t="s">
        <v>471</v>
      </c>
      <c r="F784" t="s">
        <v>679</v>
      </c>
      <c r="G784" t="s">
        <v>4</v>
      </c>
      <c r="H784" t="s">
        <v>36</v>
      </c>
      <c r="I784" t="str">
        <f t="shared" si="25"/>
        <v/>
      </c>
    </row>
    <row r="785" spans="1:9">
      <c r="A785">
        <v>772</v>
      </c>
      <c r="B785" t="str">
        <f t="shared" si="24"/>
        <v>jan g. levine</v>
      </c>
      <c r="C785" t="s">
        <v>1606</v>
      </c>
      <c r="D785" t="s">
        <v>1036</v>
      </c>
      <c r="E785" t="s">
        <v>156</v>
      </c>
      <c r="F785" t="s">
        <v>25</v>
      </c>
      <c r="G785" t="s">
        <v>299</v>
      </c>
      <c r="H785" t="s">
        <v>10</v>
      </c>
      <c r="I785" t="str">
        <f t="shared" si="25"/>
        <v/>
      </c>
    </row>
    <row r="786" spans="1:9">
      <c r="A786">
        <v>773</v>
      </c>
      <c r="B786" t="str">
        <f t="shared" si="24"/>
        <v>michael a. leversen</v>
      </c>
      <c r="C786" t="s">
        <v>1607</v>
      </c>
      <c r="D786" t="s">
        <v>219</v>
      </c>
      <c r="E786" t="s">
        <v>447</v>
      </c>
      <c r="F786" t="s">
        <v>49</v>
      </c>
      <c r="G786" t="s">
        <v>725</v>
      </c>
      <c r="H786" t="s">
        <v>36</v>
      </c>
      <c r="I786" t="str">
        <f t="shared" si="25"/>
        <v/>
      </c>
    </row>
    <row r="787" spans="1:9">
      <c r="A787">
        <v>774</v>
      </c>
      <c r="B787" t="str">
        <f t="shared" si="24"/>
        <v>michael innes levanas</v>
      </c>
      <c r="C787" t="s">
        <v>1608</v>
      </c>
      <c r="D787" t="s">
        <v>219</v>
      </c>
      <c r="E787" t="s">
        <v>1609</v>
      </c>
      <c r="F787" t="s">
        <v>46</v>
      </c>
      <c r="G787" t="s">
        <v>4</v>
      </c>
      <c r="H787" t="s">
        <v>10</v>
      </c>
      <c r="I787" t="str">
        <f t="shared" si="25"/>
        <v/>
      </c>
    </row>
    <row r="788" spans="1:9">
      <c r="A788">
        <v>775</v>
      </c>
      <c r="B788" t="str">
        <f t="shared" si="24"/>
        <v>jean pfciffer leonard</v>
      </c>
      <c r="C788" t="s">
        <v>1610</v>
      </c>
      <c r="D788" t="s">
        <v>1131</v>
      </c>
      <c r="E788" t="s">
        <v>1611</v>
      </c>
      <c r="F788" t="s">
        <v>216</v>
      </c>
      <c r="G788" t="s">
        <v>1612</v>
      </c>
      <c r="H788" t="s">
        <v>10</v>
      </c>
      <c r="I788" t="str">
        <f t="shared" si="25"/>
        <v/>
      </c>
    </row>
    <row r="789" spans="1:9">
      <c r="A789">
        <v>776</v>
      </c>
      <c r="B789" t="str">
        <f t="shared" si="24"/>
        <v>lisa bonnie lench</v>
      </c>
      <c r="C789" t="s">
        <v>1613</v>
      </c>
      <c r="D789" t="s">
        <v>753</v>
      </c>
      <c r="E789" t="s">
        <v>1614</v>
      </c>
      <c r="F789" t="s">
        <v>25</v>
      </c>
      <c r="G789" t="s">
        <v>4</v>
      </c>
      <c r="H789" t="s">
        <v>10</v>
      </c>
      <c r="I789" t="str">
        <f t="shared" si="25"/>
        <v/>
      </c>
    </row>
    <row r="790" spans="1:9">
      <c r="A790">
        <v>777</v>
      </c>
      <c r="B790" t="str">
        <f t="shared" si="24"/>
        <v>l. bf leininger</v>
      </c>
      <c r="C790" t="s">
        <v>1615</v>
      </c>
      <c r="D790" t="s">
        <v>257</v>
      </c>
      <c r="E790" t="s">
        <v>767</v>
      </c>
      <c r="F790" t="s">
        <v>4036</v>
      </c>
      <c r="G790" t="s">
        <v>4</v>
      </c>
      <c r="H790" t="s">
        <v>4</v>
      </c>
      <c r="I790" t="str">
        <f t="shared" si="25"/>
        <v/>
      </c>
    </row>
    <row r="791" spans="1:9">
      <c r="A791">
        <v>778</v>
      </c>
      <c r="B791" t="str">
        <f t="shared" si="24"/>
        <v>william donald lehman</v>
      </c>
      <c r="C791" t="s">
        <v>1616</v>
      </c>
      <c r="D791" t="s">
        <v>155</v>
      </c>
      <c r="E791" t="s">
        <v>509</v>
      </c>
      <c r="F791" t="s">
        <v>1039</v>
      </c>
      <c r="G791" t="s">
        <v>4</v>
      </c>
      <c r="H791" t="s">
        <v>10</v>
      </c>
      <c r="I791" t="str">
        <f t="shared" si="25"/>
        <v/>
      </c>
    </row>
    <row r="792" spans="1:9">
      <c r="A792">
        <v>779</v>
      </c>
      <c r="B792" t="str">
        <f t="shared" si="24"/>
        <v>linda kay lefkowitz</v>
      </c>
      <c r="C792" t="s">
        <v>1617</v>
      </c>
      <c r="D792" t="s">
        <v>989</v>
      </c>
      <c r="E792" t="s">
        <v>384</v>
      </c>
      <c r="F792" t="s">
        <v>1749</v>
      </c>
      <c r="G792" t="s">
        <v>1618</v>
      </c>
      <c r="H792" t="s">
        <v>4</v>
      </c>
      <c r="I792" t="str">
        <f t="shared" si="25"/>
        <v/>
      </c>
    </row>
    <row r="793" spans="1:9">
      <c r="A793">
        <v>780</v>
      </c>
      <c r="B793" t="str">
        <f t="shared" si="24"/>
        <v>richard y. lee</v>
      </c>
      <c r="C793" t="s">
        <v>113</v>
      </c>
      <c r="D793" t="s">
        <v>173</v>
      </c>
      <c r="E793" t="s">
        <v>614</v>
      </c>
      <c r="F793" t="s">
        <v>137</v>
      </c>
      <c r="G793" t="s">
        <v>4</v>
      </c>
      <c r="H793" t="s">
        <v>36</v>
      </c>
      <c r="I793" t="str">
        <f t="shared" si="25"/>
        <v/>
      </c>
    </row>
    <row r="794" spans="1:9">
      <c r="A794">
        <v>781</v>
      </c>
      <c r="B794" t="str">
        <f t="shared" si="24"/>
        <v>jo-lynne quong lee</v>
      </c>
      <c r="C794" t="s">
        <v>113</v>
      </c>
      <c r="D794" t="s">
        <v>1619</v>
      </c>
      <c r="E794" t="s">
        <v>1620</v>
      </c>
      <c r="F794" t="s">
        <v>4090</v>
      </c>
      <c r="G794" t="s">
        <v>4</v>
      </c>
      <c r="H794" t="s">
        <v>4</v>
      </c>
      <c r="I794" t="str">
        <f t="shared" si="25"/>
        <v/>
      </c>
    </row>
    <row r="795" spans="1:9">
      <c r="A795">
        <v>782</v>
      </c>
      <c r="B795" t="str">
        <f t="shared" si="24"/>
        <v>elizabeth k lee</v>
      </c>
      <c r="C795" t="s">
        <v>113</v>
      </c>
      <c r="D795" t="s">
        <v>191</v>
      </c>
      <c r="E795" t="s">
        <v>514</v>
      </c>
      <c r="F795" t="s">
        <v>231</v>
      </c>
      <c r="G795" t="s">
        <v>1621</v>
      </c>
      <c r="H795" t="s">
        <v>10</v>
      </c>
      <c r="I795" t="str">
        <f t="shared" si="25"/>
        <v/>
      </c>
    </row>
    <row r="796" spans="1:9">
      <c r="A796">
        <v>783</v>
      </c>
      <c r="B796" t="str">
        <f t="shared" si="24"/>
        <v>edward fredrick lee</v>
      </c>
      <c r="C796" t="s">
        <v>113</v>
      </c>
      <c r="D796" t="s">
        <v>236</v>
      </c>
      <c r="E796" t="s">
        <v>1622</v>
      </c>
      <c r="F796" t="s">
        <v>14</v>
      </c>
      <c r="G796" t="s">
        <v>4</v>
      </c>
      <c r="H796" t="s">
        <v>10</v>
      </c>
      <c r="I796" t="str">
        <f t="shared" si="25"/>
        <v/>
      </c>
    </row>
    <row r="797" spans="1:9">
      <c r="A797">
        <v>784</v>
      </c>
      <c r="B797" t="str">
        <f t="shared" si="24"/>
        <v>cynthia ming-mei lee</v>
      </c>
      <c r="C797" t="s">
        <v>113</v>
      </c>
      <c r="D797" t="s">
        <v>365</v>
      </c>
      <c r="E797" t="s">
        <v>1623</v>
      </c>
      <c r="F797" t="s">
        <v>4091</v>
      </c>
      <c r="G797" t="s">
        <v>4</v>
      </c>
      <c r="H797" t="s">
        <v>4</v>
      </c>
      <c r="I797" t="str">
        <f t="shared" si="25"/>
        <v/>
      </c>
    </row>
    <row r="798" spans="1:9">
      <c r="A798">
        <v>785</v>
      </c>
      <c r="B798" t="str">
        <f t="shared" si="24"/>
        <v>caryl a. lee</v>
      </c>
      <c r="C798" t="s">
        <v>113</v>
      </c>
      <c r="D798" t="s">
        <v>1624</v>
      </c>
      <c r="E798" t="s">
        <v>447</v>
      </c>
      <c r="F798" t="s">
        <v>137</v>
      </c>
      <c r="G798" t="s">
        <v>4</v>
      </c>
      <c r="H798" t="s">
        <v>36</v>
      </c>
      <c r="I798" t="str">
        <f t="shared" si="25"/>
        <v/>
      </c>
    </row>
    <row r="799" spans="1:9">
      <c r="A799">
        <v>786</v>
      </c>
      <c r="B799" t="str">
        <f t="shared" si="24"/>
        <v>john clifford lawson ii</v>
      </c>
      <c r="C799" t="s">
        <v>1625</v>
      </c>
      <c r="D799" t="s">
        <v>7</v>
      </c>
      <c r="E799" t="s">
        <v>1626</v>
      </c>
      <c r="F799" t="s">
        <v>1749</v>
      </c>
      <c r="G799" t="s">
        <v>4</v>
      </c>
      <c r="H799" t="s">
        <v>4</v>
      </c>
      <c r="I799" t="str">
        <f t="shared" si="25"/>
        <v/>
      </c>
    </row>
    <row r="800" spans="1:9">
      <c r="A800">
        <v>787</v>
      </c>
      <c r="B800" t="str">
        <f t="shared" si="24"/>
        <v>sam  lavorato</v>
      </c>
      <c r="C800" t="s">
        <v>1627</v>
      </c>
      <c r="D800" t="s">
        <v>1160</v>
      </c>
      <c r="E800" t="s">
        <v>4</v>
      </c>
      <c r="F800" t="s">
        <v>4092</v>
      </c>
      <c r="G800" t="s">
        <v>4</v>
      </c>
      <c r="H800" t="s">
        <v>4</v>
      </c>
      <c r="I800" t="str">
        <f t="shared" si="25"/>
        <v/>
      </c>
    </row>
    <row r="801" spans="1:9">
      <c r="A801">
        <v>788</v>
      </c>
      <c r="B801" t="str">
        <f t="shared" si="24"/>
        <v>luis a lavin</v>
      </c>
      <c r="C801" t="s">
        <v>1628</v>
      </c>
      <c r="D801" t="s">
        <v>330</v>
      </c>
      <c r="E801" t="s">
        <v>39</v>
      </c>
      <c r="F801" t="s">
        <v>2025</v>
      </c>
      <c r="G801" t="s">
        <v>135</v>
      </c>
      <c r="H801" t="s">
        <v>4</v>
      </c>
      <c r="I801" t="str">
        <f t="shared" si="25"/>
        <v/>
      </c>
    </row>
    <row r="802" spans="1:9">
      <c r="A802">
        <v>789</v>
      </c>
      <c r="B802" t="str">
        <f t="shared" si="24"/>
        <v>melinda j. lasater</v>
      </c>
      <c r="C802" t="s">
        <v>1629</v>
      </c>
      <c r="D802" t="s">
        <v>967</v>
      </c>
      <c r="E802" t="s">
        <v>94</v>
      </c>
      <c r="F802" t="s">
        <v>101</v>
      </c>
      <c r="G802" t="s">
        <v>102</v>
      </c>
      <c r="H802" t="s">
        <v>103</v>
      </c>
      <c r="I802" t="str">
        <f t="shared" si="25"/>
        <v/>
      </c>
    </row>
    <row r="803" spans="1:9">
      <c r="A803">
        <v>790</v>
      </c>
      <c r="B803" t="str">
        <f t="shared" si="24"/>
        <v>erick lee larsh</v>
      </c>
      <c r="C803" t="s">
        <v>1630</v>
      </c>
      <c r="D803" t="s">
        <v>1631</v>
      </c>
      <c r="E803" t="s">
        <v>113</v>
      </c>
      <c r="F803" t="s">
        <v>1632</v>
      </c>
      <c r="G803" t="s">
        <v>4</v>
      </c>
      <c r="H803" t="s">
        <v>36</v>
      </c>
      <c r="I803" t="str">
        <f t="shared" si="25"/>
        <v/>
      </c>
    </row>
    <row r="804" spans="1:9">
      <c r="A804">
        <v>791</v>
      </c>
      <c r="B804" t="str">
        <f t="shared" si="24"/>
        <v>donald raymond langford</v>
      </c>
      <c r="C804" t="s">
        <v>1633</v>
      </c>
      <c r="D804" t="s">
        <v>509</v>
      </c>
      <c r="E804" t="s">
        <v>496</v>
      </c>
      <c r="F804" t="s">
        <v>1459</v>
      </c>
      <c r="G804" t="s">
        <v>4</v>
      </c>
      <c r="H804" t="s">
        <v>10</v>
      </c>
      <c r="I804" t="str">
        <f t="shared" si="25"/>
        <v/>
      </c>
    </row>
    <row r="805" spans="1:9">
      <c r="A805">
        <v>792</v>
      </c>
      <c r="B805" t="str">
        <f t="shared" si="24"/>
        <v>barbara a. lane</v>
      </c>
      <c r="C805" t="s">
        <v>1634</v>
      </c>
      <c r="D805" t="s">
        <v>2</v>
      </c>
      <c r="E805" t="s">
        <v>447</v>
      </c>
      <c r="F805" t="s">
        <v>83</v>
      </c>
      <c r="G805" t="s">
        <v>4</v>
      </c>
      <c r="H805" t="s">
        <v>10</v>
      </c>
      <c r="I805" t="str">
        <f t="shared" si="25"/>
        <v/>
      </c>
    </row>
    <row r="806" spans="1:9">
      <c r="A806">
        <v>793</v>
      </c>
      <c r="B806" t="str">
        <f t="shared" si="24"/>
        <v>dennis james landin</v>
      </c>
      <c r="C806" t="s">
        <v>1635</v>
      </c>
      <c r="D806" t="s">
        <v>1065</v>
      </c>
      <c r="E806" t="s">
        <v>90</v>
      </c>
      <c r="F806" t="s">
        <v>49</v>
      </c>
      <c r="G806" t="s">
        <v>135</v>
      </c>
      <c r="H806" t="s">
        <v>10</v>
      </c>
      <c r="I806" t="str">
        <f t="shared" si="25"/>
        <v/>
      </c>
    </row>
    <row r="807" spans="1:9">
      <c r="A807">
        <v>794</v>
      </c>
      <c r="B807" t="str">
        <f t="shared" si="24"/>
        <v>leslie g landau</v>
      </c>
      <c r="C807" t="s">
        <v>1636</v>
      </c>
      <c r="D807" t="s">
        <v>501</v>
      </c>
      <c r="E807" t="s">
        <v>1074</v>
      </c>
      <c r="F807" t="s">
        <v>1637</v>
      </c>
      <c r="G807" t="s">
        <v>4</v>
      </c>
      <c r="H807" t="s">
        <v>36</v>
      </c>
      <c r="I807" t="str">
        <f t="shared" si="25"/>
        <v/>
      </c>
    </row>
    <row r="808" spans="1:9">
      <c r="A808">
        <v>795</v>
      </c>
      <c r="B808" t="str">
        <f t="shared" si="24"/>
        <v>david r. lampe</v>
      </c>
      <c r="C808" t="s">
        <v>1638</v>
      </c>
      <c r="D808" t="s">
        <v>28</v>
      </c>
      <c r="E808" t="s">
        <v>265</v>
      </c>
      <c r="F808" t="s">
        <v>32</v>
      </c>
      <c r="G808" t="s">
        <v>95</v>
      </c>
      <c r="H808" t="s">
        <v>10</v>
      </c>
      <c r="I808" t="str">
        <f t="shared" si="25"/>
        <v/>
      </c>
    </row>
    <row r="809" spans="1:9">
      <c r="A809">
        <v>796</v>
      </c>
      <c r="B809" t="str">
        <f t="shared" si="24"/>
        <v>james robert lambden</v>
      </c>
      <c r="C809" t="s">
        <v>1639</v>
      </c>
      <c r="D809" t="s">
        <v>90</v>
      </c>
      <c r="E809" t="s">
        <v>72</v>
      </c>
      <c r="F809" t="s">
        <v>908</v>
      </c>
      <c r="G809" t="s">
        <v>932</v>
      </c>
      <c r="H809" t="s">
        <v>212</v>
      </c>
      <c r="I809" t="str">
        <f t="shared" si="25"/>
        <v/>
      </c>
    </row>
    <row r="810" spans="1:9">
      <c r="A810">
        <v>797</v>
      </c>
      <c r="B810" t="str">
        <f t="shared" si="24"/>
        <v>brian joseph lamb</v>
      </c>
      <c r="C810" t="s">
        <v>1640</v>
      </c>
      <c r="D810" t="s">
        <v>57</v>
      </c>
      <c r="E810" t="s">
        <v>80</v>
      </c>
      <c r="F810" t="s">
        <v>4093</v>
      </c>
      <c r="G810" t="s">
        <v>1641</v>
      </c>
      <c r="H810" t="s">
        <v>4</v>
      </c>
      <c r="I810" t="str">
        <f t="shared" si="25"/>
        <v/>
      </c>
    </row>
    <row r="811" spans="1:9">
      <c r="A811">
        <v>798</v>
      </c>
      <c r="B811" t="str">
        <f t="shared" si="24"/>
        <v>newton  lam</v>
      </c>
      <c r="C811" t="s">
        <v>1642</v>
      </c>
      <c r="D811" t="s">
        <v>1643</v>
      </c>
      <c r="E811" t="s">
        <v>4</v>
      </c>
      <c r="F811" t="s">
        <v>4094</v>
      </c>
      <c r="G811" t="s">
        <v>1644</v>
      </c>
      <c r="H811" t="s">
        <v>1645</v>
      </c>
      <c r="I811" t="str">
        <f t="shared" si="25"/>
        <v/>
      </c>
    </row>
    <row r="812" spans="1:9">
      <c r="A812">
        <v>799</v>
      </c>
      <c r="B812" t="str">
        <f t="shared" si="24"/>
        <v>kimberlee anne lagotta</v>
      </c>
      <c r="C812" t="s">
        <v>1646</v>
      </c>
      <c r="D812" t="s">
        <v>1647</v>
      </c>
      <c r="E812" t="s">
        <v>1452</v>
      </c>
      <c r="F812" t="s">
        <v>101</v>
      </c>
      <c r="G812" t="s">
        <v>102</v>
      </c>
      <c r="H812" t="s">
        <v>103</v>
      </c>
      <c r="I812" t="str">
        <f t="shared" si="25"/>
        <v/>
      </c>
    </row>
    <row r="813" spans="1:9">
      <c r="A813">
        <v>800</v>
      </c>
      <c r="B813" t="str">
        <f t="shared" si="24"/>
        <v>marvin m. lager</v>
      </c>
      <c r="C813" t="s">
        <v>1648</v>
      </c>
      <c r="D813" t="s">
        <v>1649</v>
      </c>
      <c r="E813" t="s">
        <v>189</v>
      </c>
      <c r="F813" t="s">
        <v>492</v>
      </c>
      <c r="G813" t="s">
        <v>40</v>
      </c>
      <c r="H813" t="s">
        <v>10</v>
      </c>
      <c r="I813" t="str">
        <f t="shared" si="25"/>
        <v/>
      </c>
    </row>
    <row r="814" spans="1:9">
      <c r="A814">
        <v>801</v>
      </c>
      <c r="B814" t="str">
        <f t="shared" si="24"/>
        <v>bernie clemente laforteza</v>
      </c>
      <c r="C814" t="s">
        <v>1650</v>
      </c>
      <c r="D814" t="s">
        <v>1651</v>
      </c>
      <c r="E814" t="s">
        <v>1652</v>
      </c>
      <c r="F814" t="s">
        <v>32</v>
      </c>
      <c r="G814" t="s">
        <v>4</v>
      </c>
      <c r="H814" t="s">
        <v>10</v>
      </c>
      <c r="I814" t="str">
        <f t="shared" si="25"/>
        <v/>
      </c>
    </row>
    <row r="815" spans="1:9">
      <c r="A815">
        <v>802</v>
      </c>
      <c r="B815" t="str">
        <f t="shared" si="24"/>
        <v>robert martin laforge</v>
      </c>
      <c r="C815" t="s">
        <v>1653</v>
      </c>
      <c r="D815" t="s">
        <v>72</v>
      </c>
      <c r="E815" t="s">
        <v>478</v>
      </c>
      <c r="F815" t="s">
        <v>654</v>
      </c>
      <c r="G815" t="s">
        <v>4</v>
      </c>
      <c r="H815" t="s">
        <v>4</v>
      </c>
      <c r="I815" t="str">
        <f t="shared" si="25"/>
        <v/>
      </c>
    </row>
    <row r="816" spans="1:9">
      <c r="A816">
        <v>803</v>
      </c>
      <c r="B816" t="str">
        <f t="shared" si="24"/>
        <v>john thomas laettner</v>
      </c>
      <c r="C816" t="s">
        <v>1654</v>
      </c>
      <c r="D816" t="s">
        <v>7</v>
      </c>
      <c r="E816" t="s">
        <v>27</v>
      </c>
      <c r="F816" t="s">
        <v>32</v>
      </c>
      <c r="G816" t="s">
        <v>512</v>
      </c>
      <c r="H816" t="s">
        <v>36</v>
      </c>
      <c r="I816" t="str">
        <f t="shared" si="25"/>
        <v/>
      </c>
    </row>
    <row r="817" spans="1:9">
      <c r="A817">
        <v>804</v>
      </c>
      <c r="B817" t="str">
        <f t="shared" si="24"/>
        <v>laura  laesecke</v>
      </c>
      <c r="C817" t="s">
        <v>1655</v>
      </c>
      <c r="D817" t="s">
        <v>259</v>
      </c>
      <c r="E817" t="s">
        <v>4</v>
      </c>
      <c r="F817" t="s">
        <v>25</v>
      </c>
      <c r="G817" t="s">
        <v>4</v>
      </c>
      <c r="H817" t="s">
        <v>10</v>
      </c>
      <c r="I817" t="str">
        <f t="shared" si="25"/>
        <v/>
      </c>
    </row>
    <row r="818" spans="1:9">
      <c r="A818">
        <v>805</v>
      </c>
      <c r="B818" t="str">
        <f t="shared" si="24"/>
        <v>james t. laporte</v>
      </c>
      <c r="C818" t="s">
        <v>1656</v>
      </c>
      <c r="D818" t="s">
        <v>90</v>
      </c>
      <c r="E818" t="s">
        <v>636</v>
      </c>
      <c r="F818" t="s">
        <v>32</v>
      </c>
      <c r="G818" t="s">
        <v>472</v>
      </c>
      <c r="H818" t="s">
        <v>10</v>
      </c>
      <c r="I818" t="str">
        <f t="shared" si="25"/>
        <v/>
      </c>
    </row>
    <row r="819" spans="1:9">
      <c r="A819">
        <v>806</v>
      </c>
      <c r="B819" t="str">
        <f t="shared" si="24"/>
        <v>batty thomas labarbeta</v>
      </c>
      <c r="C819" t="s">
        <v>1657</v>
      </c>
      <c r="D819" t="s">
        <v>1658</v>
      </c>
      <c r="E819" t="s">
        <v>27</v>
      </c>
      <c r="F819" t="s">
        <v>1659</v>
      </c>
      <c r="G819" t="s">
        <v>4</v>
      </c>
      <c r="H819" t="s">
        <v>1660</v>
      </c>
      <c r="I819" t="str">
        <f t="shared" si="25"/>
        <v/>
      </c>
    </row>
    <row r="820" spans="1:9">
      <c r="A820">
        <v>807</v>
      </c>
      <c r="B820" t="str">
        <f t="shared" si="24"/>
        <v>oweal l kwong</v>
      </c>
      <c r="C820" t="s">
        <v>1661</v>
      </c>
      <c r="D820" t="s">
        <v>1662</v>
      </c>
      <c r="E820" t="s">
        <v>77</v>
      </c>
      <c r="F820" t="s">
        <v>808</v>
      </c>
      <c r="G820" t="s">
        <v>4</v>
      </c>
      <c r="H820" t="s">
        <v>10</v>
      </c>
      <c r="I820" t="str">
        <f t="shared" si="25"/>
        <v/>
      </c>
    </row>
    <row r="821" spans="1:9">
      <c r="A821">
        <v>808</v>
      </c>
      <c r="B821" t="str">
        <f t="shared" si="24"/>
        <v>ruth ann kwan</v>
      </c>
      <c r="C821" t="s">
        <v>1663</v>
      </c>
      <c r="D821" t="s">
        <v>1664</v>
      </c>
      <c r="E821" t="s">
        <v>3</v>
      </c>
      <c r="F821" t="s">
        <v>1665</v>
      </c>
      <c r="G821" t="s">
        <v>25</v>
      </c>
      <c r="H821" t="s">
        <v>4</v>
      </c>
      <c r="I821" t="str">
        <f t="shared" si="25"/>
        <v/>
      </c>
    </row>
    <row r="822" spans="1:9">
      <c r="A822">
        <v>809</v>
      </c>
      <c r="B822" t="str">
        <f t="shared" si="24"/>
        <v>russell steven kussman</v>
      </c>
      <c r="C822" t="s">
        <v>1666</v>
      </c>
      <c r="D822" t="s">
        <v>721</v>
      </c>
      <c r="E822" t="s">
        <v>339</v>
      </c>
      <c r="F822" t="s">
        <v>25</v>
      </c>
      <c r="G822" t="s">
        <v>1667</v>
      </c>
      <c r="H822" t="s">
        <v>10</v>
      </c>
      <c r="I822" t="str">
        <f t="shared" si="25"/>
        <v/>
      </c>
    </row>
    <row r="823" spans="1:9">
      <c r="A823">
        <v>810</v>
      </c>
      <c r="B823" t="str">
        <f t="shared" si="24"/>
        <v>robert k kurtz</v>
      </c>
      <c r="C823" t="s">
        <v>1668</v>
      </c>
      <c r="D823" t="s">
        <v>72</v>
      </c>
      <c r="E823" t="s">
        <v>514</v>
      </c>
      <c r="F823" t="s">
        <v>32</v>
      </c>
      <c r="G823" t="s">
        <v>176</v>
      </c>
      <c r="H823" t="s">
        <v>10</v>
      </c>
      <c r="I823" t="str">
        <f t="shared" si="25"/>
        <v/>
      </c>
    </row>
    <row r="824" spans="1:9">
      <c r="A824">
        <v>811</v>
      </c>
      <c r="B824" t="str">
        <f t="shared" si="24"/>
        <v>kay susanne kuns</v>
      </c>
      <c r="C824" t="s">
        <v>1669</v>
      </c>
      <c r="D824" t="s">
        <v>384</v>
      </c>
      <c r="E824" t="s">
        <v>1670</v>
      </c>
      <c r="F824" t="s">
        <v>1177</v>
      </c>
      <c r="G824" t="s">
        <v>1671</v>
      </c>
      <c r="H824" t="s">
        <v>36</v>
      </c>
      <c r="I824" t="str">
        <f t="shared" si="25"/>
        <v/>
      </c>
    </row>
    <row r="825" spans="1:9">
      <c r="A825">
        <v>812</v>
      </c>
      <c r="B825" t="str">
        <f t="shared" si="24"/>
        <v>kurt edward kumli</v>
      </c>
      <c r="C825" t="s">
        <v>1672</v>
      </c>
      <c r="D825" t="s">
        <v>1673</v>
      </c>
      <c r="E825" t="s">
        <v>236</v>
      </c>
      <c r="F825" t="s">
        <v>32</v>
      </c>
      <c r="G825" t="s">
        <v>15</v>
      </c>
      <c r="H825" t="s">
        <v>10</v>
      </c>
      <c r="I825" t="str">
        <f t="shared" si="25"/>
        <v/>
      </c>
    </row>
    <row r="826" spans="1:9">
      <c r="A826">
        <v>813</v>
      </c>
      <c r="B826" t="str">
        <f t="shared" si="24"/>
        <v>sanjay t kumar</v>
      </c>
      <c r="C826" t="s">
        <v>1674</v>
      </c>
      <c r="D826" t="s">
        <v>1675</v>
      </c>
      <c r="E826" t="s">
        <v>140</v>
      </c>
      <c r="F826" t="s">
        <v>1749</v>
      </c>
      <c r="G826" t="s">
        <v>4</v>
      </c>
      <c r="H826" t="s">
        <v>4</v>
      </c>
      <c r="I826" t="str">
        <f t="shared" si="25"/>
        <v/>
      </c>
    </row>
    <row r="827" spans="1:9">
      <c r="A827">
        <v>814</v>
      </c>
      <c r="B827" t="str">
        <f t="shared" si="24"/>
        <v>thomas eilif kuhnle</v>
      </c>
      <c r="C827" t="s">
        <v>1676</v>
      </c>
      <c r="D827" t="s">
        <v>27</v>
      </c>
      <c r="E827" t="s">
        <v>1677</v>
      </c>
      <c r="F827" t="s">
        <v>1678</v>
      </c>
      <c r="G827" t="s">
        <v>1034</v>
      </c>
      <c r="H827" t="s">
        <v>10</v>
      </c>
      <c r="I827" t="str">
        <f t="shared" si="25"/>
        <v/>
      </c>
    </row>
    <row r="828" spans="1:9">
      <c r="A828">
        <v>815</v>
      </c>
      <c r="B828" t="str">
        <f t="shared" si="24"/>
        <v>carolyn barbara kuhl</v>
      </c>
      <c r="C828" t="s">
        <v>1679</v>
      </c>
      <c r="D828" t="s">
        <v>1680</v>
      </c>
      <c r="E828" t="s">
        <v>2</v>
      </c>
      <c r="F828" t="s">
        <v>1345</v>
      </c>
      <c r="G828" t="s">
        <v>4</v>
      </c>
      <c r="H828" t="s">
        <v>36</v>
      </c>
      <c r="I828" t="str">
        <f t="shared" si="25"/>
        <v/>
      </c>
    </row>
    <row r="829" spans="1:9">
      <c r="A829">
        <v>816</v>
      </c>
      <c r="B829" t="str">
        <f t="shared" si="24"/>
        <v>christopher edward krueger</v>
      </c>
      <c r="C829" t="s">
        <v>1681</v>
      </c>
      <c r="D829" t="s">
        <v>64</v>
      </c>
      <c r="E829" t="s">
        <v>236</v>
      </c>
      <c r="F829" t="s">
        <v>1682</v>
      </c>
      <c r="G829" t="s">
        <v>4</v>
      </c>
      <c r="H829" t="s">
        <v>36</v>
      </c>
      <c r="I829" t="str">
        <f t="shared" si="25"/>
        <v/>
      </c>
    </row>
    <row r="830" spans="1:9">
      <c r="A830">
        <v>817</v>
      </c>
      <c r="B830" t="str">
        <f t="shared" si="24"/>
        <v>aysha aysha kronlund barbara</v>
      </c>
      <c r="C830" t="s">
        <v>1683</v>
      </c>
      <c r="D830" t="s">
        <v>1684</v>
      </c>
      <c r="E830" t="s">
        <v>1684</v>
      </c>
      <c r="F830" t="s">
        <v>1685</v>
      </c>
      <c r="G830" t="s">
        <v>1686</v>
      </c>
      <c r="H830" t="s">
        <v>36</v>
      </c>
      <c r="I830" t="str">
        <f t="shared" si="25"/>
        <v/>
      </c>
    </row>
    <row r="831" spans="1:9">
      <c r="A831">
        <v>818</v>
      </c>
      <c r="B831" t="str">
        <f t="shared" si="24"/>
        <v>william h. kronberger</v>
      </c>
      <c r="C831" t="s">
        <v>1687</v>
      </c>
      <c r="D831" t="s">
        <v>155</v>
      </c>
      <c r="E831" t="s">
        <v>957</v>
      </c>
      <c r="F831" t="s">
        <v>101</v>
      </c>
      <c r="G831" t="s">
        <v>4</v>
      </c>
      <c r="H831" t="s">
        <v>103</v>
      </c>
      <c r="I831" t="str">
        <f t="shared" si="25"/>
        <v/>
      </c>
    </row>
    <row r="832" spans="1:9">
      <c r="A832">
        <v>819</v>
      </c>
      <c r="B832" t="str">
        <f t="shared" si="24"/>
        <v>sandy r kriegler</v>
      </c>
      <c r="C832" t="s">
        <v>1688</v>
      </c>
      <c r="D832" t="s">
        <v>1689</v>
      </c>
      <c r="E832" t="s">
        <v>53</v>
      </c>
      <c r="F832" t="s">
        <v>19</v>
      </c>
      <c r="G832" t="s">
        <v>20</v>
      </c>
      <c r="H832" t="s">
        <v>21</v>
      </c>
      <c r="I832" t="str">
        <f t="shared" si="25"/>
        <v/>
      </c>
    </row>
    <row r="833" spans="1:9">
      <c r="A833">
        <v>820</v>
      </c>
      <c r="B833" t="str">
        <f t="shared" si="24"/>
        <v>ronald patrick kreber</v>
      </c>
      <c r="C833" t="s">
        <v>1690</v>
      </c>
      <c r="D833" t="s">
        <v>413</v>
      </c>
      <c r="E833" t="s">
        <v>6</v>
      </c>
      <c r="F833" t="s">
        <v>4</v>
      </c>
      <c r="G833" t="s">
        <v>1691</v>
      </c>
      <c r="H833" t="s">
        <v>36</v>
      </c>
      <c r="I833" t="str">
        <f t="shared" si="25"/>
        <v/>
      </c>
    </row>
    <row r="834" spans="1:9">
      <c r="A834">
        <v>821</v>
      </c>
      <c r="B834" t="str">
        <f t="shared" si="24"/>
        <v xml:space="preserve">  krauel roger weller</v>
      </c>
      <c r="C834" t="s">
        <v>1692</v>
      </c>
      <c r="D834" t="s">
        <v>4</v>
      </c>
      <c r="E834" t="s">
        <v>4</v>
      </c>
      <c r="F834" t="s">
        <v>101</v>
      </c>
      <c r="G834" t="s">
        <v>102</v>
      </c>
      <c r="H834" t="s">
        <v>103</v>
      </c>
      <c r="I834" t="str">
        <f t="shared" si="25"/>
        <v/>
      </c>
    </row>
    <row r="835" spans="1:9">
      <c r="A835">
        <v>822</v>
      </c>
      <c r="B835" t="str">
        <f t="shared" ref="B835:B898" si="26">TRIM($D835) &amp; " " &amp; TRIM($E835) &amp; " " &amp; TRIM($C835)</f>
        <v>david matthew krashna</v>
      </c>
      <c r="C835" t="s">
        <v>1693</v>
      </c>
      <c r="D835" t="s">
        <v>28</v>
      </c>
      <c r="E835" t="s">
        <v>974</v>
      </c>
      <c r="F835" t="s">
        <v>387</v>
      </c>
      <c r="G835" t="s">
        <v>4</v>
      </c>
      <c r="H835" t="s">
        <v>10</v>
      </c>
      <c r="I835" t="str">
        <f t="shared" ref="I835:I898" si="27">IF(NOT(ISERROR(FIND("judge",F835))),"judge","")</f>
        <v/>
      </c>
    </row>
    <row r="836" spans="1:9">
      <c r="A836">
        <v>823</v>
      </c>
      <c r="B836" t="str">
        <f t="shared" si="26"/>
        <v>elisabeth b. krant</v>
      </c>
      <c r="C836" t="s">
        <v>1694</v>
      </c>
      <c r="D836" t="s">
        <v>1321</v>
      </c>
      <c r="E836" t="s">
        <v>400</v>
      </c>
      <c r="F836" t="s">
        <v>281</v>
      </c>
      <c r="G836" t="s">
        <v>1695</v>
      </c>
      <c r="H836" t="s">
        <v>10</v>
      </c>
      <c r="I836" t="str">
        <f t="shared" si="27"/>
        <v/>
      </c>
    </row>
    <row r="837" spans="1:9">
      <c r="A837">
        <v>824</v>
      </c>
      <c r="B837" t="str">
        <f t="shared" si="26"/>
        <v>richard alan kramer</v>
      </c>
      <c r="C837" t="s">
        <v>1696</v>
      </c>
      <c r="D837" t="s">
        <v>173</v>
      </c>
      <c r="E837" t="s">
        <v>48</v>
      </c>
      <c r="F837" t="s">
        <v>1964</v>
      </c>
      <c r="G837" t="s">
        <v>4</v>
      </c>
      <c r="H837" t="s">
        <v>4</v>
      </c>
      <c r="I837" t="str">
        <f t="shared" si="27"/>
        <v/>
      </c>
    </row>
    <row r="838" spans="1:9">
      <c r="A838">
        <v>825</v>
      </c>
      <c r="B838" t="str">
        <f t="shared" si="26"/>
        <v>renee ferton korn</v>
      </c>
      <c r="C838" t="s">
        <v>1697</v>
      </c>
      <c r="D838" t="s">
        <v>1698</v>
      </c>
      <c r="E838" t="s">
        <v>1699</v>
      </c>
      <c r="F838" t="s">
        <v>1749</v>
      </c>
      <c r="G838" t="s">
        <v>4</v>
      </c>
      <c r="H838" t="s">
        <v>4</v>
      </c>
      <c r="I838" t="str">
        <f t="shared" si="27"/>
        <v/>
      </c>
    </row>
    <row r="839" spans="1:9">
      <c r="A839">
        <v>826</v>
      </c>
      <c r="B839" t="str">
        <f t="shared" si="26"/>
        <v>charles jacob koosed</v>
      </c>
      <c r="C839" t="s">
        <v>1700</v>
      </c>
      <c r="D839" t="s">
        <v>35</v>
      </c>
      <c r="E839" t="s">
        <v>1701</v>
      </c>
      <c r="F839" t="s">
        <v>32</v>
      </c>
      <c r="G839" t="s">
        <v>247</v>
      </c>
      <c r="H839" t="s">
        <v>10</v>
      </c>
      <c r="I839" t="str">
        <f t="shared" si="27"/>
        <v/>
      </c>
    </row>
    <row r="840" spans="1:9">
      <c r="A840">
        <v>827</v>
      </c>
      <c r="B840" t="str">
        <f t="shared" si="26"/>
        <v>thomas d. kolpacoff</v>
      </c>
      <c r="C840" t="s">
        <v>1702</v>
      </c>
      <c r="D840" t="s">
        <v>27</v>
      </c>
      <c r="E840" t="s">
        <v>186</v>
      </c>
      <c r="F840" t="s">
        <v>1964</v>
      </c>
      <c r="G840" t="s">
        <v>1703</v>
      </c>
      <c r="H840" t="s">
        <v>4</v>
      </c>
      <c r="I840" t="str">
        <f t="shared" si="27"/>
        <v/>
      </c>
    </row>
    <row r="841" spans="1:9">
      <c r="A841">
        <v>828</v>
      </c>
      <c r="B841" t="str">
        <f t="shared" si="26"/>
        <v>william  kolin</v>
      </c>
      <c r="C841" t="s">
        <v>1704</v>
      </c>
      <c r="D841" t="s">
        <v>155</v>
      </c>
      <c r="E841" t="s">
        <v>4</v>
      </c>
      <c r="F841" t="s">
        <v>755</v>
      </c>
      <c r="G841" t="s">
        <v>4</v>
      </c>
      <c r="H841" t="s">
        <v>4</v>
      </c>
      <c r="I841" t="str">
        <f t="shared" si="27"/>
        <v/>
      </c>
    </row>
    <row r="842" spans="1:9">
      <c r="A842">
        <v>829</v>
      </c>
      <c r="B842" t="str">
        <f t="shared" si="26"/>
        <v>victoria s kolakowski</v>
      </c>
      <c r="C842" t="s">
        <v>1705</v>
      </c>
      <c r="D842" t="s">
        <v>1706</v>
      </c>
      <c r="E842" t="s">
        <v>182</v>
      </c>
      <c r="F842" t="s">
        <v>1707</v>
      </c>
      <c r="G842" t="s">
        <v>4</v>
      </c>
      <c r="H842" t="s">
        <v>36</v>
      </c>
      <c r="I842" t="str">
        <f t="shared" si="27"/>
        <v/>
      </c>
    </row>
    <row r="843" spans="1:9">
      <c r="A843">
        <v>830</v>
      </c>
      <c r="B843" t="str">
        <f t="shared" si="26"/>
        <v>wendy l kohn</v>
      </c>
      <c r="C843" t="s">
        <v>1708</v>
      </c>
      <c r="D843" t="s">
        <v>1709</v>
      </c>
      <c r="E843" t="s">
        <v>77</v>
      </c>
      <c r="F843" t="s">
        <v>25</v>
      </c>
      <c r="G843" t="s">
        <v>4</v>
      </c>
      <c r="H843" t="s">
        <v>10</v>
      </c>
      <c r="I843" t="str">
        <f t="shared" si="27"/>
        <v/>
      </c>
    </row>
    <row r="844" spans="1:9">
      <c r="A844">
        <v>831</v>
      </c>
      <c r="B844" t="str">
        <f t="shared" si="26"/>
        <v>john anthony kline</v>
      </c>
      <c r="C844" t="s">
        <v>1710</v>
      </c>
      <c r="D844" t="s">
        <v>7</v>
      </c>
      <c r="E844" t="s">
        <v>150</v>
      </c>
      <c r="F844" t="s">
        <v>1711</v>
      </c>
      <c r="G844" t="s">
        <v>932</v>
      </c>
      <c r="H844" t="s">
        <v>833</v>
      </c>
      <c r="I844" t="str">
        <f t="shared" si="27"/>
        <v/>
      </c>
    </row>
    <row r="845" spans="1:9">
      <c r="A845">
        <v>832</v>
      </c>
      <c r="B845" t="str">
        <f t="shared" si="26"/>
        <v>james paul kleinberg</v>
      </c>
      <c r="C845" t="s">
        <v>1712</v>
      </c>
      <c r="D845" t="s">
        <v>90</v>
      </c>
      <c r="E845" t="s">
        <v>280</v>
      </c>
      <c r="F845" t="s">
        <v>49</v>
      </c>
      <c r="G845" t="s">
        <v>1034</v>
      </c>
      <c r="H845" t="s">
        <v>10</v>
      </c>
      <c r="I845" t="str">
        <f t="shared" si="27"/>
        <v/>
      </c>
    </row>
    <row r="846" spans="1:9">
      <c r="A846">
        <v>833</v>
      </c>
      <c r="B846" t="str">
        <f t="shared" si="26"/>
        <v>ross m klein</v>
      </c>
      <c r="C846" t="s">
        <v>1713</v>
      </c>
      <c r="D846" t="s">
        <v>852</v>
      </c>
      <c r="E846" t="s">
        <v>410</v>
      </c>
      <c r="F846" t="s">
        <v>25</v>
      </c>
      <c r="G846" t="s">
        <v>692</v>
      </c>
      <c r="H846" t="s">
        <v>10</v>
      </c>
      <c r="I846" t="str">
        <f t="shared" si="27"/>
        <v/>
      </c>
    </row>
    <row r="847" spans="1:9">
      <c r="A847">
        <v>834</v>
      </c>
      <c r="B847" t="str">
        <f t="shared" si="26"/>
        <v>joan dempsey klein</v>
      </c>
      <c r="C847" t="s">
        <v>1713</v>
      </c>
      <c r="D847" t="s">
        <v>242</v>
      </c>
      <c r="E847" t="s">
        <v>1714</v>
      </c>
      <c r="F847" t="s">
        <v>19</v>
      </c>
      <c r="G847" t="s">
        <v>20</v>
      </c>
      <c r="H847" t="s">
        <v>21</v>
      </c>
      <c r="I847" t="str">
        <f t="shared" si="27"/>
        <v/>
      </c>
    </row>
    <row r="848" spans="1:9">
      <c r="A848">
        <v>835</v>
      </c>
      <c r="B848" t="str">
        <f t="shared" si="26"/>
        <v>clifford l klien</v>
      </c>
      <c r="C848" t="s">
        <v>1715</v>
      </c>
      <c r="D848" t="s">
        <v>1626</v>
      </c>
      <c r="E848" t="s">
        <v>77</v>
      </c>
      <c r="F848" t="s">
        <v>4034</v>
      </c>
      <c r="G848" t="s">
        <v>4</v>
      </c>
      <c r="H848" t="s">
        <v>4</v>
      </c>
      <c r="I848" t="str">
        <f t="shared" si="27"/>
        <v/>
      </c>
    </row>
    <row r="849" spans="1:9">
      <c r="A849">
        <v>836</v>
      </c>
      <c r="B849" t="str">
        <f t="shared" si="26"/>
        <v>steven jay kleifield</v>
      </c>
      <c r="C849" t="s">
        <v>1716</v>
      </c>
      <c r="D849" t="s">
        <v>339</v>
      </c>
      <c r="E849" t="s">
        <v>1717</v>
      </c>
      <c r="F849" t="s">
        <v>1718</v>
      </c>
      <c r="G849" t="s">
        <v>4</v>
      </c>
      <c r="H849" t="s">
        <v>10</v>
      </c>
      <c r="I849" t="str">
        <f t="shared" si="27"/>
        <v/>
      </c>
    </row>
    <row r="850" spans="1:9">
      <c r="A850">
        <v>837</v>
      </c>
      <c r="B850" t="str">
        <f t="shared" si="26"/>
        <v>patti s. kitching</v>
      </c>
      <c r="C850" t="s">
        <v>1719</v>
      </c>
      <c r="D850" t="s">
        <v>1390</v>
      </c>
      <c r="E850" t="s">
        <v>174</v>
      </c>
      <c r="F850" t="s">
        <v>19</v>
      </c>
      <c r="G850" t="s">
        <v>20</v>
      </c>
      <c r="H850" t="s">
        <v>21</v>
      </c>
      <c r="I850" t="str">
        <f t="shared" si="27"/>
        <v/>
      </c>
    </row>
    <row r="851" spans="1:9">
      <c r="A851">
        <v>838</v>
      </c>
      <c r="B851" t="str">
        <f t="shared" si="26"/>
        <v>peter h kirwan</v>
      </c>
      <c r="C851" t="s">
        <v>1720</v>
      </c>
      <c r="D851" t="s">
        <v>336</v>
      </c>
      <c r="E851" t="s">
        <v>250</v>
      </c>
      <c r="F851" t="s">
        <v>1721</v>
      </c>
      <c r="G851" t="s">
        <v>49</v>
      </c>
      <c r="H851" t="s">
        <v>1280</v>
      </c>
      <c r="I851" t="str">
        <f t="shared" si="27"/>
        <v/>
      </c>
    </row>
    <row r="852" spans="1:9">
      <c r="A852">
        <v>839</v>
      </c>
      <c r="B852" t="str">
        <f t="shared" si="26"/>
        <v>evan patrick kirvin</v>
      </c>
      <c r="C852" t="s">
        <v>1722</v>
      </c>
      <c r="D852" t="s">
        <v>1723</v>
      </c>
      <c r="E852" t="s">
        <v>6</v>
      </c>
      <c r="F852" t="s">
        <v>32</v>
      </c>
      <c r="G852" t="s">
        <v>1724</v>
      </c>
      <c r="H852" t="s">
        <v>10</v>
      </c>
      <c r="I852" t="str">
        <f t="shared" si="27"/>
        <v/>
      </c>
    </row>
    <row r="853" spans="1:9">
      <c r="A853">
        <v>840</v>
      </c>
      <c r="B853" t="str">
        <f t="shared" si="26"/>
        <v>h.  kirschner richard</v>
      </c>
      <c r="C853" t="s">
        <v>1725</v>
      </c>
      <c r="D853" t="s">
        <v>957</v>
      </c>
      <c r="E853" t="s">
        <v>4</v>
      </c>
      <c r="F853" t="s">
        <v>3996</v>
      </c>
      <c r="G853" t="s">
        <v>4</v>
      </c>
      <c r="H853" t="s">
        <v>4</v>
      </c>
      <c r="I853" t="str">
        <f t="shared" si="27"/>
        <v/>
      </c>
    </row>
    <row r="854" spans="1:9">
      <c r="A854">
        <v>841</v>
      </c>
      <c r="B854" t="str">
        <f t="shared" si="26"/>
        <v>k. michael kirkman</v>
      </c>
      <c r="C854" t="s">
        <v>1726</v>
      </c>
      <c r="D854" t="s">
        <v>576</v>
      </c>
      <c r="E854" t="s">
        <v>219</v>
      </c>
      <c r="F854" t="s">
        <v>101</v>
      </c>
      <c r="G854" t="s">
        <v>102</v>
      </c>
      <c r="H854" t="s">
        <v>103</v>
      </c>
      <c r="I854" t="str">
        <f t="shared" si="27"/>
        <v/>
      </c>
    </row>
    <row r="855" spans="1:9">
      <c r="A855">
        <v>842</v>
      </c>
      <c r="B855" t="str">
        <f t="shared" si="26"/>
        <v>john  kirihara</v>
      </c>
      <c r="C855" t="s">
        <v>1727</v>
      </c>
      <c r="D855" t="s">
        <v>7</v>
      </c>
      <c r="E855" t="s">
        <v>4</v>
      </c>
      <c r="F855" t="s">
        <v>1001</v>
      </c>
      <c r="G855" t="s">
        <v>4</v>
      </c>
      <c r="H855" t="s">
        <v>36</v>
      </c>
      <c r="I855" t="str">
        <f t="shared" si="27"/>
        <v/>
      </c>
    </row>
    <row r="856" spans="1:9">
      <c r="A856">
        <v>843</v>
      </c>
      <c r="B856" t="str">
        <f t="shared" si="26"/>
        <v>harry shultz kinnicutt</v>
      </c>
      <c r="C856" t="s">
        <v>1728</v>
      </c>
      <c r="D856" t="s">
        <v>1024</v>
      </c>
      <c r="E856" t="s">
        <v>1729</v>
      </c>
      <c r="F856" t="s">
        <v>1730</v>
      </c>
      <c r="G856" t="s">
        <v>1298</v>
      </c>
      <c r="H856" t="s">
        <v>10</v>
      </c>
      <c r="I856" t="str">
        <f t="shared" si="27"/>
        <v/>
      </c>
    </row>
    <row r="857" spans="1:9">
      <c r="A857">
        <v>844</v>
      </c>
      <c r="B857" t="str">
        <f t="shared" si="26"/>
        <v>kay  kingsley</v>
      </c>
      <c r="C857" t="s">
        <v>1731</v>
      </c>
      <c r="D857" t="s">
        <v>384</v>
      </c>
      <c r="E857" t="s">
        <v>4</v>
      </c>
      <c r="F857" t="s">
        <v>146</v>
      </c>
      <c r="G857" t="s">
        <v>4</v>
      </c>
      <c r="H857" t="s">
        <v>36</v>
      </c>
      <c r="I857" t="str">
        <f t="shared" si="27"/>
        <v/>
      </c>
    </row>
    <row r="858" spans="1:9">
      <c r="A858">
        <v>845</v>
      </c>
      <c r="B858" t="str">
        <f t="shared" si="26"/>
        <v>suzanne n. kingsbury</v>
      </c>
      <c r="C858" t="s">
        <v>1732</v>
      </c>
      <c r="D858" t="s">
        <v>1590</v>
      </c>
      <c r="E858" t="s">
        <v>1471</v>
      </c>
      <c r="F858" t="s">
        <v>1733</v>
      </c>
      <c r="G858" t="s">
        <v>1734</v>
      </c>
      <c r="H858" t="s">
        <v>862</v>
      </c>
      <c r="I858" t="str">
        <f t="shared" si="27"/>
        <v/>
      </c>
    </row>
    <row r="859" spans="1:9">
      <c r="A859">
        <v>846</v>
      </c>
      <c r="B859" t="str">
        <f t="shared" si="26"/>
        <v>richard milton king</v>
      </c>
      <c r="C859" t="s">
        <v>1735</v>
      </c>
      <c r="D859" t="s">
        <v>173</v>
      </c>
      <c r="E859" t="s">
        <v>1324</v>
      </c>
      <c r="F859" t="s">
        <v>4095</v>
      </c>
      <c r="G859" t="s">
        <v>559</v>
      </c>
      <c r="H859" t="s">
        <v>103</v>
      </c>
      <c r="I859" t="str">
        <f t="shared" si="27"/>
        <v/>
      </c>
    </row>
    <row r="860" spans="1:9">
      <c r="A860">
        <v>847</v>
      </c>
      <c r="B860" t="str">
        <f t="shared" si="26"/>
        <v>jeffrey  king</v>
      </c>
      <c r="C860" t="s">
        <v>1735</v>
      </c>
      <c r="D860" t="s">
        <v>446</v>
      </c>
      <c r="E860" t="s">
        <v>4</v>
      </c>
      <c r="F860" t="s">
        <v>19</v>
      </c>
      <c r="G860" t="s">
        <v>985</v>
      </c>
      <c r="H860" t="s">
        <v>21</v>
      </c>
      <c r="I860" t="str">
        <f t="shared" si="27"/>
        <v/>
      </c>
    </row>
    <row r="861" spans="1:9">
      <c r="A861">
        <v>848</v>
      </c>
      <c r="B861" t="str">
        <f t="shared" si="26"/>
        <v>mark christopher kim</v>
      </c>
      <c r="C861" t="s">
        <v>1736</v>
      </c>
      <c r="D861" t="s">
        <v>45</v>
      </c>
      <c r="E861" t="s">
        <v>64</v>
      </c>
      <c r="F861" t="s">
        <v>25</v>
      </c>
      <c r="G861" t="s">
        <v>4</v>
      </c>
      <c r="H861" t="s">
        <v>4</v>
      </c>
      <c r="I861" t="str">
        <f t="shared" si="27"/>
        <v/>
      </c>
    </row>
    <row r="862" spans="1:9">
      <c r="A862">
        <v>849</v>
      </c>
      <c r="B862" t="str">
        <f t="shared" si="26"/>
        <v>charlene  kiesselbach</v>
      </c>
      <c r="C862" t="s">
        <v>1737</v>
      </c>
      <c r="D862" t="s">
        <v>1738</v>
      </c>
      <c r="E862" t="s">
        <v>4</v>
      </c>
      <c r="F862" t="s">
        <v>4096</v>
      </c>
      <c r="G862" t="s">
        <v>4</v>
      </c>
      <c r="H862" t="s">
        <v>4</v>
      </c>
      <c r="I862" t="str">
        <f t="shared" si="27"/>
        <v/>
      </c>
    </row>
    <row r="863" spans="1:9">
      <c r="A863">
        <v>850</v>
      </c>
      <c r="B863" t="str">
        <f t="shared" si="26"/>
        <v>abraham  khan</v>
      </c>
      <c r="C863" t="s">
        <v>1739</v>
      </c>
      <c r="D863" t="s">
        <v>1740</v>
      </c>
      <c r="E863" t="s">
        <v>4</v>
      </c>
      <c r="F863" t="s">
        <v>1741</v>
      </c>
      <c r="G863" t="s">
        <v>4</v>
      </c>
      <c r="H863" t="s">
        <v>10</v>
      </c>
      <c r="I863" t="str">
        <f t="shared" si="27"/>
        <v/>
      </c>
    </row>
    <row r="864" spans="1:9">
      <c r="A864">
        <v>851</v>
      </c>
      <c r="B864" t="str">
        <f t="shared" si="26"/>
        <v>cheryl carolyn kersey</v>
      </c>
      <c r="C864" t="s">
        <v>1742</v>
      </c>
      <c r="D864" t="s">
        <v>1326</v>
      </c>
      <c r="E864" t="s">
        <v>1680</v>
      </c>
      <c r="F864" t="s">
        <v>1743</v>
      </c>
      <c r="G864" t="s">
        <v>823</v>
      </c>
      <c r="H864" t="s">
        <v>10</v>
      </c>
      <c r="I864" t="str">
        <f t="shared" si="27"/>
        <v/>
      </c>
    </row>
    <row r="865" spans="1:9">
      <c r="A865">
        <v>852</v>
      </c>
      <c r="B865" t="str">
        <f t="shared" si="26"/>
        <v>karla diane kerlin</v>
      </c>
      <c r="C865" t="s">
        <v>1744</v>
      </c>
      <c r="D865" t="s">
        <v>1745</v>
      </c>
      <c r="E865" t="s">
        <v>911</v>
      </c>
      <c r="F865" t="s">
        <v>49</v>
      </c>
      <c r="G865" t="s">
        <v>461</v>
      </c>
      <c r="H865" t="s">
        <v>10</v>
      </c>
      <c r="I865" t="str">
        <f t="shared" si="27"/>
        <v/>
      </c>
    </row>
    <row r="866" spans="1:9">
      <c r="A866">
        <v>853</v>
      </c>
      <c r="B866" t="str">
        <f t="shared" si="26"/>
        <v>dennis james keough</v>
      </c>
      <c r="C866" t="s">
        <v>1746</v>
      </c>
      <c r="D866" t="s">
        <v>1065</v>
      </c>
      <c r="E866" t="s">
        <v>90</v>
      </c>
      <c r="F866" t="s">
        <v>137</v>
      </c>
      <c r="G866" t="s">
        <v>4</v>
      </c>
      <c r="H866" t="s">
        <v>36</v>
      </c>
      <c r="I866" t="str">
        <f t="shared" si="27"/>
        <v/>
      </c>
    </row>
    <row r="867" spans="1:9">
      <c r="A867">
        <v>854</v>
      </c>
      <c r="B867" t="str">
        <f t="shared" si="26"/>
        <v>greg  keosian</v>
      </c>
      <c r="C867" t="s">
        <v>1747</v>
      </c>
      <c r="D867" t="s">
        <v>1748</v>
      </c>
      <c r="E867" t="s">
        <v>4</v>
      </c>
      <c r="F867" t="s">
        <v>25</v>
      </c>
      <c r="G867" t="s">
        <v>135</v>
      </c>
      <c r="H867" t="s">
        <v>10</v>
      </c>
      <c r="I867" t="str">
        <f t="shared" si="27"/>
        <v/>
      </c>
    </row>
    <row r="868" spans="1:9">
      <c r="A868">
        <v>855</v>
      </c>
      <c r="B868" t="str">
        <f t="shared" si="26"/>
        <v>michael p kenny</v>
      </c>
      <c r="C868" t="s">
        <v>1750</v>
      </c>
      <c r="D868" t="s">
        <v>219</v>
      </c>
      <c r="E868" t="s">
        <v>252</v>
      </c>
      <c r="F868" t="s">
        <v>1304</v>
      </c>
      <c r="G868" t="s">
        <v>4</v>
      </c>
      <c r="H868" t="s">
        <v>10</v>
      </c>
      <c r="I868" t="str">
        <f t="shared" si="27"/>
        <v/>
      </c>
    </row>
    <row r="869" spans="1:9">
      <c r="A869">
        <v>856</v>
      </c>
      <c r="B869" t="str">
        <f t="shared" si="26"/>
        <v>john philip kennelly</v>
      </c>
      <c r="C869" t="s">
        <v>1751</v>
      </c>
      <c r="D869" t="s">
        <v>7</v>
      </c>
      <c r="E869" t="s">
        <v>589</v>
      </c>
      <c r="F869" t="s">
        <v>32</v>
      </c>
      <c r="G869" t="s">
        <v>1752</v>
      </c>
      <c r="H869" t="s">
        <v>36</v>
      </c>
      <c r="I869" t="str">
        <f t="shared" si="27"/>
        <v/>
      </c>
    </row>
    <row r="870" spans="1:9">
      <c r="A870">
        <v>857</v>
      </c>
      <c r="B870" t="str">
        <f t="shared" si="26"/>
        <v>kathleen a. kennedy</v>
      </c>
      <c r="C870" t="s">
        <v>546</v>
      </c>
      <c r="D870" t="s">
        <v>188</v>
      </c>
      <c r="E870" t="s">
        <v>447</v>
      </c>
      <c r="F870" t="s">
        <v>1749</v>
      </c>
      <c r="G870" t="s">
        <v>4</v>
      </c>
      <c r="H870" t="s">
        <v>4</v>
      </c>
      <c r="I870" t="str">
        <f t="shared" si="27"/>
        <v/>
      </c>
    </row>
    <row r="871" spans="1:9">
      <c r="A871">
        <v>858</v>
      </c>
      <c r="B871" t="str">
        <f t="shared" si="26"/>
        <v xml:space="preserve">  konnedy john wiccian</v>
      </c>
      <c r="C871" t="s">
        <v>4097</v>
      </c>
      <c r="D871" t="s">
        <v>4</v>
      </c>
      <c r="E871" t="s">
        <v>4</v>
      </c>
      <c r="F871" t="s">
        <v>755</v>
      </c>
      <c r="G871" t="s">
        <v>1753</v>
      </c>
      <c r="H871" t="s">
        <v>10</v>
      </c>
      <c r="I871" t="str">
        <f t="shared" si="27"/>
        <v/>
      </c>
    </row>
    <row r="872" spans="1:9">
      <c r="A872">
        <v>859</v>
      </c>
      <c r="B872" t="str">
        <f t="shared" si="26"/>
        <v>joyce -blank- kennard</v>
      </c>
      <c r="C872" t="s">
        <v>1754</v>
      </c>
      <c r="D872" t="s">
        <v>1755</v>
      </c>
      <c r="E872" t="s">
        <v>1756</v>
      </c>
      <c r="F872" t="s">
        <v>1757</v>
      </c>
      <c r="G872" t="s">
        <v>4</v>
      </c>
      <c r="H872" t="s">
        <v>4</v>
      </c>
      <c r="I872" t="str">
        <f t="shared" si="27"/>
        <v/>
      </c>
    </row>
    <row r="873" spans="1:9">
      <c r="A873">
        <v>860</v>
      </c>
      <c r="B873" t="str">
        <f t="shared" si="26"/>
        <v>holly e. kendig</v>
      </c>
      <c r="C873" t="s">
        <v>1758</v>
      </c>
      <c r="D873" t="s">
        <v>1759</v>
      </c>
      <c r="E873" t="s">
        <v>127</v>
      </c>
      <c r="F873" t="s">
        <v>25</v>
      </c>
      <c r="G873" t="s">
        <v>4</v>
      </c>
      <c r="H873" t="s">
        <v>10</v>
      </c>
      <c r="I873" t="str">
        <f t="shared" si="27"/>
        <v/>
      </c>
    </row>
    <row r="874" spans="1:9">
      <c r="A874">
        <v>861</v>
      </c>
      <c r="B874" t="str">
        <f t="shared" si="26"/>
        <v>richard s. kemalyan</v>
      </c>
      <c r="C874" t="s">
        <v>1760</v>
      </c>
      <c r="D874" t="s">
        <v>173</v>
      </c>
      <c r="E874" t="s">
        <v>174</v>
      </c>
      <c r="F874" t="s">
        <v>1749</v>
      </c>
      <c r="G874" t="s">
        <v>102</v>
      </c>
      <c r="H874" t="s">
        <v>4</v>
      </c>
      <c r="I874" t="str">
        <f t="shared" si="27"/>
        <v/>
      </c>
    </row>
    <row r="875" spans="1:9">
      <c r="A875">
        <v>862</v>
      </c>
      <c r="B875" t="str">
        <f t="shared" si="26"/>
        <v>patricia lynn kelly</v>
      </c>
      <c r="C875" t="s">
        <v>1761</v>
      </c>
      <c r="D875" t="s">
        <v>419</v>
      </c>
      <c r="E875" t="s">
        <v>197</v>
      </c>
      <c r="F875" t="s">
        <v>1964</v>
      </c>
      <c r="G875" t="s">
        <v>1762</v>
      </c>
      <c r="H875" t="s">
        <v>4</v>
      </c>
      <c r="I875" t="str">
        <f t="shared" si="27"/>
        <v/>
      </c>
    </row>
    <row r="876" spans="1:9">
      <c r="A876">
        <v>863</v>
      </c>
      <c r="B876" t="str">
        <f t="shared" si="26"/>
        <v>michael m kelly</v>
      </c>
      <c r="C876" t="s">
        <v>1761</v>
      </c>
      <c r="D876" t="s">
        <v>219</v>
      </c>
      <c r="E876" t="s">
        <v>410</v>
      </c>
      <c r="F876" t="s">
        <v>890</v>
      </c>
      <c r="G876" t="s">
        <v>4</v>
      </c>
      <c r="H876" t="s">
        <v>10</v>
      </c>
      <c r="I876" t="str">
        <f t="shared" si="27"/>
        <v/>
      </c>
    </row>
    <row r="877" spans="1:9">
      <c r="A877">
        <v>864</v>
      </c>
      <c r="B877" t="str">
        <f t="shared" si="26"/>
        <v>kathleen anne kelly</v>
      </c>
      <c r="C877" t="s">
        <v>1761</v>
      </c>
      <c r="D877" t="s">
        <v>188</v>
      </c>
      <c r="E877" t="s">
        <v>1452</v>
      </c>
      <c r="F877" t="s">
        <v>1333</v>
      </c>
      <c r="G877" t="s">
        <v>4</v>
      </c>
      <c r="H877" t="s">
        <v>10</v>
      </c>
      <c r="I877" t="str">
        <f t="shared" si="27"/>
        <v/>
      </c>
    </row>
    <row r="878" spans="1:9">
      <c r="A878">
        <v>865</v>
      </c>
      <c r="B878" t="str">
        <f t="shared" si="26"/>
        <v>michael karl kellogg</v>
      </c>
      <c r="C878" t="s">
        <v>1763</v>
      </c>
      <c r="D878" t="s">
        <v>219</v>
      </c>
      <c r="E878" t="s">
        <v>1764</v>
      </c>
      <c r="F878" t="s">
        <v>1765</v>
      </c>
      <c r="G878" t="s">
        <v>1766</v>
      </c>
      <c r="H878" t="s">
        <v>1767</v>
      </c>
      <c r="I878" t="str">
        <f t="shared" si="27"/>
        <v/>
      </c>
    </row>
    <row r="879" spans="1:9">
      <c r="A879">
        <v>866</v>
      </c>
      <c r="B879" t="str">
        <f t="shared" si="26"/>
        <v>james a. kelley jr</v>
      </c>
      <c r="C879" t="s">
        <v>1768</v>
      </c>
      <c r="D879" t="s">
        <v>90</v>
      </c>
      <c r="E879" t="s">
        <v>447</v>
      </c>
      <c r="F879" t="s">
        <v>32</v>
      </c>
      <c r="G879" t="s">
        <v>289</v>
      </c>
      <c r="H879" t="s">
        <v>10</v>
      </c>
      <c r="I879" t="str">
        <f t="shared" si="27"/>
        <v/>
      </c>
    </row>
    <row r="880" spans="1:9">
      <c r="A880">
        <v>867</v>
      </c>
      <c r="B880" t="str">
        <f t="shared" si="26"/>
        <v>richard overton keller</v>
      </c>
      <c r="C880" t="s">
        <v>1769</v>
      </c>
      <c r="D880" t="s">
        <v>173</v>
      </c>
      <c r="E880" t="s">
        <v>1110</v>
      </c>
      <c r="F880" t="s">
        <v>32</v>
      </c>
      <c r="G880" t="s">
        <v>176</v>
      </c>
      <c r="H880" t="s">
        <v>10</v>
      </c>
      <c r="I880" t="str">
        <f t="shared" si="27"/>
        <v/>
      </c>
    </row>
    <row r="881" spans="1:9">
      <c r="A881">
        <v>868</v>
      </c>
      <c r="B881" t="str">
        <f t="shared" si="26"/>
        <v>kent mcmullin kellegrew</v>
      </c>
      <c r="C881" t="s">
        <v>1770</v>
      </c>
      <c r="D881" t="s">
        <v>1771</v>
      </c>
      <c r="E881" t="s">
        <v>1772</v>
      </c>
      <c r="F881" t="s">
        <v>32</v>
      </c>
      <c r="G881" t="s">
        <v>81</v>
      </c>
      <c r="H881" t="s">
        <v>10</v>
      </c>
      <c r="I881" t="str">
        <f t="shared" si="27"/>
        <v/>
      </c>
    </row>
    <row r="882" spans="1:9">
      <c r="A882">
        <v>868</v>
      </c>
      <c r="B882" t="str">
        <f t="shared" si="26"/>
        <v>kent mcmillin kellegrew</v>
      </c>
      <c r="C882" t="s">
        <v>1770</v>
      </c>
      <c r="D882" t="s">
        <v>1771</v>
      </c>
      <c r="E882" t="s">
        <v>1773</v>
      </c>
      <c r="F882" t="s">
        <v>8</v>
      </c>
      <c r="G882" t="s">
        <v>81</v>
      </c>
      <c r="H882" t="s">
        <v>4</v>
      </c>
      <c r="I882" t="str">
        <f t="shared" si="27"/>
        <v/>
      </c>
    </row>
    <row r="883" spans="1:9">
      <c r="A883">
        <v>869</v>
      </c>
      <c r="B883" t="str">
        <f t="shared" si="26"/>
        <v>julia  kelety</v>
      </c>
      <c r="C883" t="s">
        <v>1774</v>
      </c>
      <c r="D883" t="s">
        <v>586</v>
      </c>
      <c r="E883" t="s">
        <v>4</v>
      </c>
      <c r="F883" t="s">
        <v>101</v>
      </c>
      <c r="G883" t="s">
        <v>102</v>
      </c>
      <c r="H883" t="s">
        <v>103</v>
      </c>
      <c r="I883" t="str">
        <f t="shared" si="27"/>
        <v/>
      </c>
    </row>
    <row r="884" spans="1:9">
      <c r="A884">
        <v>870</v>
      </c>
      <c r="B884" t="str">
        <f t="shared" si="26"/>
        <v>clare  keithley</v>
      </c>
      <c r="C884" t="s">
        <v>1775</v>
      </c>
      <c r="D884" t="s">
        <v>1524</v>
      </c>
      <c r="E884" t="s">
        <v>4</v>
      </c>
      <c r="F884" t="s">
        <v>4</v>
      </c>
      <c r="G884" t="s">
        <v>4</v>
      </c>
      <c r="H884" t="s">
        <v>4</v>
      </c>
      <c r="I884" t="str">
        <f t="shared" si="27"/>
        <v/>
      </c>
    </row>
    <row r="885" spans="1:9">
      <c r="A885">
        <v>871</v>
      </c>
      <c r="B885" t="str">
        <f t="shared" si="26"/>
        <v>robert james kearney</v>
      </c>
      <c r="C885" t="s">
        <v>1776</v>
      </c>
      <c r="D885" t="s">
        <v>72</v>
      </c>
      <c r="E885" t="s">
        <v>90</v>
      </c>
      <c r="F885" t="s">
        <v>101</v>
      </c>
      <c r="G885" t="s">
        <v>102</v>
      </c>
      <c r="H885" t="s">
        <v>103</v>
      </c>
      <c r="I885" t="str">
        <f t="shared" si="27"/>
        <v/>
      </c>
    </row>
    <row r="886" spans="1:9">
      <c r="A886">
        <v>872</v>
      </c>
      <c r="B886" t="str">
        <f t="shared" si="26"/>
        <v>frances anne kearney</v>
      </c>
      <c r="C886" t="s">
        <v>1776</v>
      </c>
      <c r="D886" t="s">
        <v>849</v>
      </c>
      <c r="E886" t="s">
        <v>1452</v>
      </c>
      <c r="F886" t="s">
        <v>4098</v>
      </c>
      <c r="G886" t="s">
        <v>1044</v>
      </c>
      <c r="H886" t="s">
        <v>4</v>
      </c>
      <c r="I886" t="str">
        <f t="shared" si="27"/>
        <v/>
      </c>
    </row>
    <row r="887" spans="1:9">
      <c r="A887">
        <v>873</v>
      </c>
      <c r="B887" t="str">
        <f t="shared" si="26"/>
        <v>debra jean kazanjian</v>
      </c>
      <c r="C887" t="s">
        <v>1777</v>
      </c>
      <c r="D887" t="s">
        <v>1778</v>
      </c>
      <c r="E887" t="s">
        <v>1131</v>
      </c>
      <c r="F887" t="s">
        <v>633</v>
      </c>
      <c r="G887" t="s">
        <v>4</v>
      </c>
      <c r="H887" t="s">
        <v>36</v>
      </c>
      <c r="I887" t="str">
        <f t="shared" si="27"/>
        <v/>
      </c>
    </row>
    <row r="888" spans="1:9">
      <c r="A888">
        <v>874</v>
      </c>
      <c r="B888" t="str">
        <f t="shared" si="26"/>
        <v>scott l kays</v>
      </c>
      <c r="C888" t="s">
        <v>1779</v>
      </c>
      <c r="D888" t="s">
        <v>436</v>
      </c>
      <c r="E888" t="s">
        <v>77</v>
      </c>
      <c r="F888" t="s">
        <v>1780</v>
      </c>
      <c r="G888" t="s">
        <v>1781</v>
      </c>
      <c r="H888" t="s">
        <v>10</v>
      </c>
      <c r="I888" t="str">
        <f t="shared" si="27"/>
        <v/>
      </c>
    </row>
    <row r="889" spans="1:9">
      <c r="A889">
        <v>875</v>
      </c>
      <c r="B889" t="str">
        <f t="shared" si="26"/>
        <v>ira robert kaufman</v>
      </c>
      <c r="C889" t="s">
        <v>1782</v>
      </c>
      <c r="D889" t="s">
        <v>1783</v>
      </c>
      <c r="E889" t="s">
        <v>72</v>
      </c>
      <c r="F889" t="s">
        <v>1784</v>
      </c>
      <c r="G889" t="s">
        <v>4</v>
      </c>
      <c r="H889" t="s">
        <v>10</v>
      </c>
      <c r="I889" t="str">
        <f t="shared" si="27"/>
        <v/>
      </c>
    </row>
    <row r="890" spans="1:9">
      <c r="A890">
        <v>876</v>
      </c>
      <c r="B890" t="str">
        <f t="shared" si="26"/>
        <v>steven michael katz</v>
      </c>
      <c r="C890" t="s">
        <v>227</v>
      </c>
      <c r="D890" t="s">
        <v>339</v>
      </c>
      <c r="E890" t="s">
        <v>219</v>
      </c>
      <c r="F890" t="s">
        <v>32</v>
      </c>
      <c r="G890" t="s">
        <v>95</v>
      </c>
      <c r="H890" t="s">
        <v>10</v>
      </c>
      <c r="I890" t="str">
        <f t="shared" si="27"/>
        <v/>
      </c>
    </row>
    <row r="891" spans="1:9">
      <c r="A891">
        <v>877</v>
      </c>
      <c r="B891" t="str">
        <f t="shared" si="26"/>
        <v>aaron h. katz</v>
      </c>
      <c r="C891" t="s">
        <v>227</v>
      </c>
      <c r="D891" t="s">
        <v>1068</v>
      </c>
      <c r="E891" t="s">
        <v>957</v>
      </c>
      <c r="F891" t="s">
        <v>101</v>
      </c>
      <c r="G891" t="s">
        <v>102</v>
      </c>
      <c r="H891" t="s">
        <v>103</v>
      </c>
      <c r="I891" t="str">
        <f t="shared" si="27"/>
        <v/>
      </c>
    </row>
    <row r="892" spans="1:9">
      <c r="A892">
        <v>878</v>
      </c>
      <c r="B892" t="str">
        <f t="shared" si="26"/>
        <v>curtis e.a. karnow</v>
      </c>
      <c r="C892" t="s">
        <v>1785</v>
      </c>
      <c r="D892" t="s">
        <v>533</v>
      </c>
      <c r="E892" t="s">
        <v>1786</v>
      </c>
      <c r="F892" t="s">
        <v>359</v>
      </c>
      <c r="G892" t="s">
        <v>4</v>
      </c>
      <c r="H892" t="s">
        <v>10</v>
      </c>
      <c r="I892" t="str">
        <f t="shared" si="27"/>
        <v/>
      </c>
    </row>
    <row r="893" spans="1:9">
      <c r="A893">
        <v>879</v>
      </c>
      <c r="B893" t="str">
        <f t="shared" si="26"/>
        <v>craig d. karlan</v>
      </c>
      <c r="C893" t="s">
        <v>1787</v>
      </c>
      <c r="D893" t="s">
        <v>322</v>
      </c>
      <c r="E893" t="s">
        <v>186</v>
      </c>
      <c r="F893" t="s">
        <v>1788</v>
      </c>
      <c r="G893" t="s">
        <v>4</v>
      </c>
      <c r="H893" t="s">
        <v>10</v>
      </c>
      <c r="I893" t="str">
        <f t="shared" si="27"/>
        <v/>
      </c>
    </row>
    <row r="894" spans="1:9">
      <c r="A894">
        <v>880</v>
      </c>
      <c r="B894" t="str">
        <f t="shared" si="26"/>
        <v>jonathan e. karesh</v>
      </c>
      <c r="C894" t="s">
        <v>1789</v>
      </c>
      <c r="D894" t="s">
        <v>630</v>
      </c>
      <c r="E894" t="s">
        <v>127</v>
      </c>
      <c r="F894" t="s">
        <v>231</v>
      </c>
      <c r="G894" t="s">
        <v>4</v>
      </c>
      <c r="H894" t="s">
        <v>10</v>
      </c>
      <c r="I894" t="str">
        <f t="shared" si="27"/>
        <v/>
      </c>
    </row>
    <row r="895" spans="1:9">
      <c r="A895">
        <v>881</v>
      </c>
      <c r="B895" t="str">
        <f t="shared" si="26"/>
        <v>kristi culver kapetan</v>
      </c>
      <c r="C895" t="s">
        <v>1790</v>
      </c>
      <c r="D895" t="s">
        <v>1791</v>
      </c>
      <c r="E895" t="s">
        <v>1792</v>
      </c>
      <c r="F895" t="s">
        <v>1061</v>
      </c>
      <c r="G895" t="s">
        <v>4</v>
      </c>
      <c r="H895" t="s">
        <v>36</v>
      </c>
      <c r="I895" t="str">
        <f t="shared" si="27"/>
        <v/>
      </c>
    </row>
    <row r="896" spans="1:9">
      <c r="A896">
        <v>882</v>
      </c>
      <c r="B896" t="str">
        <f t="shared" si="26"/>
        <v>jon nick kapetan</v>
      </c>
      <c r="C896" t="s">
        <v>1790</v>
      </c>
      <c r="D896" t="s">
        <v>431</v>
      </c>
      <c r="E896" t="s">
        <v>1793</v>
      </c>
      <c r="F896" t="s">
        <v>32</v>
      </c>
      <c r="G896" t="s">
        <v>289</v>
      </c>
      <c r="H896" t="s">
        <v>10</v>
      </c>
      <c r="I896" t="str">
        <f t="shared" si="27"/>
        <v/>
      </c>
    </row>
    <row r="897" spans="1:9">
      <c r="A897">
        <v>883</v>
      </c>
      <c r="B897" t="str">
        <f t="shared" si="26"/>
        <v>gale eiko kaneshiro</v>
      </c>
      <c r="C897" t="s">
        <v>1794</v>
      </c>
      <c r="D897" t="s">
        <v>1795</v>
      </c>
      <c r="E897" t="s">
        <v>1796</v>
      </c>
      <c r="F897" t="s">
        <v>101</v>
      </c>
      <c r="G897" t="s">
        <v>102</v>
      </c>
      <c r="H897" t="s">
        <v>103</v>
      </c>
      <c r="I897" t="str">
        <f t="shared" si="27"/>
        <v/>
      </c>
    </row>
    <row r="898" spans="1:9">
      <c r="A898">
        <v>884</v>
      </c>
      <c r="B898" t="str">
        <f t="shared" si="26"/>
        <v>stephen j kane</v>
      </c>
      <c r="C898" t="s">
        <v>1797</v>
      </c>
      <c r="D898" t="s">
        <v>183</v>
      </c>
      <c r="E898" t="s">
        <v>1296</v>
      </c>
      <c r="F898" t="s">
        <v>1798</v>
      </c>
      <c r="G898" t="s">
        <v>4</v>
      </c>
      <c r="H898" t="s">
        <v>212</v>
      </c>
      <c r="I898" t="str">
        <f t="shared" si="27"/>
        <v/>
      </c>
    </row>
    <row r="899" spans="1:9">
      <c r="A899">
        <v>885</v>
      </c>
      <c r="B899" t="str">
        <f t="shared" ref="B899:B962" si="28">TRIM($D899) &amp; " " &amp; TRIM($E899) &amp; " " &amp; TRIM($C899)</f>
        <v>timothy alan kams</v>
      </c>
      <c r="C899" t="s">
        <v>1799</v>
      </c>
      <c r="D899" t="s">
        <v>264</v>
      </c>
      <c r="E899" t="s">
        <v>48</v>
      </c>
      <c r="F899" t="s">
        <v>1061</v>
      </c>
      <c r="G899" t="s">
        <v>4</v>
      </c>
      <c r="H899" t="s">
        <v>4</v>
      </c>
      <c r="I899" t="str">
        <f t="shared" ref="I899:I962" si="29">IF(NOT(ISERROR(FIND("judge",F899))),"judge","")</f>
        <v/>
      </c>
    </row>
    <row r="900" spans="1:9">
      <c r="A900">
        <v>886</v>
      </c>
      <c r="B900" t="str">
        <f t="shared" si="28"/>
        <v>timmy p. kam</v>
      </c>
      <c r="C900" t="s">
        <v>1800</v>
      </c>
      <c r="D900" t="s">
        <v>1801</v>
      </c>
      <c r="E900" t="s">
        <v>91</v>
      </c>
      <c r="F900" t="s">
        <v>4099</v>
      </c>
      <c r="G900" t="s">
        <v>4</v>
      </c>
      <c r="H900" t="s">
        <v>10</v>
      </c>
      <c r="I900" t="str">
        <f t="shared" si="29"/>
        <v/>
      </c>
    </row>
    <row r="901" spans="1:9">
      <c r="A901">
        <v>887</v>
      </c>
      <c r="B901" t="str">
        <f t="shared" si="28"/>
        <v>upinder singh kalra</v>
      </c>
      <c r="C901" t="s">
        <v>1802</v>
      </c>
      <c r="D901" t="s">
        <v>1803</v>
      </c>
      <c r="E901" t="s">
        <v>1804</v>
      </c>
      <c r="F901" t="s">
        <v>4100</v>
      </c>
      <c r="G901" t="s">
        <v>4</v>
      </c>
      <c r="H901" t="s">
        <v>4</v>
      </c>
      <c r="I901" t="str">
        <f t="shared" si="29"/>
        <v/>
      </c>
    </row>
    <row r="902" spans="1:9">
      <c r="A902">
        <v>888</v>
      </c>
      <c r="B902" t="str">
        <f t="shared" si="28"/>
        <v>david c. kalemkarian</v>
      </c>
      <c r="C902" t="s">
        <v>1805</v>
      </c>
      <c r="D902" t="s">
        <v>28</v>
      </c>
      <c r="E902" t="s">
        <v>332</v>
      </c>
      <c r="F902" t="s">
        <v>32</v>
      </c>
      <c r="G902" t="s">
        <v>289</v>
      </c>
      <c r="H902" t="s">
        <v>10</v>
      </c>
      <c r="I902" t="str">
        <f t="shared" si="29"/>
        <v/>
      </c>
    </row>
    <row r="903" spans="1:9">
      <c r="A903">
        <v>889</v>
      </c>
      <c r="B903" t="str">
        <f t="shared" si="28"/>
        <v>joseph  kalashian</v>
      </c>
      <c r="C903" t="s">
        <v>1806</v>
      </c>
      <c r="D903" t="s">
        <v>80</v>
      </c>
      <c r="E903" t="s">
        <v>4</v>
      </c>
      <c r="F903" t="s">
        <v>281</v>
      </c>
      <c r="G903" t="s">
        <v>686</v>
      </c>
      <c r="H903" t="s">
        <v>10</v>
      </c>
      <c r="I903" t="str">
        <f t="shared" si="29"/>
        <v/>
      </c>
    </row>
    <row r="904" spans="1:9">
      <c r="A904">
        <v>890</v>
      </c>
      <c r="B904" t="str">
        <f t="shared" si="28"/>
        <v>harold  kahn</v>
      </c>
      <c r="C904" t="s">
        <v>1807</v>
      </c>
      <c r="D904" t="s">
        <v>139</v>
      </c>
      <c r="E904" t="s">
        <v>4</v>
      </c>
      <c r="F904" t="s">
        <v>88</v>
      </c>
      <c r="G904" t="s">
        <v>4</v>
      </c>
      <c r="H904" t="s">
        <v>10</v>
      </c>
      <c r="I904" t="str">
        <f t="shared" si="29"/>
        <v/>
      </c>
    </row>
    <row r="905" spans="1:9">
      <c r="A905">
        <v>891</v>
      </c>
      <c r="B905" t="str">
        <f t="shared" si="28"/>
        <v>james a. kaddo</v>
      </c>
      <c r="C905" t="s">
        <v>1808</v>
      </c>
      <c r="D905" t="s">
        <v>90</v>
      </c>
      <c r="E905" t="s">
        <v>447</v>
      </c>
      <c r="F905" t="s">
        <v>628</v>
      </c>
      <c r="G905" t="s">
        <v>1809</v>
      </c>
      <c r="H905" t="s">
        <v>10</v>
      </c>
      <c r="I905" t="str">
        <f t="shared" si="29"/>
        <v/>
      </c>
    </row>
    <row r="906" spans="1:9">
      <c r="A906">
        <v>892</v>
      </c>
      <c r="B906" t="str">
        <f t="shared" si="28"/>
        <v>ray gerald jurado</v>
      </c>
      <c r="C906" t="s">
        <v>1810</v>
      </c>
      <c r="D906" t="s">
        <v>776</v>
      </c>
      <c r="E906" t="s">
        <v>703</v>
      </c>
      <c r="F906" t="s">
        <v>1749</v>
      </c>
      <c r="G906" t="s">
        <v>4</v>
      </c>
      <c r="H906" t="s">
        <v>4</v>
      </c>
      <c r="I906" t="str">
        <f t="shared" si="29"/>
        <v/>
      </c>
    </row>
    <row r="907" spans="1:9">
      <c r="A907">
        <v>893</v>
      </c>
      <c r="B907" t="str">
        <f t="shared" si="28"/>
        <v>mark albert juhas</v>
      </c>
      <c r="C907" t="s">
        <v>1811</v>
      </c>
      <c r="D907" t="s">
        <v>45</v>
      </c>
      <c r="E907" t="s">
        <v>116</v>
      </c>
      <c r="F907" t="s">
        <v>1749</v>
      </c>
      <c r="G907" t="s">
        <v>4</v>
      </c>
      <c r="H907" t="s">
        <v>4</v>
      </c>
      <c r="I907" t="str">
        <f t="shared" si="29"/>
        <v/>
      </c>
    </row>
    <row r="908" spans="1:9">
      <c r="A908">
        <v>894</v>
      </c>
      <c r="B908" t="str">
        <f t="shared" si="28"/>
        <v>jeffrey bruce jones</v>
      </c>
      <c r="C908" t="s">
        <v>1049</v>
      </c>
      <c r="D908" t="s">
        <v>446</v>
      </c>
      <c r="E908" t="s">
        <v>47</v>
      </c>
      <c r="F908" t="s">
        <v>1812</v>
      </c>
      <c r="G908" t="s">
        <v>4</v>
      </c>
      <c r="H908" t="s">
        <v>10</v>
      </c>
      <c r="I908" t="str">
        <f t="shared" si="29"/>
        <v/>
      </c>
    </row>
    <row r="909" spans="1:9">
      <c r="A909">
        <v>895</v>
      </c>
      <c r="B909" t="str">
        <f t="shared" si="28"/>
        <v>gregory wallace jones</v>
      </c>
      <c r="C909" t="s">
        <v>1049</v>
      </c>
      <c r="D909" t="s">
        <v>468</v>
      </c>
      <c r="E909" t="s">
        <v>1813</v>
      </c>
      <c r="F909" t="s">
        <v>890</v>
      </c>
      <c r="G909" t="s">
        <v>4</v>
      </c>
      <c r="H909" t="s">
        <v>10</v>
      </c>
      <c r="I909" t="str">
        <f t="shared" si="29"/>
        <v/>
      </c>
    </row>
    <row r="910" spans="1:9">
      <c r="A910">
        <v>896</v>
      </c>
      <c r="B910" t="str">
        <f t="shared" si="28"/>
        <v>d lynn jones</v>
      </c>
      <c r="C910" t="s">
        <v>1049</v>
      </c>
      <c r="D910" t="s">
        <v>570</v>
      </c>
      <c r="E910" t="s">
        <v>197</v>
      </c>
      <c r="F910" t="s">
        <v>1594</v>
      </c>
      <c r="G910" t="s">
        <v>4</v>
      </c>
      <c r="H910" t="s">
        <v>10</v>
      </c>
      <c r="I910" t="str">
        <f t="shared" si="29"/>
        <v/>
      </c>
    </row>
    <row r="911" spans="1:9">
      <c r="A911">
        <v>897</v>
      </c>
      <c r="B911" t="str">
        <f t="shared" si="28"/>
        <v>joy r  jones barbara</v>
      </c>
      <c r="C911" t="s">
        <v>1814</v>
      </c>
      <c r="D911" t="s">
        <v>1815</v>
      </c>
      <c r="E911" t="s">
        <v>4</v>
      </c>
      <c r="F911" t="s">
        <v>19</v>
      </c>
      <c r="G911" t="s">
        <v>1816</v>
      </c>
      <c r="H911" t="s">
        <v>833</v>
      </c>
      <c r="I911" t="str">
        <f t="shared" si="29"/>
        <v/>
      </c>
    </row>
    <row r="912" spans="1:9">
      <c r="A912">
        <v>898</v>
      </c>
      <c r="B912" t="str">
        <f t="shared" si="28"/>
        <v>ann i. jones</v>
      </c>
      <c r="C912" t="s">
        <v>1049</v>
      </c>
      <c r="D912" t="s">
        <v>3</v>
      </c>
      <c r="E912" t="s">
        <v>414</v>
      </c>
      <c r="F912" t="s">
        <v>49</v>
      </c>
      <c r="G912" t="s">
        <v>135</v>
      </c>
      <c r="H912" t="s">
        <v>10</v>
      </c>
      <c r="I912" t="str">
        <f t="shared" si="29"/>
        <v/>
      </c>
    </row>
    <row r="913" spans="1:9">
      <c r="A913">
        <v>899</v>
      </c>
      <c r="B913" t="str">
        <f t="shared" si="28"/>
        <v>alesia francine jones</v>
      </c>
      <c r="C913" t="s">
        <v>1049</v>
      </c>
      <c r="D913" t="s">
        <v>1817</v>
      </c>
      <c r="E913" t="s">
        <v>1818</v>
      </c>
      <c r="F913" t="s">
        <v>567</v>
      </c>
      <c r="G913" t="s">
        <v>4</v>
      </c>
      <c r="H913" t="s">
        <v>10</v>
      </c>
      <c r="I913" t="str">
        <f t="shared" si="29"/>
        <v/>
      </c>
    </row>
    <row r="914" spans="1:9">
      <c r="A914">
        <v>900</v>
      </c>
      <c r="B914" t="str">
        <f t="shared" si="28"/>
        <v>gerald gordon johnston</v>
      </c>
      <c r="C914" t="s">
        <v>1819</v>
      </c>
      <c r="D914" t="s">
        <v>703</v>
      </c>
      <c r="E914" t="s">
        <v>1820</v>
      </c>
      <c r="F914" t="s">
        <v>137</v>
      </c>
      <c r="G914" t="s">
        <v>4</v>
      </c>
      <c r="H914" t="s">
        <v>4</v>
      </c>
      <c r="I914" t="str">
        <f t="shared" si="29"/>
        <v/>
      </c>
    </row>
    <row r="915" spans="1:9">
      <c r="A915">
        <v>901</v>
      </c>
      <c r="B915" t="str">
        <f t="shared" si="28"/>
        <v>william dean johnson</v>
      </c>
      <c r="C915" t="s">
        <v>1821</v>
      </c>
      <c r="D915" t="s">
        <v>155</v>
      </c>
      <c r="E915" t="s">
        <v>535</v>
      </c>
      <c r="F915" t="s">
        <v>4101</v>
      </c>
      <c r="G915" t="s">
        <v>4</v>
      </c>
      <c r="H915" t="s">
        <v>4</v>
      </c>
      <c r="I915" t="str">
        <f t="shared" si="29"/>
        <v/>
      </c>
    </row>
    <row r="916" spans="1:9">
      <c r="A916">
        <v>902</v>
      </c>
      <c r="B916" t="str">
        <f t="shared" si="28"/>
        <v>michael  johnson</v>
      </c>
      <c r="C916" t="s">
        <v>1821</v>
      </c>
      <c r="D916" t="s">
        <v>219</v>
      </c>
      <c r="E916" t="s">
        <v>4</v>
      </c>
      <c r="F916" t="s">
        <v>25</v>
      </c>
      <c r="G916" t="s">
        <v>4</v>
      </c>
      <c r="H916" t="s">
        <v>10</v>
      </c>
      <c r="I916" t="str">
        <f t="shared" si="29"/>
        <v/>
      </c>
    </row>
    <row r="917" spans="1:9">
      <c r="A917">
        <v>903</v>
      </c>
      <c r="B917" t="str">
        <f t="shared" si="28"/>
        <v>mark eugene johnson</v>
      </c>
      <c r="C917" t="s">
        <v>1821</v>
      </c>
      <c r="D917" t="s">
        <v>45</v>
      </c>
      <c r="E917" t="s">
        <v>407</v>
      </c>
      <c r="F917" t="s">
        <v>32</v>
      </c>
      <c r="G917" t="s">
        <v>247</v>
      </c>
      <c r="H917" t="s">
        <v>10</v>
      </c>
      <c r="I917" t="str">
        <f t="shared" si="29"/>
        <v/>
      </c>
    </row>
    <row r="918" spans="1:9">
      <c r="A918">
        <v>904</v>
      </c>
      <c r="B918" t="str">
        <f t="shared" si="28"/>
        <v>margaret s johnson</v>
      </c>
      <c r="C918" t="s">
        <v>1821</v>
      </c>
      <c r="D918" t="s">
        <v>1016</v>
      </c>
      <c r="E918" t="s">
        <v>182</v>
      </c>
      <c r="F918" t="s">
        <v>4102</v>
      </c>
      <c r="G918" t="s">
        <v>4</v>
      </c>
      <c r="H918" t="s">
        <v>4</v>
      </c>
      <c r="I918" t="str">
        <f t="shared" si="29"/>
        <v/>
      </c>
    </row>
    <row r="919" spans="1:9">
      <c r="A919">
        <v>905</v>
      </c>
      <c r="B919" t="str">
        <f t="shared" si="28"/>
        <v>jeffrey wayne johnson</v>
      </c>
      <c r="C919" t="s">
        <v>1821</v>
      </c>
      <c r="D919" t="s">
        <v>446</v>
      </c>
      <c r="E919" t="s">
        <v>758</v>
      </c>
      <c r="F919" t="s">
        <v>19</v>
      </c>
      <c r="G919" t="s">
        <v>1822</v>
      </c>
      <c r="H919" t="s">
        <v>21</v>
      </c>
      <c r="I919" t="str">
        <f t="shared" si="29"/>
        <v/>
      </c>
    </row>
    <row r="920" spans="1:9">
      <c r="A920">
        <v>906</v>
      </c>
      <c r="B920" t="str">
        <f t="shared" si="28"/>
        <v>jane l. johnson</v>
      </c>
      <c r="C920" t="s">
        <v>1821</v>
      </c>
      <c r="D920" t="s">
        <v>1823</v>
      </c>
      <c r="E920" t="s">
        <v>257</v>
      </c>
      <c r="F920" t="s">
        <v>1749</v>
      </c>
      <c r="G920" t="s">
        <v>4</v>
      </c>
      <c r="H920" t="s">
        <v>4</v>
      </c>
      <c r="I920" t="str">
        <f t="shared" si="29"/>
        <v/>
      </c>
    </row>
    <row r="921" spans="1:9">
      <c r="A921">
        <v>907</v>
      </c>
      <c r="B921" t="str">
        <f t="shared" si="28"/>
        <v>hurl william johnson</v>
      </c>
      <c r="C921" t="s">
        <v>1821</v>
      </c>
      <c r="D921" t="s">
        <v>1824</v>
      </c>
      <c r="E921" t="s">
        <v>155</v>
      </c>
      <c r="F921" t="s">
        <v>571</v>
      </c>
      <c r="G921" t="s">
        <v>49</v>
      </c>
      <c r="H921" t="s">
        <v>10</v>
      </c>
      <c r="I921" t="str">
        <f t="shared" si="29"/>
        <v/>
      </c>
    </row>
    <row r="922" spans="1:9">
      <c r="A922">
        <v>908</v>
      </c>
      <c r="B922" t="str">
        <f t="shared" si="28"/>
        <v>gary michael johnson</v>
      </c>
      <c r="C922" t="s">
        <v>1821</v>
      </c>
      <c r="D922" t="s">
        <v>123</v>
      </c>
      <c r="E922" t="s">
        <v>219</v>
      </c>
      <c r="F922" t="s">
        <v>281</v>
      </c>
      <c r="G922" t="s">
        <v>1825</v>
      </c>
      <c r="H922" t="s">
        <v>10</v>
      </c>
      <c r="I922" t="str">
        <f t="shared" si="29"/>
        <v/>
      </c>
    </row>
    <row r="923" spans="1:9">
      <c r="A923">
        <v>909</v>
      </c>
      <c r="B923" t="str">
        <f t="shared" si="28"/>
        <v>frank joseph johnson</v>
      </c>
      <c r="C923" t="s">
        <v>1821</v>
      </c>
      <c r="D923" t="s">
        <v>605</v>
      </c>
      <c r="E923" t="s">
        <v>80</v>
      </c>
      <c r="F923" t="s">
        <v>25</v>
      </c>
      <c r="G923" t="s">
        <v>36</v>
      </c>
      <c r="H923" t="s">
        <v>4</v>
      </c>
      <c r="I923" t="str">
        <f t="shared" si="29"/>
        <v/>
      </c>
    </row>
    <row r="924" spans="1:9">
      <c r="A924">
        <v>910</v>
      </c>
      <c r="B924" t="str">
        <f t="shared" si="28"/>
        <v>elaine m. johnson</v>
      </c>
      <c r="C924" t="s">
        <v>1821</v>
      </c>
      <c r="D924" t="s">
        <v>525</v>
      </c>
      <c r="E924" t="s">
        <v>189</v>
      </c>
      <c r="F924" t="s">
        <v>921</v>
      </c>
      <c r="G924" t="s">
        <v>1826</v>
      </c>
      <c r="H924" t="s">
        <v>10</v>
      </c>
      <c r="I924" t="str">
        <f t="shared" si="29"/>
        <v/>
      </c>
    </row>
    <row r="925" spans="1:9">
      <c r="A925">
        <v>911</v>
      </c>
      <c r="B925" t="str">
        <f t="shared" si="28"/>
        <v>dereil guy johnson</v>
      </c>
      <c r="C925" t="s">
        <v>1821</v>
      </c>
      <c r="D925" t="s">
        <v>1827</v>
      </c>
      <c r="E925" t="s">
        <v>142</v>
      </c>
      <c r="F925" t="s">
        <v>1964</v>
      </c>
      <c r="G925" t="s">
        <v>4</v>
      </c>
      <c r="H925" t="s">
        <v>4</v>
      </c>
      <c r="I925" t="str">
        <f t="shared" si="29"/>
        <v/>
      </c>
    </row>
    <row r="926" spans="1:9">
      <c r="A926">
        <v>912</v>
      </c>
      <c r="B926" t="str">
        <f t="shared" si="28"/>
        <v>barbara r johnson</v>
      </c>
      <c r="C926" t="s">
        <v>1821</v>
      </c>
      <c r="D926" t="s">
        <v>2</v>
      </c>
      <c r="E926" t="s">
        <v>53</v>
      </c>
      <c r="F926" t="s">
        <v>46</v>
      </c>
      <c r="G926" t="s">
        <v>4</v>
      </c>
      <c r="H926" t="s">
        <v>10</v>
      </c>
      <c r="I926" t="str">
        <f t="shared" si="29"/>
        <v/>
      </c>
    </row>
    <row r="927" spans="1:9">
      <c r="A927">
        <v>913</v>
      </c>
      <c r="B927" t="str">
        <f t="shared" si="28"/>
        <v>gerald clifford jessop</v>
      </c>
      <c r="C927" t="s">
        <v>1828</v>
      </c>
      <c r="D927" t="s">
        <v>703</v>
      </c>
      <c r="E927" t="s">
        <v>1626</v>
      </c>
      <c r="F927" t="s">
        <v>101</v>
      </c>
      <c r="G927" t="s">
        <v>102</v>
      </c>
      <c r="H927" t="s">
        <v>103</v>
      </c>
      <c r="I927" t="str">
        <f t="shared" si="29"/>
        <v/>
      </c>
    </row>
    <row r="928" spans="1:9">
      <c r="A928">
        <v>914</v>
      </c>
      <c r="B928" t="str">
        <f t="shared" si="28"/>
        <v>samantha phillips jessner</v>
      </c>
      <c r="C928" t="s">
        <v>1829</v>
      </c>
      <c r="D928" t="s">
        <v>1830</v>
      </c>
      <c r="E928" t="s">
        <v>1054</v>
      </c>
      <c r="F928" t="s">
        <v>4000</v>
      </c>
      <c r="G928" t="s">
        <v>4</v>
      </c>
      <c r="H928" t="s">
        <v>4</v>
      </c>
      <c r="I928" t="str">
        <f t="shared" si="29"/>
        <v/>
      </c>
    </row>
    <row r="929" spans="1:9">
      <c r="A929">
        <v>915</v>
      </c>
      <c r="B929" t="str">
        <f t="shared" si="28"/>
        <v>michael v. jesic</v>
      </c>
      <c r="C929" t="s">
        <v>1831</v>
      </c>
      <c r="D929" t="s">
        <v>219</v>
      </c>
      <c r="E929" t="s">
        <v>645</v>
      </c>
      <c r="F929" t="s">
        <v>25</v>
      </c>
      <c r="G929" t="s">
        <v>49</v>
      </c>
      <c r="H929" t="s">
        <v>36</v>
      </c>
      <c r="I929" t="str">
        <f t="shared" si="29"/>
        <v/>
      </c>
    </row>
    <row r="930" spans="1:9">
      <c r="A930">
        <v>916</v>
      </c>
      <c r="B930" t="str">
        <f t="shared" si="28"/>
        <v>lance priest jensen</v>
      </c>
      <c r="C930" t="s">
        <v>1832</v>
      </c>
      <c r="D930" t="s">
        <v>1833</v>
      </c>
      <c r="E930" t="s">
        <v>1834</v>
      </c>
      <c r="F930" t="s">
        <v>4036</v>
      </c>
      <c r="G930" t="s">
        <v>4</v>
      </c>
      <c r="H930" t="s">
        <v>4</v>
      </c>
      <c r="I930" t="str">
        <f t="shared" si="29"/>
        <v/>
      </c>
    </row>
    <row r="931" spans="1:9">
      <c r="A931">
        <v>917</v>
      </c>
      <c r="B931" t="str">
        <f t="shared" si="28"/>
        <v>martin joseph jenkins</v>
      </c>
      <c r="C931" t="s">
        <v>1835</v>
      </c>
      <c r="D931" t="s">
        <v>478</v>
      </c>
      <c r="E931" t="s">
        <v>80</v>
      </c>
      <c r="F931" t="s">
        <v>1836</v>
      </c>
      <c r="G931" t="s">
        <v>650</v>
      </c>
      <c r="H931" t="s">
        <v>1837</v>
      </c>
      <c r="I931" t="str">
        <f t="shared" si="29"/>
        <v/>
      </c>
    </row>
    <row r="932" spans="1:9">
      <c r="A932">
        <v>918</v>
      </c>
      <c r="B932" t="str">
        <f t="shared" si="28"/>
        <v>arthur  jean</v>
      </c>
      <c r="C932" t="s">
        <v>1131</v>
      </c>
      <c r="D932" t="s">
        <v>169</v>
      </c>
      <c r="E932" t="s">
        <v>4</v>
      </c>
      <c r="F932" t="s">
        <v>25</v>
      </c>
      <c r="G932" t="s">
        <v>4</v>
      </c>
      <c r="H932" t="s">
        <v>10</v>
      </c>
      <c r="I932" t="str">
        <f t="shared" si="29"/>
        <v/>
      </c>
    </row>
    <row r="933" spans="1:9">
      <c r="A933">
        <v>919</v>
      </c>
      <c r="B933" t="str">
        <f t="shared" si="28"/>
        <v>morris d. jacobson</v>
      </c>
      <c r="C933" t="s">
        <v>1838</v>
      </c>
      <c r="D933" t="s">
        <v>847</v>
      </c>
      <c r="E933" t="s">
        <v>186</v>
      </c>
      <c r="F933" t="s">
        <v>32</v>
      </c>
      <c r="G933" t="s">
        <v>9</v>
      </c>
      <c r="H933" t="s">
        <v>10</v>
      </c>
      <c r="I933" t="str">
        <f t="shared" si="29"/>
        <v/>
      </c>
    </row>
    <row r="934" spans="1:9">
      <c r="A934">
        <v>920</v>
      </c>
      <c r="B934" t="str">
        <f t="shared" si="28"/>
        <v>jack mark jacobson</v>
      </c>
      <c r="C934" t="s">
        <v>1838</v>
      </c>
      <c r="D934" t="s">
        <v>1839</v>
      </c>
      <c r="E934" t="s">
        <v>45</v>
      </c>
      <c r="F934" t="s">
        <v>29</v>
      </c>
      <c r="G934" t="s">
        <v>1840</v>
      </c>
      <c r="H934" t="s">
        <v>36</v>
      </c>
      <c r="I934" t="str">
        <f t="shared" si="29"/>
        <v/>
      </c>
    </row>
    <row r="935" spans="1:9">
      <c r="A935">
        <v>921</v>
      </c>
      <c r="B935" t="str">
        <f t="shared" si="28"/>
        <v>nan cohan jacobs</v>
      </c>
      <c r="C935" t="s">
        <v>1841</v>
      </c>
      <c r="D935" t="s">
        <v>1842</v>
      </c>
      <c r="E935" t="s">
        <v>1843</v>
      </c>
      <c r="F935" t="s">
        <v>4103</v>
      </c>
      <c r="G935" t="s">
        <v>4</v>
      </c>
      <c r="H935" t="s">
        <v>4</v>
      </c>
      <c r="I935" t="str">
        <f t="shared" si="29"/>
        <v/>
      </c>
    </row>
    <row r="936" spans="1:9">
      <c r="A936">
        <v>922</v>
      </c>
      <c r="B936" t="str">
        <f t="shared" si="28"/>
        <v>teri leatrice jackson</v>
      </c>
      <c r="C936" t="s">
        <v>1844</v>
      </c>
      <c r="D936" t="s">
        <v>1845</v>
      </c>
      <c r="E936" t="s">
        <v>1846</v>
      </c>
      <c r="F936" t="s">
        <v>1333</v>
      </c>
      <c r="G936" t="s">
        <v>1847</v>
      </c>
      <c r="H936" t="s">
        <v>36</v>
      </c>
      <c r="I936" t="str">
        <f t="shared" si="29"/>
        <v/>
      </c>
    </row>
    <row r="937" spans="1:9">
      <c r="A937">
        <v>923</v>
      </c>
      <c r="B937" t="str">
        <f t="shared" si="28"/>
        <v>jacqueline c. jackson</v>
      </c>
      <c r="C937" t="s">
        <v>1844</v>
      </c>
      <c r="D937" t="s">
        <v>551</v>
      </c>
      <c r="E937" t="s">
        <v>332</v>
      </c>
      <c r="F937" t="s">
        <v>921</v>
      </c>
      <c r="G937" t="s">
        <v>4</v>
      </c>
      <c r="H937" t="s">
        <v>10</v>
      </c>
      <c r="I937" t="str">
        <f t="shared" si="29"/>
        <v/>
      </c>
    </row>
    <row r="938" spans="1:9">
      <c r="A938">
        <v>924</v>
      </c>
      <c r="B938" t="str">
        <f t="shared" si="28"/>
        <v>frank y jackson</v>
      </c>
      <c r="C938" t="s">
        <v>1844</v>
      </c>
      <c r="D938" t="s">
        <v>605</v>
      </c>
      <c r="E938" t="s">
        <v>1848</v>
      </c>
      <c r="F938" t="s">
        <v>19</v>
      </c>
      <c r="G938" t="s">
        <v>20</v>
      </c>
      <c r="H938" t="s">
        <v>21</v>
      </c>
      <c r="I938" t="str">
        <f t="shared" si="29"/>
        <v/>
      </c>
    </row>
    <row r="939" spans="1:9">
      <c r="A939">
        <v>925</v>
      </c>
      <c r="B939" t="str">
        <f t="shared" si="28"/>
        <v>james fisher iwasko</v>
      </c>
      <c r="C939" t="s">
        <v>1849</v>
      </c>
      <c r="D939" t="s">
        <v>90</v>
      </c>
      <c r="E939" t="s">
        <v>1850</v>
      </c>
      <c r="F939" t="s">
        <v>548</v>
      </c>
      <c r="G939" t="s">
        <v>1851</v>
      </c>
      <c r="H939" t="s">
        <v>10</v>
      </c>
      <c r="I939" t="str">
        <f t="shared" si="29"/>
        <v/>
      </c>
    </row>
    <row r="940" spans="1:9">
      <c r="A940">
        <v>926</v>
      </c>
      <c r="B940" t="str">
        <f t="shared" si="28"/>
        <v>roger tetsuo lto</v>
      </c>
      <c r="C940" t="s">
        <v>1852</v>
      </c>
      <c r="D940" t="s">
        <v>853</v>
      </c>
      <c r="E940" t="s">
        <v>1853</v>
      </c>
      <c r="F940" t="s">
        <v>25</v>
      </c>
      <c r="G940" t="s">
        <v>1854</v>
      </c>
      <c r="H940" t="s">
        <v>10</v>
      </c>
      <c r="I940" t="str">
        <f t="shared" si="29"/>
        <v/>
      </c>
    </row>
    <row r="941" spans="1:9">
      <c r="A941">
        <v>927</v>
      </c>
      <c r="B941" t="str">
        <f t="shared" si="28"/>
        <v xml:space="preserve">  ito lance a.</v>
      </c>
      <c r="C941" t="s">
        <v>1855</v>
      </c>
      <c r="D941" t="s">
        <v>4</v>
      </c>
      <c r="E941" t="s">
        <v>4</v>
      </c>
      <c r="F941" t="s">
        <v>32</v>
      </c>
      <c r="G941" t="s">
        <v>1856</v>
      </c>
      <c r="H941" t="s">
        <v>1857</v>
      </c>
      <c r="I941" t="str">
        <f t="shared" si="29"/>
        <v/>
      </c>
    </row>
    <row r="942" spans="1:9">
      <c r="A942">
        <v>928</v>
      </c>
      <c r="B942" t="str">
        <f t="shared" si="28"/>
        <v>valli katrina israels</v>
      </c>
      <c r="C942" t="s">
        <v>1858</v>
      </c>
      <c r="D942" t="s">
        <v>1859</v>
      </c>
      <c r="E942" t="s">
        <v>205</v>
      </c>
      <c r="F942" t="s">
        <v>492</v>
      </c>
      <c r="G942" t="s">
        <v>667</v>
      </c>
      <c r="H942" t="s">
        <v>10</v>
      </c>
      <c r="I942" t="str">
        <f t="shared" si="29"/>
        <v/>
      </c>
    </row>
    <row r="943" spans="1:9">
      <c r="A943">
        <v>929</v>
      </c>
      <c r="B943" t="str">
        <f t="shared" si="28"/>
        <v>carol  isackson</v>
      </c>
      <c r="C943" t="s">
        <v>1860</v>
      </c>
      <c r="D943" t="s">
        <v>68</v>
      </c>
      <c r="E943" t="s">
        <v>4</v>
      </c>
      <c r="F943" t="s">
        <v>101</v>
      </c>
      <c r="G943" t="s">
        <v>4</v>
      </c>
      <c r="H943" t="s">
        <v>224</v>
      </c>
      <c r="I943" t="str">
        <f t="shared" si="29"/>
        <v/>
      </c>
    </row>
    <row r="944" spans="1:9">
      <c r="A944">
        <v>930</v>
      </c>
      <c r="B944" t="str">
        <f t="shared" si="28"/>
        <v>joan kathleen irion</v>
      </c>
      <c r="C944" t="s">
        <v>1861</v>
      </c>
      <c r="D944" t="s">
        <v>242</v>
      </c>
      <c r="E944" t="s">
        <v>188</v>
      </c>
      <c r="F944" t="s">
        <v>1862</v>
      </c>
      <c r="G944" t="s">
        <v>1863</v>
      </c>
      <c r="H944" t="s">
        <v>212</v>
      </c>
      <c r="I944" t="str">
        <f t="shared" si="29"/>
        <v/>
      </c>
    </row>
    <row r="945" spans="1:9">
      <c r="A945">
        <v>931</v>
      </c>
      <c r="B945" t="str">
        <f t="shared" si="28"/>
        <v>tamila e ipema</v>
      </c>
      <c r="C945" t="s">
        <v>1864</v>
      </c>
      <c r="D945" t="s">
        <v>1865</v>
      </c>
      <c r="E945" t="s">
        <v>134</v>
      </c>
      <c r="F945" t="s">
        <v>101</v>
      </c>
      <c r="G945" t="s">
        <v>102</v>
      </c>
      <c r="H945" t="s">
        <v>103</v>
      </c>
      <c r="I945" t="str">
        <f t="shared" si="29"/>
        <v/>
      </c>
    </row>
    <row r="946" spans="1:9">
      <c r="A946">
        <v>932</v>
      </c>
      <c r="B946" t="str">
        <f t="shared" si="28"/>
        <v>john h. ing</v>
      </c>
      <c r="C946" t="s">
        <v>1866</v>
      </c>
      <c r="D946" t="s">
        <v>7</v>
      </c>
      <c r="E946" t="s">
        <v>957</v>
      </c>
      <c r="F946" t="s">
        <v>25</v>
      </c>
      <c r="G946" t="s">
        <v>802</v>
      </c>
      <c r="H946" t="s">
        <v>10</v>
      </c>
      <c r="I946" t="str">
        <f t="shared" si="29"/>
        <v/>
      </c>
    </row>
    <row r="947" spans="1:9">
      <c r="A947">
        <v>933</v>
      </c>
      <c r="B947" t="str">
        <f t="shared" si="28"/>
        <v>raymond john ikola</v>
      </c>
      <c r="C947" t="s">
        <v>1867</v>
      </c>
      <c r="D947" t="s">
        <v>496</v>
      </c>
      <c r="E947" t="s">
        <v>7</v>
      </c>
      <c r="F947" t="s">
        <v>19</v>
      </c>
      <c r="G947" t="s">
        <v>1868</v>
      </c>
      <c r="H947" t="s">
        <v>212</v>
      </c>
      <c r="I947" t="str">
        <f t="shared" si="29"/>
        <v/>
      </c>
    </row>
    <row r="948" spans="1:9">
      <c r="A948">
        <v>934</v>
      </c>
      <c r="B948" t="str">
        <f t="shared" si="28"/>
        <v>dale l. ikeda</v>
      </c>
      <c r="C948" t="s">
        <v>1869</v>
      </c>
      <c r="D948" t="s">
        <v>215</v>
      </c>
      <c r="E948" t="s">
        <v>257</v>
      </c>
      <c r="F948" t="s">
        <v>1061</v>
      </c>
      <c r="G948" t="s">
        <v>4</v>
      </c>
      <c r="H948" t="s">
        <v>36</v>
      </c>
      <c r="I948" t="str">
        <f t="shared" si="29"/>
        <v/>
      </c>
    </row>
    <row r="949" spans="1:9">
      <c r="A949">
        <v>935</v>
      </c>
      <c r="B949" t="str">
        <f t="shared" si="28"/>
        <v>efren nasol iglesia</v>
      </c>
      <c r="C949" t="s">
        <v>1870</v>
      </c>
      <c r="D949" t="s">
        <v>1871</v>
      </c>
      <c r="E949" t="s">
        <v>1872</v>
      </c>
      <c r="F949" t="s">
        <v>146</v>
      </c>
      <c r="G949" t="s">
        <v>1873</v>
      </c>
      <c r="H949" t="s">
        <v>36</v>
      </c>
      <c r="I949" t="str">
        <f t="shared" si="29"/>
        <v/>
      </c>
    </row>
    <row r="950" spans="1:9">
      <c r="A950">
        <v>936</v>
      </c>
      <c r="B950" t="str">
        <f t="shared" si="28"/>
        <v>garry t. (only initial) ichikawa</v>
      </c>
      <c r="C950" t="s">
        <v>1874</v>
      </c>
      <c r="D950" t="s">
        <v>1875</v>
      </c>
      <c r="E950" t="s">
        <v>1876</v>
      </c>
      <c r="F950" t="s">
        <v>32</v>
      </c>
      <c r="G950" t="s">
        <v>4</v>
      </c>
      <c r="H950" t="s">
        <v>10</v>
      </c>
      <c r="I950" t="str">
        <f t="shared" si="29"/>
        <v/>
      </c>
    </row>
    <row r="951" spans="1:9">
      <c r="A951">
        <v>937</v>
      </c>
      <c r="B951" t="str">
        <f t="shared" si="28"/>
        <v>allan d. hymer</v>
      </c>
      <c r="C951" t="s">
        <v>1877</v>
      </c>
      <c r="D951" t="s">
        <v>1013</v>
      </c>
      <c r="E951" t="s">
        <v>186</v>
      </c>
      <c r="F951" t="s">
        <v>4104</v>
      </c>
      <c r="G951" t="s">
        <v>4</v>
      </c>
      <c r="H951" t="s">
        <v>4</v>
      </c>
      <c r="I951" t="str">
        <f t="shared" si="29"/>
        <v/>
      </c>
    </row>
    <row r="952" spans="1:9">
      <c r="A952">
        <v>938</v>
      </c>
      <c r="B952" t="str">
        <f t="shared" si="28"/>
        <v>cara d hutson</v>
      </c>
      <c r="C952" t="s">
        <v>1878</v>
      </c>
      <c r="D952" t="s">
        <v>1879</v>
      </c>
      <c r="E952" t="s">
        <v>570</v>
      </c>
      <c r="F952" t="s">
        <v>32</v>
      </c>
      <c r="G952" t="s">
        <v>337</v>
      </c>
      <c r="H952" t="s">
        <v>36</v>
      </c>
      <c r="I952" t="str">
        <f t="shared" si="29"/>
        <v/>
      </c>
    </row>
    <row r="953" spans="1:9">
      <c r="A953">
        <v>939</v>
      </c>
      <c r="B953" t="str">
        <f t="shared" si="28"/>
        <v>lon f hurwitz</v>
      </c>
      <c r="C953" t="s">
        <v>1880</v>
      </c>
      <c r="D953" t="s">
        <v>1881</v>
      </c>
      <c r="E953" t="s">
        <v>288</v>
      </c>
      <c r="F953" t="s">
        <v>890</v>
      </c>
      <c r="G953" t="s">
        <v>4</v>
      </c>
      <c r="H953" t="s">
        <v>10</v>
      </c>
      <c r="I953" t="str">
        <f t="shared" si="29"/>
        <v/>
      </c>
    </row>
    <row r="954" spans="1:9">
      <c r="A954">
        <v>940</v>
      </c>
      <c r="B954" t="str">
        <f t="shared" si="28"/>
        <v>linda davidson hurst</v>
      </c>
      <c r="C954" t="s">
        <v>1882</v>
      </c>
      <c r="D954" t="s">
        <v>989</v>
      </c>
      <c r="E954" t="s">
        <v>1883</v>
      </c>
      <c r="F954" t="s">
        <v>4105</v>
      </c>
      <c r="G954" t="s">
        <v>4</v>
      </c>
      <c r="H954" t="s">
        <v>4</v>
      </c>
      <c r="I954" t="str">
        <f t="shared" si="29"/>
        <v/>
      </c>
    </row>
    <row r="955" spans="1:9">
      <c r="A955">
        <v>941</v>
      </c>
      <c r="B955" t="str">
        <f t="shared" si="28"/>
        <v>joseph robert hurley</v>
      </c>
      <c r="C955" t="s">
        <v>1884</v>
      </c>
      <c r="D955" t="s">
        <v>80</v>
      </c>
      <c r="E955" t="s">
        <v>72</v>
      </c>
      <c r="F955" t="s">
        <v>387</v>
      </c>
      <c r="G955" t="s">
        <v>1885</v>
      </c>
      <c r="H955" t="s">
        <v>4</v>
      </c>
      <c r="I955" t="str">
        <f t="shared" si="29"/>
        <v/>
      </c>
    </row>
    <row r="956" spans="1:9">
      <c r="A956">
        <v>942</v>
      </c>
      <c r="B956" t="str">
        <f t="shared" si="28"/>
        <v>eleanor j hunter</v>
      </c>
      <c r="C956" t="s">
        <v>1886</v>
      </c>
      <c r="D956" t="s">
        <v>997</v>
      </c>
      <c r="E956" t="s">
        <v>1296</v>
      </c>
      <c r="F956" t="s">
        <v>2204</v>
      </c>
      <c r="G956" t="s">
        <v>4</v>
      </c>
      <c r="H956" t="s">
        <v>4</v>
      </c>
      <c r="I956" t="str">
        <f t="shared" si="29"/>
        <v/>
      </c>
    </row>
    <row r="957" spans="1:9">
      <c r="A957">
        <v>943</v>
      </c>
      <c r="B957" t="str">
        <f t="shared" si="28"/>
        <v>david e. hunter</v>
      </c>
      <c r="C957" t="s">
        <v>1886</v>
      </c>
      <c r="D957" t="s">
        <v>28</v>
      </c>
      <c r="E957" t="s">
        <v>127</v>
      </c>
      <c r="F957" t="s">
        <v>49</v>
      </c>
      <c r="G957" t="s">
        <v>176</v>
      </c>
      <c r="H957" t="s">
        <v>10</v>
      </c>
      <c r="I957" t="str">
        <f t="shared" si="29"/>
        <v/>
      </c>
    </row>
    <row r="958" spans="1:9">
      <c r="A958">
        <v>944</v>
      </c>
      <c r="B958" t="str">
        <f t="shared" si="28"/>
        <v>w  hunt desek</v>
      </c>
      <c r="C958" t="s">
        <v>1887</v>
      </c>
      <c r="D958" t="s">
        <v>583</v>
      </c>
      <c r="E958" t="s">
        <v>4</v>
      </c>
      <c r="F958" t="s">
        <v>1964</v>
      </c>
      <c r="G958" t="s">
        <v>559</v>
      </c>
      <c r="H958" t="s">
        <v>4</v>
      </c>
      <c r="I958" t="str">
        <f t="shared" si="29"/>
        <v/>
      </c>
    </row>
    <row r="959" spans="1:9">
      <c r="A959">
        <v>945</v>
      </c>
      <c r="B959" t="str">
        <f t="shared" si="28"/>
        <v>elizabeth  humphreys</v>
      </c>
      <c r="C959" t="s">
        <v>1888</v>
      </c>
      <c r="D959" t="s">
        <v>191</v>
      </c>
      <c r="E959" t="s">
        <v>4</v>
      </c>
      <c r="F959" t="s">
        <v>32</v>
      </c>
      <c r="G959" t="s">
        <v>292</v>
      </c>
      <c r="H959" t="s">
        <v>103</v>
      </c>
      <c r="I959" t="str">
        <f t="shared" si="29"/>
        <v/>
      </c>
    </row>
    <row r="960" spans="1:9">
      <c r="A960">
        <v>946</v>
      </c>
      <c r="B960" t="str">
        <f t="shared" si="28"/>
        <v>colette marie humphrey</v>
      </c>
      <c r="C960" t="s">
        <v>1889</v>
      </c>
      <c r="D960" t="s">
        <v>1890</v>
      </c>
      <c r="E960" t="s">
        <v>43</v>
      </c>
      <c r="F960" t="s">
        <v>32</v>
      </c>
      <c r="G960" t="s">
        <v>95</v>
      </c>
      <c r="H960" t="s">
        <v>10</v>
      </c>
      <c r="I960" t="str">
        <f t="shared" si="29"/>
        <v/>
      </c>
    </row>
    <row r="961" spans="1:9">
      <c r="A961">
        <v>947</v>
      </c>
      <c r="B961" t="str">
        <f t="shared" si="28"/>
        <v>harry edmond hull jr.</v>
      </c>
      <c r="C961" t="s">
        <v>1891</v>
      </c>
      <c r="D961" t="s">
        <v>1024</v>
      </c>
      <c r="E961" t="s">
        <v>1892</v>
      </c>
      <c r="F961" t="s">
        <v>19</v>
      </c>
      <c r="G961" t="s">
        <v>1209</v>
      </c>
      <c r="H961" t="s">
        <v>212</v>
      </c>
      <c r="I961" t="str">
        <f t="shared" si="29"/>
        <v/>
      </c>
    </row>
    <row r="962" spans="1:9">
      <c r="A962">
        <v>948</v>
      </c>
      <c r="B962" t="str">
        <f t="shared" si="28"/>
        <v>susan d. huguenor</v>
      </c>
      <c r="C962" t="s">
        <v>1893</v>
      </c>
      <c r="D962" t="s">
        <v>676</v>
      </c>
      <c r="E962" t="s">
        <v>186</v>
      </c>
      <c r="F962" t="s">
        <v>101</v>
      </c>
      <c r="G962" t="s">
        <v>102</v>
      </c>
      <c r="H962" t="s">
        <v>103</v>
      </c>
      <c r="I962" t="str">
        <f t="shared" si="29"/>
        <v/>
      </c>
    </row>
    <row r="963" spans="1:9">
      <c r="A963">
        <v>949</v>
      </c>
      <c r="B963" t="str">
        <f t="shared" ref="B963:B1026" si="30">TRIM($D963) &amp; " " &amp; TRIM($E963) &amp; " " &amp; TRIM($C963)</f>
        <v>richard dennis huffman</v>
      </c>
      <c r="C963" t="s">
        <v>1894</v>
      </c>
      <c r="D963" t="s">
        <v>173</v>
      </c>
      <c r="E963" t="s">
        <v>1065</v>
      </c>
      <c r="F963" t="s">
        <v>19</v>
      </c>
      <c r="G963" t="s">
        <v>1895</v>
      </c>
      <c r="H963" t="s">
        <v>212</v>
      </c>
      <c r="I963" t="str">
        <f t="shared" ref="I963:I1026" si="31">IF(NOT(ISERROR(FIND("judge",F963))),"judge","")</f>
        <v/>
      </c>
    </row>
    <row r="964" spans="1:9">
      <c r="A964">
        <v>950</v>
      </c>
      <c r="B964" t="str">
        <f t="shared" si="30"/>
        <v>joseph h. huber</v>
      </c>
      <c r="C964" t="s">
        <v>1896</v>
      </c>
      <c r="D964" t="s">
        <v>80</v>
      </c>
      <c r="E964" t="s">
        <v>957</v>
      </c>
      <c r="F964" t="s">
        <v>106</v>
      </c>
      <c r="G964" t="s">
        <v>1897</v>
      </c>
      <c r="H964" t="s">
        <v>4</v>
      </c>
      <c r="I964" t="str">
        <f t="shared" si="31"/>
        <v/>
      </c>
    </row>
    <row r="965" spans="1:9">
      <c r="A965">
        <v>951</v>
      </c>
      <c r="B965" t="str">
        <f t="shared" si="30"/>
        <v>kim  hubbard</v>
      </c>
      <c r="C965" t="s">
        <v>1898</v>
      </c>
      <c r="D965" t="s">
        <v>1736</v>
      </c>
      <c r="E965" t="s">
        <v>4</v>
      </c>
      <c r="F965" t="s">
        <v>4106</v>
      </c>
      <c r="G965" t="s">
        <v>4</v>
      </c>
      <c r="H965" t="s">
        <v>4</v>
      </c>
      <c r="I965" t="str">
        <f t="shared" si="31"/>
        <v/>
      </c>
    </row>
    <row r="966" spans="1:9">
      <c r="A966">
        <v>952</v>
      </c>
      <c r="B966" t="str">
        <f t="shared" si="30"/>
        <v>seth russell hoytjr.</v>
      </c>
      <c r="C966" t="s">
        <v>1899</v>
      </c>
      <c r="D966" t="s">
        <v>1900</v>
      </c>
      <c r="E966" t="s">
        <v>721</v>
      </c>
      <c r="F966" t="s">
        <v>32</v>
      </c>
      <c r="G966" t="s">
        <v>292</v>
      </c>
      <c r="H966" t="s">
        <v>36</v>
      </c>
      <c r="I966" t="str">
        <f t="shared" si="31"/>
        <v/>
      </c>
    </row>
    <row r="967" spans="1:9">
      <c r="A967">
        <v>953</v>
      </c>
      <c r="B967" t="str">
        <f t="shared" si="30"/>
        <v>john  howell steven</v>
      </c>
      <c r="C967" t="s">
        <v>1901</v>
      </c>
      <c r="D967" t="s">
        <v>7</v>
      </c>
      <c r="E967" t="s">
        <v>4</v>
      </c>
      <c r="F967" t="s">
        <v>32</v>
      </c>
      <c r="G967" t="s">
        <v>1902</v>
      </c>
      <c r="H967" t="s">
        <v>10</v>
      </c>
      <c r="I967" t="str">
        <f t="shared" si="31"/>
        <v/>
      </c>
    </row>
    <row r="968" spans="1:9">
      <c r="A968">
        <v>954</v>
      </c>
      <c r="B968" t="str">
        <f t="shared" si="30"/>
        <v>theodore r howard</v>
      </c>
      <c r="C968" t="s">
        <v>506</v>
      </c>
      <c r="D968" t="s">
        <v>34</v>
      </c>
      <c r="E968" t="s">
        <v>53</v>
      </c>
      <c r="F968" t="s">
        <v>1964</v>
      </c>
      <c r="G968" t="s">
        <v>725</v>
      </c>
      <c r="H968" t="s">
        <v>4</v>
      </c>
      <c r="I968" t="str">
        <f t="shared" si="31"/>
        <v/>
      </c>
    </row>
    <row r="969" spans="1:9">
      <c r="A969">
        <v>955</v>
      </c>
      <c r="B969" t="str">
        <f t="shared" si="30"/>
        <v>mary e.thornton house</v>
      </c>
      <c r="C969" t="s">
        <v>1903</v>
      </c>
      <c r="D969" t="s">
        <v>126</v>
      </c>
      <c r="E969" t="s">
        <v>1904</v>
      </c>
      <c r="F969" t="s">
        <v>4107</v>
      </c>
      <c r="G969" t="s">
        <v>4</v>
      </c>
      <c r="H969" t="s">
        <v>4</v>
      </c>
      <c r="I969" t="str">
        <f t="shared" si="31"/>
        <v/>
      </c>
    </row>
    <row r="970" spans="1:9">
      <c r="A970">
        <v>956</v>
      </c>
      <c r="B970" t="str">
        <f t="shared" si="30"/>
        <v>james justin hosking</v>
      </c>
      <c r="C970" t="s">
        <v>1905</v>
      </c>
      <c r="D970" t="s">
        <v>90</v>
      </c>
      <c r="E970" t="s">
        <v>1906</v>
      </c>
      <c r="F970" t="s">
        <v>74</v>
      </c>
      <c r="G970" t="s">
        <v>1907</v>
      </c>
      <c r="H970" t="s">
        <v>10</v>
      </c>
      <c r="I970" t="str">
        <f t="shared" si="31"/>
        <v/>
      </c>
    </row>
    <row r="971" spans="1:9">
      <c r="A971">
        <v>957</v>
      </c>
      <c r="B971" t="str">
        <f t="shared" si="30"/>
        <v>jeffrey w. horner</v>
      </c>
      <c r="C971" t="s">
        <v>1908</v>
      </c>
      <c r="D971" t="s">
        <v>446</v>
      </c>
      <c r="E971" t="s">
        <v>65</v>
      </c>
      <c r="F971" t="s">
        <v>1909</v>
      </c>
      <c r="G971" t="s">
        <v>4</v>
      </c>
      <c r="H971" t="s">
        <v>10</v>
      </c>
      <c r="I971" t="str">
        <f t="shared" si="31"/>
        <v/>
      </c>
    </row>
    <row r="972" spans="1:9">
      <c r="A972">
        <v>958</v>
      </c>
      <c r="B972" t="str">
        <f t="shared" si="30"/>
        <v>frederick paul horn</v>
      </c>
      <c r="C972" t="s">
        <v>1910</v>
      </c>
      <c r="D972" t="s">
        <v>254</v>
      </c>
      <c r="E972" t="s">
        <v>280</v>
      </c>
      <c r="F972" t="s">
        <v>49</v>
      </c>
      <c r="G972" t="s">
        <v>725</v>
      </c>
      <c r="H972" t="s">
        <v>10</v>
      </c>
      <c r="I972" t="str">
        <f t="shared" si="31"/>
        <v/>
      </c>
    </row>
    <row r="973" spans="1:9">
      <c r="A973">
        <v>959</v>
      </c>
      <c r="B973" t="str">
        <f t="shared" si="30"/>
        <v>h. chester horn</v>
      </c>
      <c r="C973" t="s">
        <v>1910</v>
      </c>
      <c r="D973" t="s">
        <v>957</v>
      </c>
      <c r="E973" t="s">
        <v>1911</v>
      </c>
      <c r="F973" t="s">
        <v>25</v>
      </c>
      <c r="G973" t="s">
        <v>4</v>
      </c>
      <c r="H973" t="s">
        <v>10</v>
      </c>
      <c r="I973" t="str">
        <f t="shared" si="31"/>
        <v/>
      </c>
    </row>
    <row r="974" spans="1:9">
      <c r="A974">
        <v>960</v>
      </c>
      <c r="B974" t="str">
        <f t="shared" si="30"/>
        <v>james edwand horan</v>
      </c>
      <c r="C974" t="s">
        <v>1912</v>
      </c>
      <c r="D974" t="s">
        <v>90</v>
      </c>
      <c r="E974" t="s">
        <v>1913</v>
      </c>
      <c r="F974" t="s">
        <v>1914</v>
      </c>
      <c r="G974" t="s">
        <v>4</v>
      </c>
      <c r="H974" t="s">
        <v>4</v>
      </c>
      <c r="I974" t="str">
        <f t="shared" si="31"/>
        <v/>
      </c>
    </row>
    <row r="975" spans="1:9">
      <c r="A975">
        <v>961</v>
      </c>
      <c r="B975" t="str">
        <f t="shared" si="30"/>
        <v>harold wayne hopp</v>
      </c>
      <c r="C975" t="s">
        <v>1915</v>
      </c>
      <c r="D975" t="s">
        <v>139</v>
      </c>
      <c r="E975" t="s">
        <v>758</v>
      </c>
      <c r="F975" t="s">
        <v>835</v>
      </c>
      <c r="G975" t="s">
        <v>4</v>
      </c>
      <c r="H975" t="s">
        <v>10</v>
      </c>
      <c r="I975" t="str">
        <f t="shared" si="31"/>
        <v/>
      </c>
    </row>
    <row r="976" spans="1:9">
      <c r="A976">
        <v>962</v>
      </c>
      <c r="B976" t="str">
        <f t="shared" si="30"/>
        <v>mark  hood</v>
      </c>
      <c r="C976" t="s">
        <v>1916</v>
      </c>
      <c r="D976" t="s">
        <v>45</v>
      </c>
      <c r="E976" t="s">
        <v>4</v>
      </c>
      <c r="F976" t="s">
        <v>146</v>
      </c>
      <c r="G976" t="s">
        <v>4</v>
      </c>
      <c r="H976" t="s">
        <v>1280</v>
      </c>
      <c r="I976" t="str">
        <f t="shared" si="31"/>
        <v/>
      </c>
    </row>
    <row r="977" spans="1:9">
      <c r="A977">
        <v>963</v>
      </c>
      <c r="B977" t="str">
        <f t="shared" si="30"/>
        <v>alan b honeycutt</v>
      </c>
      <c r="C977" t="s">
        <v>1917</v>
      </c>
      <c r="D977" t="s">
        <v>48</v>
      </c>
      <c r="E977" t="s">
        <v>358</v>
      </c>
      <c r="F977" t="s">
        <v>25</v>
      </c>
      <c r="G977" t="s">
        <v>4</v>
      </c>
      <c r="H977" t="s">
        <v>10</v>
      </c>
      <c r="I977" t="str">
        <f t="shared" si="31"/>
        <v/>
      </c>
    </row>
    <row r="978" spans="1:9">
      <c r="A978">
        <v>964</v>
      </c>
      <c r="B978" t="str">
        <f t="shared" si="30"/>
        <v>russell lee hom</v>
      </c>
      <c r="C978" t="s">
        <v>1918</v>
      </c>
      <c r="D978" t="s">
        <v>721</v>
      </c>
      <c r="E978" t="s">
        <v>113</v>
      </c>
      <c r="F978" t="s">
        <v>32</v>
      </c>
      <c r="G978" t="s">
        <v>132</v>
      </c>
      <c r="H978" t="s">
        <v>103</v>
      </c>
      <c r="I978" t="str">
        <f t="shared" si="31"/>
        <v/>
      </c>
    </row>
    <row r="979" spans="1:9">
      <c r="A979">
        <v>965</v>
      </c>
      <c r="B979" t="str">
        <f t="shared" si="30"/>
        <v>rose  hom</v>
      </c>
      <c r="C979" t="s">
        <v>1918</v>
      </c>
      <c r="D979" t="s">
        <v>863</v>
      </c>
      <c r="E979" t="s">
        <v>4</v>
      </c>
      <c r="F979" t="s">
        <v>25</v>
      </c>
      <c r="G979" t="s">
        <v>4</v>
      </c>
      <c r="H979" t="s">
        <v>10</v>
      </c>
      <c r="I979" t="str">
        <f t="shared" si="31"/>
        <v/>
      </c>
    </row>
    <row r="980" spans="1:9">
      <c r="A980">
        <v>966</v>
      </c>
      <c r="B980" t="str">
        <f t="shared" si="30"/>
        <v>carter p holly</v>
      </c>
      <c r="C980" t="s">
        <v>1759</v>
      </c>
      <c r="D980" t="s">
        <v>2628</v>
      </c>
      <c r="E980" t="s">
        <v>252</v>
      </c>
      <c r="F980" t="s">
        <v>32</v>
      </c>
      <c r="G980" t="s">
        <v>292</v>
      </c>
      <c r="H980" t="s">
        <v>103</v>
      </c>
      <c r="I980" t="str">
        <f t="shared" si="31"/>
        <v/>
      </c>
    </row>
    <row r="981" spans="1:9">
      <c r="A981">
        <v>967</v>
      </c>
      <c r="B981" t="str">
        <f t="shared" si="30"/>
        <v>james  hollman</v>
      </c>
      <c r="C981" t="s">
        <v>1919</v>
      </c>
      <c r="D981" t="s">
        <v>90</v>
      </c>
      <c r="E981" t="s">
        <v>4</v>
      </c>
      <c r="F981" t="s">
        <v>4108</v>
      </c>
      <c r="G981" t="s">
        <v>4</v>
      </c>
      <c r="H981" t="s">
        <v>4</v>
      </c>
      <c r="I981" t="str">
        <f t="shared" si="31"/>
        <v/>
      </c>
    </row>
    <row r="982" spans="1:9">
      <c r="A982">
        <v>968</v>
      </c>
      <c r="B982" t="str">
        <f t="shared" si="30"/>
        <v>thomas e. hollenhorst</v>
      </c>
      <c r="C982" t="s">
        <v>1920</v>
      </c>
      <c r="D982" t="s">
        <v>27</v>
      </c>
      <c r="E982" t="s">
        <v>127</v>
      </c>
      <c r="F982" t="s">
        <v>19</v>
      </c>
      <c r="G982" t="s">
        <v>985</v>
      </c>
      <c r="H982" t="s">
        <v>212</v>
      </c>
      <c r="I982" t="str">
        <f t="shared" si="31"/>
        <v/>
      </c>
    </row>
    <row r="983" spans="1:9">
      <c r="A983">
        <v>969</v>
      </c>
      <c r="B983" t="str">
        <f t="shared" si="30"/>
        <v>lesley daniel holland</v>
      </c>
      <c r="C983" t="s">
        <v>1921</v>
      </c>
      <c r="D983" t="s">
        <v>1922</v>
      </c>
      <c r="E983" t="s">
        <v>23</v>
      </c>
      <c r="F983" t="s">
        <v>32</v>
      </c>
      <c r="G983" t="s">
        <v>292</v>
      </c>
      <c r="H983" t="s">
        <v>10</v>
      </c>
      <c r="I983" t="str">
        <f t="shared" si="31"/>
        <v/>
      </c>
    </row>
    <row r="984" spans="1:9">
      <c r="A984">
        <v>970</v>
      </c>
      <c r="B984" t="str">
        <f t="shared" si="30"/>
        <v>amy d hogue</v>
      </c>
      <c r="C984" t="s">
        <v>1923</v>
      </c>
      <c r="D984" t="s">
        <v>1087</v>
      </c>
      <c r="E984" t="s">
        <v>570</v>
      </c>
      <c r="F984" t="s">
        <v>25</v>
      </c>
      <c r="G984">
        <v>34</v>
      </c>
      <c r="H984" t="s">
        <v>10</v>
      </c>
      <c r="I984" t="str">
        <f t="shared" si="31"/>
        <v/>
      </c>
    </row>
    <row r="985" spans="1:9">
      <c r="A985">
        <v>971</v>
      </c>
      <c r="B985" t="str">
        <f t="shared" si="30"/>
        <v>brian matthew hoffstadt</v>
      </c>
      <c r="C985" t="s">
        <v>1924</v>
      </c>
      <c r="D985" t="s">
        <v>57</v>
      </c>
      <c r="E985" t="s">
        <v>974</v>
      </c>
      <c r="F985" t="s">
        <v>1749</v>
      </c>
      <c r="G985" t="s">
        <v>4</v>
      </c>
      <c r="H985" t="s">
        <v>4</v>
      </c>
      <c r="I985" t="str">
        <f t="shared" si="31"/>
        <v/>
      </c>
    </row>
    <row r="986" spans="1:9">
      <c r="A986">
        <v>972</v>
      </c>
      <c r="B986" t="str">
        <f t="shared" si="30"/>
        <v>david andrew hoffer</v>
      </c>
      <c r="C986" t="s">
        <v>1925</v>
      </c>
      <c r="D986" t="s">
        <v>28</v>
      </c>
      <c r="E986" t="s">
        <v>170</v>
      </c>
      <c r="F986" t="s">
        <v>890</v>
      </c>
      <c r="G986" t="s">
        <v>4</v>
      </c>
      <c r="H986" t="s">
        <v>36</v>
      </c>
      <c r="I986" t="str">
        <f t="shared" si="31"/>
        <v/>
      </c>
    </row>
    <row r="987" spans="1:9">
      <c r="A987">
        <v>973</v>
      </c>
      <c r="B987" t="str">
        <f t="shared" si="30"/>
        <v>gary d. hoff</v>
      </c>
      <c r="C987" t="s">
        <v>1926</v>
      </c>
      <c r="D987" t="s">
        <v>123</v>
      </c>
      <c r="E987" t="s">
        <v>186</v>
      </c>
      <c r="F987" t="s">
        <v>4109</v>
      </c>
      <c r="G987" t="s">
        <v>4</v>
      </c>
      <c r="H987" t="s">
        <v>4</v>
      </c>
      <c r="I987" t="str">
        <f t="shared" si="31"/>
        <v/>
      </c>
    </row>
    <row r="988" spans="1:9">
      <c r="A988">
        <v>974</v>
      </c>
      <c r="B988" t="str">
        <f t="shared" si="30"/>
        <v>ralph c. hofer ralph</v>
      </c>
      <c r="C988" t="s">
        <v>1927</v>
      </c>
      <c r="D988" t="s">
        <v>124</v>
      </c>
      <c r="E988" t="s">
        <v>332</v>
      </c>
      <c r="F988" t="s">
        <v>1928</v>
      </c>
      <c r="G988" t="s">
        <v>10</v>
      </c>
      <c r="H988" t="s">
        <v>10</v>
      </c>
      <c r="I988" t="str">
        <f t="shared" si="31"/>
        <v/>
      </c>
    </row>
    <row r="989" spans="1:9">
      <c r="A989">
        <v>975</v>
      </c>
      <c r="B989" t="str">
        <f t="shared" si="30"/>
        <v>marshall y hockett</v>
      </c>
      <c r="C989" t="s">
        <v>1929</v>
      </c>
      <c r="D989" t="s">
        <v>1473</v>
      </c>
      <c r="E989" t="s">
        <v>1848</v>
      </c>
      <c r="F989" t="s">
        <v>101</v>
      </c>
      <c r="G989" t="s">
        <v>102</v>
      </c>
      <c r="H989" t="s">
        <v>103</v>
      </c>
      <c r="I989" t="str">
        <f t="shared" si="31"/>
        <v/>
      </c>
    </row>
    <row r="990" spans="1:9">
      <c r="A990">
        <v>976</v>
      </c>
      <c r="B990" t="str">
        <f t="shared" si="30"/>
        <v>andrea lynn hoch</v>
      </c>
      <c r="C990" t="s">
        <v>1930</v>
      </c>
      <c r="D990" t="s">
        <v>1931</v>
      </c>
      <c r="E990" t="s">
        <v>197</v>
      </c>
      <c r="F990" t="s">
        <v>978</v>
      </c>
      <c r="G990" t="s">
        <v>4</v>
      </c>
      <c r="H990" t="s">
        <v>212</v>
      </c>
      <c r="I990" t="str">
        <f t="shared" si="31"/>
        <v/>
      </c>
    </row>
    <row r="991" spans="1:9">
      <c r="A991">
        <v>977</v>
      </c>
      <c r="B991" t="str">
        <f t="shared" si="30"/>
        <v>david michael hirsch</v>
      </c>
      <c r="C991" t="s">
        <v>1932</v>
      </c>
      <c r="D991" t="s">
        <v>28</v>
      </c>
      <c r="E991" t="s">
        <v>219</v>
      </c>
      <c r="F991" t="s">
        <v>8</v>
      </c>
      <c r="G991" t="s">
        <v>81</v>
      </c>
      <c r="H991" t="s">
        <v>10</v>
      </c>
      <c r="I991" t="str">
        <f t="shared" si="31"/>
        <v/>
      </c>
    </row>
    <row r="992" spans="1:9">
      <c r="A992">
        <v>978</v>
      </c>
      <c r="B992" t="str">
        <f t="shared" si="30"/>
        <v>ernest mitsuo hiroshige</v>
      </c>
      <c r="C992" t="s">
        <v>1933</v>
      </c>
      <c r="D992" t="s">
        <v>757</v>
      </c>
      <c r="E992" t="s">
        <v>1934</v>
      </c>
      <c r="F992" t="s">
        <v>4110</v>
      </c>
      <c r="G992" t="s">
        <v>4</v>
      </c>
      <c r="H992" t="s">
        <v>4</v>
      </c>
      <c r="I992" t="str">
        <f t="shared" si="31"/>
        <v/>
      </c>
    </row>
    <row r="993" spans="1:9">
      <c r="A993">
        <v>979</v>
      </c>
      <c r="B993" t="str">
        <f t="shared" si="30"/>
        <v>joni t hiramoto</v>
      </c>
      <c r="C993" t="s">
        <v>1935</v>
      </c>
      <c r="D993" t="s">
        <v>1936</v>
      </c>
      <c r="E993" t="s">
        <v>140</v>
      </c>
      <c r="F993" t="s">
        <v>755</v>
      </c>
      <c r="G993" t="s">
        <v>4</v>
      </c>
      <c r="H993" t="s">
        <v>10</v>
      </c>
      <c r="I993" t="str">
        <f t="shared" si="31"/>
        <v/>
      </c>
    </row>
    <row r="994" spans="1:9">
      <c r="A994">
        <v>980</v>
      </c>
      <c r="B994" t="str">
        <f t="shared" si="30"/>
        <v>banbana cathenine cherine hinton barbara</v>
      </c>
      <c r="C994" t="s">
        <v>1937</v>
      </c>
      <c r="D994" t="s">
        <v>1938</v>
      </c>
      <c r="E994" t="s">
        <v>1939</v>
      </c>
      <c r="F994" t="s">
        <v>4111</v>
      </c>
      <c r="G994" t="s">
        <v>4</v>
      </c>
      <c r="H994" t="s">
        <v>4</v>
      </c>
      <c r="I994" t="str">
        <f t="shared" si="31"/>
        <v/>
      </c>
    </row>
    <row r="995" spans="1:9">
      <c r="A995">
        <v>981</v>
      </c>
      <c r="B995" t="str">
        <f t="shared" si="30"/>
        <v>joyce d. hinrichs</v>
      </c>
      <c r="C995" t="s">
        <v>1940</v>
      </c>
      <c r="D995" t="s">
        <v>1755</v>
      </c>
      <c r="E995" t="s">
        <v>186</v>
      </c>
      <c r="F995" t="s">
        <v>32</v>
      </c>
      <c r="G995" t="s">
        <v>1941</v>
      </c>
      <c r="H995" t="s">
        <v>10</v>
      </c>
      <c r="I995" t="str">
        <f t="shared" si="31"/>
        <v/>
      </c>
    </row>
    <row r="996" spans="1:9">
      <c r="A996">
        <v>982</v>
      </c>
      <c r="B996" t="str">
        <f t="shared" si="30"/>
        <v>stuart lindsay hing</v>
      </c>
      <c r="C996" t="s">
        <v>1942</v>
      </c>
      <c r="D996" t="s">
        <v>521</v>
      </c>
      <c r="E996" t="s">
        <v>1943</v>
      </c>
      <c r="F996" t="s">
        <v>4005</v>
      </c>
      <c r="G996" t="s">
        <v>9</v>
      </c>
      <c r="H996" t="s">
        <v>4</v>
      </c>
      <c r="I996" t="str">
        <f t="shared" si="31"/>
        <v/>
      </c>
    </row>
    <row r="997" spans="1:9">
      <c r="A997">
        <v>983</v>
      </c>
      <c r="B997" t="str">
        <f t="shared" si="30"/>
        <v>bret dale hillman</v>
      </c>
      <c r="C997" t="s">
        <v>1944</v>
      </c>
      <c r="D997" t="s">
        <v>1945</v>
      </c>
      <c r="E997" t="s">
        <v>215</v>
      </c>
      <c r="F997" t="s">
        <v>281</v>
      </c>
      <c r="G997" t="s">
        <v>1946</v>
      </c>
      <c r="H997" t="s">
        <v>10</v>
      </c>
      <c r="I997" t="str">
        <f t="shared" si="31"/>
        <v/>
      </c>
    </row>
    <row r="998" spans="1:9">
      <c r="A998">
        <v>984</v>
      </c>
      <c r="B998" t="str">
        <f t="shared" si="30"/>
        <v>elizabeth michelle hill</v>
      </c>
      <c r="C998" t="s">
        <v>1947</v>
      </c>
      <c r="D998" t="s">
        <v>191</v>
      </c>
      <c r="E998" t="s">
        <v>856</v>
      </c>
      <c r="F998" t="s">
        <v>231</v>
      </c>
      <c r="G998" t="s">
        <v>4</v>
      </c>
      <c r="H998" t="s">
        <v>10</v>
      </c>
      <c r="I998" t="str">
        <f t="shared" si="31"/>
        <v/>
      </c>
    </row>
    <row r="999" spans="1:9">
      <c r="A999">
        <v>985</v>
      </c>
      <c r="B999" t="str">
        <f t="shared" si="30"/>
        <v>deirdre h hill</v>
      </c>
      <c r="C999" t="s">
        <v>1947</v>
      </c>
      <c r="D999" t="s">
        <v>1948</v>
      </c>
      <c r="E999" t="s">
        <v>250</v>
      </c>
      <c r="F999" t="s">
        <v>25</v>
      </c>
      <c r="G999" t="s">
        <v>4</v>
      </c>
      <c r="H999" t="s">
        <v>10</v>
      </c>
      <c r="I999" t="str">
        <f t="shared" si="31"/>
        <v/>
      </c>
    </row>
    <row r="1000" spans="1:9">
      <c r="A1000">
        <v>986</v>
      </c>
      <c r="B1000" t="str">
        <f t="shared" si="30"/>
        <v>christina louise hill</v>
      </c>
      <c r="C1000" t="s">
        <v>1947</v>
      </c>
      <c r="D1000" t="s">
        <v>1949</v>
      </c>
      <c r="E1000" t="s">
        <v>899</v>
      </c>
      <c r="F1000" t="s">
        <v>1749</v>
      </c>
      <c r="G1000" t="s">
        <v>4</v>
      </c>
      <c r="H1000" t="s">
        <v>4</v>
      </c>
      <c r="I1000" t="str">
        <f t="shared" si="31"/>
        <v/>
      </c>
    </row>
    <row r="1001" spans="1:9">
      <c r="A1001">
        <v>987</v>
      </c>
      <c r="B1001" t="str">
        <f t="shared" si="30"/>
        <v>brian e hill</v>
      </c>
      <c r="C1001" t="s">
        <v>1947</v>
      </c>
      <c r="D1001" t="s">
        <v>57</v>
      </c>
      <c r="E1001" t="s">
        <v>134</v>
      </c>
      <c r="F1001" t="s">
        <v>1177</v>
      </c>
      <c r="G1001" t="s">
        <v>1178</v>
      </c>
      <c r="H1001" t="s">
        <v>10</v>
      </c>
      <c r="I1001" t="str">
        <f t="shared" si="31"/>
        <v/>
      </c>
    </row>
    <row r="1002" spans="1:9">
      <c r="A1002">
        <v>988</v>
      </c>
      <c r="B1002" t="str">
        <f t="shared" si="30"/>
        <v>brad r. hill</v>
      </c>
      <c r="C1002" t="s">
        <v>1947</v>
      </c>
      <c r="D1002" t="s">
        <v>1951</v>
      </c>
      <c r="E1002" t="s">
        <v>265</v>
      </c>
      <c r="F1002" t="s">
        <v>19</v>
      </c>
      <c r="G1002" t="s">
        <v>1026</v>
      </c>
      <c r="H1002" t="s">
        <v>833</v>
      </c>
      <c r="I1002" t="str">
        <f t="shared" si="31"/>
        <v/>
      </c>
    </row>
    <row r="1003" spans="1:9">
      <c r="A1003">
        <v>989</v>
      </c>
      <c r="B1003" t="str">
        <f t="shared" si="30"/>
        <v>janet adele hilde</v>
      </c>
      <c r="C1003" t="s">
        <v>1952</v>
      </c>
      <c r="D1003" t="s">
        <v>2197</v>
      </c>
      <c r="E1003" t="s">
        <v>1953</v>
      </c>
      <c r="F1003" t="s">
        <v>1954</v>
      </c>
      <c r="G1003" t="s">
        <v>1955</v>
      </c>
      <c r="H1003" t="s">
        <v>36</v>
      </c>
      <c r="I1003" t="str">
        <f t="shared" si="31"/>
        <v/>
      </c>
    </row>
    <row r="1004" spans="1:9">
      <c r="A1004">
        <v>990</v>
      </c>
      <c r="B1004" t="str">
        <f t="shared" si="30"/>
        <v>robert c hight</v>
      </c>
      <c r="C1004" t="s">
        <v>1956</v>
      </c>
      <c r="D1004" t="s">
        <v>72</v>
      </c>
      <c r="E1004" t="s">
        <v>770</v>
      </c>
      <c r="F1004" t="s">
        <v>4112</v>
      </c>
      <c r="G1004" t="s">
        <v>4</v>
      </c>
      <c r="H1004" t="s">
        <v>4</v>
      </c>
      <c r="I1004" t="str">
        <f t="shared" si="31"/>
        <v/>
      </c>
    </row>
    <row r="1005" spans="1:9">
      <c r="A1005">
        <v>991</v>
      </c>
      <c r="B1005" t="str">
        <f t="shared" si="30"/>
        <v>william foster highberger</v>
      </c>
      <c r="C1005" t="s">
        <v>1957</v>
      </c>
      <c r="D1005" t="s">
        <v>155</v>
      </c>
      <c r="E1005" t="s">
        <v>270</v>
      </c>
      <c r="F1005" t="s">
        <v>1345</v>
      </c>
      <c r="G1005" t="s">
        <v>4</v>
      </c>
      <c r="H1005" t="s">
        <v>36</v>
      </c>
      <c r="I1005" t="str">
        <f t="shared" si="31"/>
        <v/>
      </c>
    </row>
    <row r="1006" spans="1:9">
      <c r="A1006">
        <v>992</v>
      </c>
      <c r="B1006" t="str">
        <f t="shared" si="30"/>
        <v>robert june higa</v>
      </c>
      <c r="C1006" t="s">
        <v>1958</v>
      </c>
      <c r="D1006" t="s">
        <v>72</v>
      </c>
      <c r="E1006" t="s">
        <v>1959</v>
      </c>
      <c r="F1006" t="s">
        <v>4058</v>
      </c>
      <c r="G1006" t="s">
        <v>4</v>
      </c>
      <c r="H1006" t="s">
        <v>4</v>
      </c>
      <c r="I1006" t="str">
        <f t="shared" si="31"/>
        <v/>
      </c>
    </row>
    <row r="1007" spans="1:9">
      <c r="A1007">
        <v>993</v>
      </c>
      <c r="B1007" t="str">
        <f t="shared" si="30"/>
        <v>lloyd l. hicks</v>
      </c>
      <c r="C1007" t="s">
        <v>1960</v>
      </c>
      <c r="D1007" t="s">
        <v>1230</v>
      </c>
      <c r="E1007" t="s">
        <v>257</v>
      </c>
      <c r="F1007" t="s">
        <v>281</v>
      </c>
      <c r="G1007" t="s">
        <v>4</v>
      </c>
      <c r="H1007" t="s">
        <v>10</v>
      </c>
      <c r="I1007" t="str">
        <f t="shared" si="31"/>
        <v/>
      </c>
    </row>
    <row r="1008" spans="1:9">
      <c r="A1008">
        <v>994</v>
      </c>
      <c r="B1008" t="str">
        <f t="shared" si="30"/>
        <v>philip h. hickok</v>
      </c>
      <c r="C1008" t="s">
        <v>1961</v>
      </c>
      <c r="D1008" t="s">
        <v>589</v>
      </c>
      <c r="E1008" t="s">
        <v>957</v>
      </c>
      <c r="F1008" t="s">
        <v>1420</v>
      </c>
      <c r="G1008" t="s">
        <v>25</v>
      </c>
      <c r="H1008" t="s">
        <v>10</v>
      </c>
      <c r="I1008" t="str">
        <f t="shared" si="31"/>
        <v/>
      </c>
    </row>
    <row r="1009" spans="1:9">
      <c r="A1009">
        <v>995</v>
      </c>
      <c r="B1009" t="str">
        <f t="shared" si="30"/>
        <v>campaign finance  hess robert l.</v>
      </c>
      <c r="C1009" t="s">
        <v>1962</v>
      </c>
      <c r="D1009" t="s">
        <v>1963</v>
      </c>
      <c r="E1009" t="s">
        <v>4</v>
      </c>
      <c r="F1009" t="s">
        <v>49</v>
      </c>
      <c r="G1009" t="s">
        <v>135</v>
      </c>
      <c r="H1009" t="s">
        <v>10</v>
      </c>
      <c r="I1009" t="str">
        <f t="shared" si="31"/>
        <v/>
      </c>
    </row>
    <row r="1010" spans="1:9">
      <c r="A1010">
        <v>996</v>
      </c>
      <c r="B1010" t="str">
        <f t="shared" si="30"/>
        <v>judy holzer hersher</v>
      </c>
      <c r="C1010" t="s">
        <v>1965</v>
      </c>
      <c r="D1010" t="s">
        <v>1966</v>
      </c>
      <c r="E1010" t="s">
        <v>1967</v>
      </c>
      <c r="F1010" t="s">
        <v>4113</v>
      </c>
      <c r="G1010" t="s">
        <v>4</v>
      </c>
      <c r="H1010" t="s">
        <v>10</v>
      </c>
      <c r="I1010" t="str">
        <f t="shared" si="31"/>
        <v/>
      </c>
    </row>
    <row r="1011" spans="1:9">
      <c r="A1011">
        <v>997</v>
      </c>
      <c r="B1011" t="str">
        <f t="shared" si="30"/>
        <v>martin larry herscovitz</v>
      </c>
      <c r="C1011" t="s">
        <v>1968</v>
      </c>
      <c r="D1011" t="s">
        <v>478</v>
      </c>
      <c r="E1011" t="s">
        <v>1969</v>
      </c>
      <c r="F1011" t="s">
        <v>1970</v>
      </c>
      <c r="G1011" t="s">
        <v>4</v>
      </c>
      <c r="H1011" t="s">
        <v>103</v>
      </c>
      <c r="I1011" t="str">
        <f t="shared" si="31"/>
        <v/>
      </c>
    </row>
    <row r="1012" spans="1:9">
      <c r="A1012">
        <v>998</v>
      </c>
      <c r="B1012" t="str">
        <f t="shared" si="30"/>
        <v>lois haight herrington</v>
      </c>
      <c r="C1012" t="s">
        <v>1971</v>
      </c>
      <c r="D1012" t="s">
        <v>1972</v>
      </c>
      <c r="E1012" t="s">
        <v>1973</v>
      </c>
      <c r="F1012" t="s">
        <v>4114</v>
      </c>
      <c r="G1012" t="s">
        <v>4</v>
      </c>
      <c r="H1012" t="s">
        <v>4</v>
      </c>
      <c r="I1012" t="str">
        <f t="shared" si="31"/>
        <v/>
      </c>
    </row>
    <row r="1013" spans="1:9">
      <c r="A1013">
        <v>999</v>
      </c>
      <c r="B1013" t="str">
        <f t="shared" si="30"/>
        <v>david vincent herriford</v>
      </c>
      <c r="C1013" t="s">
        <v>1974</v>
      </c>
      <c r="D1013" t="s">
        <v>28</v>
      </c>
      <c r="E1013" t="s">
        <v>1138</v>
      </c>
      <c r="F1013" t="s">
        <v>46</v>
      </c>
      <c r="G1013" t="s">
        <v>4</v>
      </c>
      <c r="H1013" t="s">
        <v>10</v>
      </c>
      <c r="I1013" t="str">
        <f t="shared" si="31"/>
        <v/>
      </c>
    </row>
    <row r="1014" spans="1:9">
      <c r="A1014">
        <v>1000</v>
      </c>
      <c r="B1014" t="str">
        <f t="shared" si="30"/>
        <v>david warren herrick</v>
      </c>
      <c r="C1014" t="s">
        <v>1975</v>
      </c>
      <c r="D1014" t="s">
        <v>28</v>
      </c>
      <c r="E1014" t="s">
        <v>145</v>
      </c>
      <c r="F1014" t="s">
        <v>1976</v>
      </c>
      <c r="G1014" t="s">
        <v>4</v>
      </c>
      <c r="H1014" t="s">
        <v>10</v>
      </c>
      <c r="I1014" t="str">
        <f t="shared" si="31"/>
        <v/>
      </c>
    </row>
    <row r="1015" spans="1:9">
      <c r="A1015">
        <v>1001</v>
      </c>
      <c r="B1015" t="str">
        <f t="shared" si="30"/>
        <v>maria daghllan hernandez</v>
      </c>
      <c r="C1015" t="s">
        <v>1977</v>
      </c>
      <c r="D1015" t="s">
        <v>529</v>
      </c>
      <c r="E1015" t="s">
        <v>1978</v>
      </c>
      <c r="F1015" t="s">
        <v>890</v>
      </c>
      <c r="G1015" t="s">
        <v>4</v>
      </c>
      <c r="H1015" t="s">
        <v>36</v>
      </c>
      <c r="I1015" t="str">
        <f t="shared" si="31"/>
        <v/>
      </c>
    </row>
    <row r="1016" spans="1:9">
      <c r="A1016">
        <v>1002</v>
      </c>
      <c r="B1016" t="str">
        <f t="shared" si="30"/>
        <v>jorge cruz hernandez</v>
      </c>
      <c r="C1016" t="s">
        <v>1977</v>
      </c>
      <c r="D1016" t="s">
        <v>1979</v>
      </c>
      <c r="E1016" t="s">
        <v>1980</v>
      </c>
      <c r="F1016" t="s">
        <v>1981</v>
      </c>
      <c r="G1016" t="s">
        <v>1982</v>
      </c>
      <c r="H1016" t="s">
        <v>10</v>
      </c>
      <c r="I1016" t="str">
        <f t="shared" si="31"/>
        <v/>
      </c>
    </row>
    <row r="1017" spans="1:9">
      <c r="A1017">
        <v>1003</v>
      </c>
      <c r="B1017" t="str">
        <f t="shared" si="30"/>
        <v>helios j. hernandez ii</v>
      </c>
      <c r="C1017" t="s">
        <v>1983</v>
      </c>
      <c r="D1017" t="s">
        <v>1984</v>
      </c>
      <c r="E1017" t="s">
        <v>94</v>
      </c>
      <c r="F1017" t="s">
        <v>216</v>
      </c>
      <c r="G1017" t="s">
        <v>4</v>
      </c>
      <c r="H1017" t="s">
        <v>10</v>
      </c>
      <c r="I1017" t="str">
        <f t="shared" si="31"/>
        <v/>
      </c>
    </row>
    <row r="1018" spans="1:9">
      <c r="A1018">
        <v>1004</v>
      </c>
      <c r="B1018" t="str">
        <f t="shared" si="30"/>
        <v>george c. hernandez</v>
      </c>
      <c r="C1018" t="s">
        <v>1977</v>
      </c>
      <c r="D1018" t="s">
        <v>237</v>
      </c>
      <c r="E1018" t="s">
        <v>332</v>
      </c>
      <c r="F1018" t="s">
        <v>49</v>
      </c>
      <c r="G1018" t="s">
        <v>176</v>
      </c>
      <c r="H1018" t="s">
        <v>10</v>
      </c>
      <c r="I1018" t="str">
        <f t="shared" si="31"/>
        <v/>
      </c>
    </row>
    <row r="1019" spans="1:9">
      <c r="A1019">
        <v>1005</v>
      </c>
      <c r="B1019" t="str">
        <f t="shared" si="30"/>
        <v>esteban  hernandez</v>
      </c>
      <c r="C1019" t="s">
        <v>1977</v>
      </c>
      <c r="D1019" t="s">
        <v>1985</v>
      </c>
      <c r="E1019" t="s">
        <v>4</v>
      </c>
      <c r="F1019" t="s">
        <v>101</v>
      </c>
      <c r="G1019" t="s">
        <v>102</v>
      </c>
      <c r="H1019" t="s">
        <v>103</v>
      </c>
      <c r="I1019" t="str">
        <f t="shared" si="31"/>
        <v/>
      </c>
    </row>
    <row r="1020" spans="1:9">
      <c r="A1020">
        <v>1006</v>
      </c>
      <c r="B1020" t="str">
        <f t="shared" si="30"/>
        <v>gerald  hermansen</v>
      </c>
      <c r="C1020" t="s">
        <v>1986</v>
      </c>
      <c r="D1020" t="s">
        <v>703</v>
      </c>
      <c r="E1020" t="s">
        <v>4</v>
      </c>
      <c r="F1020" t="s">
        <v>4115</v>
      </c>
      <c r="G1020" t="s">
        <v>4</v>
      </c>
      <c r="H1020" t="s">
        <v>4</v>
      </c>
      <c r="I1020" t="str">
        <f t="shared" si="31"/>
        <v/>
      </c>
    </row>
    <row r="1021" spans="1:9">
      <c r="A1021">
        <v>1007</v>
      </c>
      <c r="B1021" t="str">
        <f t="shared" si="30"/>
        <v>james edward herman</v>
      </c>
      <c r="C1021" t="s">
        <v>1987</v>
      </c>
      <c r="D1021" t="s">
        <v>90</v>
      </c>
      <c r="E1021" t="s">
        <v>236</v>
      </c>
      <c r="F1021" t="s">
        <v>8</v>
      </c>
      <c r="G1021" t="s">
        <v>1177</v>
      </c>
      <c r="H1021" t="s">
        <v>36</v>
      </c>
      <c r="I1021" t="str">
        <f t="shared" si="31"/>
        <v/>
      </c>
    </row>
    <row r="1022" spans="1:9">
      <c r="A1022">
        <v>1008</v>
      </c>
      <c r="B1022" t="str">
        <f t="shared" si="30"/>
        <v>margaret sabina henry</v>
      </c>
      <c r="C1022" t="s">
        <v>266</v>
      </c>
      <c r="D1022" t="s">
        <v>1016</v>
      </c>
      <c r="E1022" t="s">
        <v>1988</v>
      </c>
      <c r="F1022" t="s">
        <v>25</v>
      </c>
      <c r="G1022" t="s">
        <v>4</v>
      </c>
      <c r="H1022" t="s">
        <v>10</v>
      </c>
      <c r="I1022" t="str">
        <f t="shared" si="31"/>
        <v/>
      </c>
    </row>
    <row r="1023" spans="1:9">
      <c r="A1023">
        <v>1009</v>
      </c>
      <c r="B1023" t="str">
        <f t="shared" si="30"/>
        <v>john lynch henninj</v>
      </c>
      <c r="C1023" t="s">
        <v>1989</v>
      </c>
      <c r="D1023" t="s">
        <v>7</v>
      </c>
      <c r="E1023" t="s">
        <v>1990</v>
      </c>
      <c r="F1023" t="s">
        <v>1964</v>
      </c>
      <c r="G1023" t="s">
        <v>40</v>
      </c>
      <c r="H1023" t="s">
        <v>4</v>
      </c>
      <c r="I1023" t="str">
        <f t="shared" si="31"/>
        <v/>
      </c>
    </row>
    <row r="1024" spans="1:9">
      <c r="A1024">
        <v>1010</v>
      </c>
      <c r="B1024" t="str">
        <f t="shared" si="30"/>
        <v>richard james henderson</v>
      </c>
      <c r="C1024" t="s">
        <v>1991</v>
      </c>
      <c r="D1024" t="s">
        <v>173</v>
      </c>
      <c r="E1024" t="s">
        <v>90</v>
      </c>
      <c r="F1024" t="s">
        <v>1225</v>
      </c>
      <c r="G1024" t="s">
        <v>1992</v>
      </c>
      <c r="H1024" t="s">
        <v>36</v>
      </c>
      <c r="I1024" t="str">
        <f t="shared" si="31"/>
        <v/>
      </c>
    </row>
    <row r="1025" spans="1:9">
      <c r="A1025">
        <v>1011</v>
      </c>
      <c r="B1025" t="str">
        <f t="shared" si="30"/>
        <v>candace s. heidelberger</v>
      </c>
      <c r="C1025" t="s">
        <v>1993</v>
      </c>
      <c r="D1025" t="s">
        <v>1994</v>
      </c>
      <c r="E1025" t="s">
        <v>174</v>
      </c>
      <c r="F1025" t="s">
        <v>437</v>
      </c>
      <c r="G1025" t="s">
        <v>4</v>
      </c>
      <c r="H1025" t="s">
        <v>10</v>
      </c>
      <c r="I1025" t="str">
        <f t="shared" si="31"/>
        <v/>
      </c>
    </row>
    <row r="1026" spans="1:9">
      <c r="A1026">
        <v>1012</v>
      </c>
      <c r="B1026" t="str">
        <f t="shared" si="30"/>
        <v>patrick james hegarty</v>
      </c>
      <c r="C1026" t="s">
        <v>1995</v>
      </c>
      <c r="D1026" t="s">
        <v>6</v>
      </c>
      <c r="E1026" t="s">
        <v>90</v>
      </c>
      <c r="F1026" t="s">
        <v>4116</v>
      </c>
      <c r="G1026" t="s">
        <v>4</v>
      </c>
      <c r="H1026" t="s">
        <v>4</v>
      </c>
      <c r="I1026" t="str">
        <f t="shared" si="31"/>
        <v/>
      </c>
    </row>
    <row r="1027" spans="1:9">
      <c r="A1027">
        <v>1013</v>
      </c>
      <c r="B1027" t="str">
        <f t="shared" ref="B1027:B1090" si="32">TRIM($D1027) &amp; " " &amp; TRIM($E1027) &amp; " " &amp; TRIM($C1027)</f>
        <v>rex  heeseman</v>
      </c>
      <c r="C1027" t="s">
        <v>1996</v>
      </c>
      <c r="D1027" t="s">
        <v>815</v>
      </c>
      <c r="E1027" t="s">
        <v>4</v>
      </c>
      <c r="F1027" t="s">
        <v>1749</v>
      </c>
      <c r="G1027" t="s">
        <v>4</v>
      </c>
      <c r="H1027" t="s">
        <v>4</v>
      </c>
      <c r="I1027" t="str">
        <f t="shared" ref="I1027:I1090" si="33">IF(NOT(ISERROR(FIND("judge",F1027))),"judge","")</f>
        <v/>
      </c>
    </row>
    <row r="1028" spans="1:9">
      <c r="A1028">
        <v>1014</v>
      </c>
      <c r="B1028" t="str">
        <f t="shared" si="32"/>
        <v>stephen owen hedstrom</v>
      </c>
      <c r="C1028" t="s">
        <v>1997</v>
      </c>
      <c r="D1028" t="s">
        <v>183</v>
      </c>
      <c r="E1028" t="s">
        <v>1998</v>
      </c>
      <c r="F1028" t="s">
        <v>1999</v>
      </c>
      <c r="G1028" t="s">
        <v>4</v>
      </c>
      <c r="H1028" t="s">
        <v>2000</v>
      </c>
      <c r="I1028" t="str">
        <f t="shared" si="33"/>
        <v/>
      </c>
    </row>
    <row r="1029" spans="1:9">
      <c r="A1029">
        <v>1015</v>
      </c>
      <c r="B1029" t="str">
        <f t="shared" si="32"/>
        <v>david j. hoace</v>
      </c>
      <c r="C1029" t="s">
        <v>2001</v>
      </c>
      <c r="D1029" t="s">
        <v>28</v>
      </c>
      <c r="E1029" t="s">
        <v>94</v>
      </c>
      <c r="F1029" t="s">
        <v>492</v>
      </c>
      <c r="G1029" t="s">
        <v>2002</v>
      </c>
      <c r="H1029" t="s">
        <v>36</v>
      </c>
      <c r="I1029" t="str">
        <f t="shared" si="33"/>
        <v/>
      </c>
    </row>
    <row r="1030" spans="1:9">
      <c r="A1030">
        <v>1016</v>
      </c>
      <c r="B1030" t="str">
        <f t="shared" si="32"/>
        <v>marcelita valerie haynes</v>
      </c>
      <c r="C1030" t="s">
        <v>2003</v>
      </c>
      <c r="D1030" t="s">
        <v>2004</v>
      </c>
      <c r="E1030" t="s">
        <v>807</v>
      </c>
      <c r="F1030" t="s">
        <v>1749</v>
      </c>
      <c r="G1030" t="s">
        <v>4</v>
      </c>
      <c r="H1030" t="s">
        <v>4</v>
      </c>
      <c r="I1030" t="str">
        <f t="shared" si="33"/>
        <v/>
      </c>
    </row>
    <row r="1031" spans="1:9">
      <c r="A1031">
        <v>1017</v>
      </c>
      <c r="B1031" t="str">
        <f t="shared" si="32"/>
        <v>brian franklin haynes</v>
      </c>
      <c r="C1031" t="s">
        <v>2003</v>
      </c>
      <c r="D1031" t="s">
        <v>57</v>
      </c>
      <c r="E1031" t="s">
        <v>555</v>
      </c>
      <c r="F1031" t="s">
        <v>1637</v>
      </c>
      <c r="G1031" t="s">
        <v>4</v>
      </c>
      <c r="H1031" t="s">
        <v>36</v>
      </c>
      <c r="I1031" t="str">
        <f t="shared" si="33"/>
        <v/>
      </c>
    </row>
    <row r="1032" spans="1:9">
      <c r="A1032">
        <v>1018</v>
      </c>
      <c r="B1032" t="str">
        <f t="shared" si="32"/>
        <v xml:space="preserve">  hayes william michael</v>
      </c>
      <c r="C1032" t="s">
        <v>4117</v>
      </c>
      <c r="D1032" t="s">
        <v>4</v>
      </c>
      <c r="E1032" t="s">
        <v>4</v>
      </c>
      <c r="F1032" t="s">
        <v>32</v>
      </c>
      <c r="G1032" t="s">
        <v>559</v>
      </c>
      <c r="H1032" t="s">
        <v>10</v>
      </c>
      <c r="I1032" t="str">
        <f t="shared" si="33"/>
        <v/>
      </c>
    </row>
    <row r="1033" spans="1:9">
      <c r="A1033">
        <v>1019</v>
      </c>
      <c r="B1033" t="str">
        <f t="shared" si="32"/>
        <v>larry e hayes</v>
      </c>
      <c r="C1033" t="s">
        <v>2005</v>
      </c>
      <c r="D1033" t="s">
        <v>1969</v>
      </c>
      <c r="E1033" t="s">
        <v>134</v>
      </c>
      <c r="F1033" t="s">
        <v>32</v>
      </c>
      <c r="G1033" t="s">
        <v>1323</v>
      </c>
      <c r="H1033" t="s">
        <v>10</v>
      </c>
      <c r="I1033" t="str">
        <f t="shared" si="33"/>
        <v/>
      </c>
    </row>
    <row r="1034" spans="1:9">
      <c r="A1034">
        <v>1020</v>
      </c>
      <c r="B1034" t="str">
        <f t="shared" si="32"/>
        <v>judith f. hayes</v>
      </c>
      <c r="C1034" t="s">
        <v>2005</v>
      </c>
      <c r="D1034" t="s">
        <v>334</v>
      </c>
      <c r="E1034" t="s">
        <v>161</v>
      </c>
      <c r="F1034" t="s">
        <v>101</v>
      </c>
      <c r="G1034" t="s">
        <v>102</v>
      </c>
      <c r="H1034" t="s">
        <v>103</v>
      </c>
      <c r="I1034" t="str">
        <f t="shared" si="33"/>
        <v/>
      </c>
    </row>
    <row r="1035" spans="1:9">
      <c r="A1035">
        <v>1021</v>
      </c>
      <c r="B1035" t="str">
        <f t="shared" si="32"/>
        <v>dennis w hayashi</v>
      </c>
      <c r="C1035" t="s">
        <v>2006</v>
      </c>
      <c r="D1035" t="s">
        <v>1065</v>
      </c>
      <c r="E1035" t="s">
        <v>583</v>
      </c>
      <c r="F1035" t="s">
        <v>2007</v>
      </c>
      <c r="G1035" t="s">
        <v>4</v>
      </c>
      <c r="H1035" t="s">
        <v>10</v>
      </c>
      <c r="I1035" t="str">
        <f t="shared" si="33"/>
        <v/>
      </c>
    </row>
    <row r="1036" spans="1:9">
      <c r="A1036">
        <v>1022</v>
      </c>
      <c r="B1036" t="str">
        <f t="shared" si="32"/>
        <v>james stafford hawkins</v>
      </c>
      <c r="C1036" t="s">
        <v>2008</v>
      </c>
      <c r="D1036" t="s">
        <v>90</v>
      </c>
      <c r="E1036" t="s">
        <v>2009</v>
      </c>
      <c r="F1036" t="s">
        <v>32</v>
      </c>
      <c r="G1036" t="s">
        <v>2010</v>
      </c>
      <c r="H1036" t="s">
        <v>36</v>
      </c>
      <c r="I1036" t="str">
        <f t="shared" si="33"/>
        <v/>
      </c>
    </row>
    <row r="1037" spans="1:9">
      <c r="A1037">
        <v>1023</v>
      </c>
      <c r="B1037" t="str">
        <f t="shared" si="32"/>
        <v>douglas jun hatchimonji</v>
      </c>
      <c r="C1037" t="s">
        <v>2011</v>
      </c>
      <c r="D1037" t="s">
        <v>593</v>
      </c>
      <c r="E1037" t="s">
        <v>2012</v>
      </c>
      <c r="F1037" t="s">
        <v>2013</v>
      </c>
      <c r="G1037" t="s">
        <v>4</v>
      </c>
      <c r="H1037" t="s">
        <v>103</v>
      </c>
      <c r="I1037" t="str">
        <f t="shared" si="33"/>
        <v/>
      </c>
    </row>
    <row r="1038" spans="1:9">
      <c r="A1038">
        <v>1024</v>
      </c>
      <c r="B1038" t="str">
        <f t="shared" si="32"/>
        <v>roy  hashimoto</v>
      </c>
      <c r="C1038" t="s">
        <v>2014</v>
      </c>
      <c r="D1038" t="s">
        <v>869</v>
      </c>
      <c r="E1038" t="s">
        <v>4</v>
      </c>
      <c r="F1038" t="s">
        <v>387</v>
      </c>
      <c r="G1038" t="s">
        <v>4</v>
      </c>
      <c r="H1038" t="s">
        <v>10</v>
      </c>
      <c r="I1038" t="str">
        <f t="shared" si="33"/>
        <v/>
      </c>
    </row>
    <row r="1039" spans="1:9">
      <c r="A1039">
        <v>1025</v>
      </c>
      <c r="B1039" t="str">
        <f t="shared" si="32"/>
        <v>michael bruce harwin</v>
      </c>
      <c r="C1039" t="s">
        <v>2015</v>
      </c>
      <c r="D1039" t="s">
        <v>219</v>
      </c>
      <c r="E1039" t="s">
        <v>47</v>
      </c>
      <c r="F1039" t="s">
        <v>4062</v>
      </c>
      <c r="G1039" t="s">
        <v>4</v>
      </c>
      <c r="H1039" t="s">
        <v>4</v>
      </c>
      <c r="I1039" t="str">
        <f t="shared" si="33"/>
        <v/>
      </c>
    </row>
    <row r="1040" spans="1:9">
      <c r="A1040">
        <v>1026</v>
      </c>
      <c r="B1040" t="str">
        <f t="shared" si="32"/>
        <v>albert theodore harutunian iii</v>
      </c>
      <c r="C1040" t="s">
        <v>2016</v>
      </c>
      <c r="D1040" t="s">
        <v>116</v>
      </c>
      <c r="E1040" t="s">
        <v>34</v>
      </c>
      <c r="F1040" t="s">
        <v>101</v>
      </c>
      <c r="G1040" t="s">
        <v>102</v>
      </c>
      <c r="H1040" t="s">
        <v>103</v>
      </c>
      <c r="I1040" t="str">
        <f t="shared" si="33"/>
        <v/>
      </c>
    </row>
    <row r="1041" spans="1:9">
      <c r="A1041">
        <v>1027</v>
      </c>
      <c r="B1041" t="str">
        <f t="shared" si="32"/>
        <v>arthur allen harrison</v>
      </c>
      <c r="C1041" t="s">
        <v>2017</v>
      </c>
      <c r="D1041" t="s">
        <v>169</v>
      </c>
      <c r="E1041" t="s">
        <v>192</v>
      </c>
      <c r="F1041" t="s">
        <v>2018</v>
      </c>
      <c r="G1041" t="s">
        <v>372</v>
      </c>
      <c r="H1041" t="s">
        <v>36</v>
      </c>
      <c r="I1041" t="str">
        <f t="shared" si="33"/>
        <v/>
      </c>
    </row>
    <row r="1042" spans="1:9">
      <c r="A1042">
        <v>1028</v>
      </c>
      <c r="B1042" t="str">
        <f t="shared" si="32"/>
        <v>leland b. harris</v>
      </c>
      <c r="C1042" t="s">
        <v>2019</v>
      </c>
      <c r="D1042" t="s">
        <v>424</v>
      </c>
      <c r="E1042" t="s">
        <v>400</v>
      </c>
      <c r="F1042" t="s">
        <v>1749</v>
      </c>
      <c r="G1042" t="s">
        <v>4</v>
      </c>
      <c r="H1042" t="s">
        <v>4</v>
      </c>
      <c r="I1042" t="str">
        <f t="shared" si="33"/>
        <v/>
      </c>
    </row>
    <row r="1043" spans="1:9">
      <c r="A1043">
        <v>1029</v>
      </c>
      <c r="B1043" t="str">
        <f t="shared" si="32"/>
        <v>debra  harris</v>
      </c>
      <c r="C1043" t="s">
        <v>2019</v>
      </c>
      <c r="D1043" t="s">
        <v>1778</v>
      </c>
      <c r="E1043" t="s">
        <v>4</v>
      </c>
      <c r="F1043" t="s">
        <v>49</v>
      </c>
      <c r="G1043" t="s">
        <v>1022</v>
      </c>
      <c r="H1043" t="s">
        <v>10</v>
      </c>
      <c r="I1043" t="str">
        <f t="shared" si="33"/>
        <v/>
      </c>
    </row>
    <row r="1044" spans="1:9">
      <c r="A1044">
        <v>1030</v>
      </c>
      <c r="B1044" t="str">
        <f t="shared" si="32"/>
        <v>arlan la monte harrell</v>
      </c>
      <c r="C1044" t="s">
        <v>2020</v>
      </c>
      <c r="D1044" t="s">
        <v>2021</v>
      </c>
      <c r="E1044" t="s">
        <v>2022</v>
      </c>
      <c r="F1044" t="s">
        <v>1061</v>
      </c>
      <c r="G1044" t="s">
        <v>4</v>
      </c>
      <c r="H1044" t="s">
        <v>36</v>
      </c>
      <c r="I1044" t="str">
        <f t="shared" si="33"/>
        <v/>
      </c>
    </row>
    <row r="1045" spans="1:9">
      <c r="A1045">
        <v>1031</v>
      </c>
      <c r="B1045" t="str">
        <f t="shared" si="32"/>
        <v>alvin mccoy harrell (iii)</v>
      </c>
      <c r="C1045" t="s">
        <v>2023</v>
      </c>
      <c r="D1045" t="s">
        <v>2024</v>
      </c>
      <c r="E1045" t="s">
        <v>1419</v>
      </c>
      <c r="F1045" t="s">
        <v>32</v>
      </c>
      <c r="G1045" t="s">
        <v>289</v>
      </c>
      <c r="H1045" t="s">
        <v>36</v>
      </c>
      <c r="I1045" t="str">
        <f t="shared" si="33"/>
        <v/>
      </c>
    </row>
    <row r="1046" spans="1:9">
      <c r="A1046">
        <v>1032</v>
      </c>
      <c r="B1046" t="str">
        <f t="shared" si="32"/>
        <v>dodie ann harman</v>
      </c>
      <c r="C1046" t="s">
        <v>2026</v>
      </c>
      <c r="D1046" t="s">
        <v>2027</v>
      </c>
      <c r="E1046" t="s">
        <v>3</v>
      </c>
      <c r="F1046" t="s">
        <v>2028</v>
      </c>
      <c r="G1046" t="s">
        <v>4</v>
      </c>
      <c r="H1046" t="s">
        <v>36</v>
      </c>
      <c r="I1046" t="str">
        <f t="shared" si="33"/>
        <v/>
      </c>
    </row>
    <row r="1047" spans="1:9">
      <c r="A1047">
        <v>1033</v>
      </c>
      <c r="B1047" t="str">
        <f t="shared" si="32"/>
        <v>susan catherine harlan</v>
      </c>
      <c r="C1047" t="s">
        <v>2029</v>
      </c>
      <c r="D1047" t="s">
        <v>676</v>
      </c>
      <c r="E1047" t="s">
        <v>2030</v>
      </c>
      <c r="F1047" t="s">
        <v>1964</v>
      </c>
      <c r="G1047" t="s">
        <v>2031</v>
      </c>
      <c r="H1047" t="s">
        <v>1280</v>
      </c>
      <c r="I1047" t="str">
        <f t="shared" si="33"/>
        <v/>
      </c>
    </row>
    <row r="1048" spans="1:9">
      <c r="A1048">
        <v>1034</v>
      </c>
      <c r="B1048" t="str">
        <f t="shared" si="32"/>
        <v>rebecca clyde hardie</v>
      </c>
      <c r="C1048" t="s">
        <v>2032</v>
      </c>
      <c r="D1048" t="s">
        <v>129</v>
      </c>
      <c r="E1048" t="s">
        <v>2033</v>
      </c>
      <c r="F1048" t="s">
        <v>4118</v>
      </c>
      <c r="G1048" t="s">
        <v>2034</v>
      </c>
      <c r="H1048" t="s">
        <v>2035</v>
      </c>
      <c r="I1048" t="str">
        <f t="shared" si="33"/>
        <v/>
      </c>
    </row>
    <row r="1049" spans="1:9">
      <c r="A1049">
        <v>1035</v>
      </c>
      <c r="B1049" t="str">
        <f t="shared" si="32"/>
        <v>allan d hardcastle</v>
      </c>
      <c r="C1049" t="s">
        <v>2036</v>
      </c>
      <c r="D1049" t="s">
        <v>1013</v>
      </c>
      <c r="E1049" t="s">
        <v>570</v>
      </c>
      <c r="F1049" t="s">
        <v>32</v>
      </c>
      <c r="G1049" t="s">
        <v>2037</v>
      </c>
      <c r="H1049" t="s">
        <v>10</v>
      </c>
      <c r="I1049" t="str">
        <f t="shared" si="33"/>
        <v/>
      </c>
    </row>
    <row r="1050" spans="1:9">
      <c r="A1050">
        <v>1036</v>
      </c>
      <c r="B1050" t="str">
        <f t="shared" si="32"/>
        <v>brenda fay harbin-forte</v>
      </c>
      <c r="C1050" t="s">
        <v>2038</v>
      </c>
      <c r="D1050" t="s">
        <v>2039</v>
      </c>
      <c r="E1050" t="s">
        <v>2040</v>
      </c>
      <c r="F1050" t="s">
        <v>387</v>
      </c>
      <c r="G1050" t="s">
        <v>4</v>
      </c>
      <c r="H1050" t="s">
        <v>10</v>
      </c>
      <c r="I1050" t="str">
        <f t="shared" si="33"/>
        <v/>
      </c>
    </row>
    <row r="1051" spans="1:9">
      <c r="A1051">
        <v>1037</v>
      </c>
      <c r="B1051" t="str">
        <f t="shared" si="32"/>
        <v>kenneth jay hara</v>
      </c>
      <c r="C1051" t="s">
        <v>2041</v>
      </c>
      <c r="D1051" t="s">
        <v>60</v>
      </c>
      <c r="E1051" t="s">
        <v>1717</v>
      </c>
      <c r="F1051" t="s">
        <v>29</v>
      </c>
      <c r="G1051" t="s">
        <v>4</v>
      </c>
      <c r="H1051" t="s">
        <v>2042</v>
      </c>
      <c r="I1051" t="str">
        <f t="shared" si="33"/>
        <v/>
      </c>
    </row>
    <row r="1052" spans="1:9">
      <c r="A1052">
        <v>1038</v>
      </c>
      <c r="B1052" t="str">
        <f t="shared" si="32"/>
        <v>sheila fairchild hanson</v>
      </c>
      <c r="C1052" t="s">
        <v>1046</v>
      </c>
      <c r="D1052" t="s">
        <v>2043</v>
      </c>
      <c r="E1052" t="s">
        <v>2044</v>
      </c>
      <c r="F1052" t="s">
        <v>4119</v>
      </c>
      <c r="G1052" t="s">
        <v>4</v>
      </c>
      <c r="H1052" t="s">
        <v>4</v>
      </c>
      <c r="I1052" t="str">
        <f t="shared" si="33"/>
        <v/>
      </c>
    </row>
    <row r="1053" spans="1:9">
      <c r="A1053">
        <v>1039</v>
      </c>
      <c r="B1053" t="str">
        <f t="shared" si="32"/>
        <v>ronald william hansen</v>
      </c>
      <c r="C1053" t="s">
        <v>2045</v>
      </c>
      <c r="D1053" t="s">
        <v>413</v>
      </c>
      <c r="E1053" t="s">
        <v>155</v>
      </c>
      <c r="F1053" t="s">
        <v>571</v>
      </c>
      <c r="G1053" t="s">
        <v>1001</v>
      </c>
      <c r="H1053" t="s">
        <v>10</v>
      </c>
      <c r="I1053" t="str">
        <f t="shared" si="33"/>
        <v/>
      </c>
    </row>
    <row r="1054" spans="1:9">
      <c r="A1054">
        <v>1040</v>
      </c>
      <c r="B1054" t="str">
        <f t="shared" si="32"/>
        <v>kelly lew hansen</v>
      </c>
      <c r="C1054" t="s">
        <v>2045</v>
      </c>
      <c r="D1054" t="s">
        <v>1761</v>
      </c>
      <c r="E1054" t="s">
        <v>1602</v>
      </c>
      <c r="F1054" t="s">
        <v>921</v>
      </c>
      <c r="G1054" t="s">
        <v>118</v>
      </c>
      <c r="H1054" t="s">
        <v>10</v>
      </c>
      <c r="I1054" t="str">
        <f t="shared" si="33"/>
        <v/>
      </c>
    </row>
    <row r="1055" spans="1:9">
      <c r="A1055">
        <v>1041</v>
      </c>
      <c r="B1055" t="str">
        <f t="shared" si="32"/>
        <v>harry(h.ted) theodore hansen</v>
      </c>
      <c r="C1055" t="s">
        <v>2045</v>
      </c>
      <c r="D1055" t="s">
        <v>2046</v>
      </c>
      <c r="E1055" t="s">
        <v>34</v>
      </c>
      <c r="F1055" t="s">
        <v>2047</v>
      </c>
      <c r="G1055" t="s">
        <v>4</v>
      </c>
      <c r="H1055" t="s">
        <v>10</v>
      </c>
      <c r="I1055" t="str">
        <f t="shared" si="33"/>
        <v/>
      </c>
    </row>
    <row r="1056" spans="1:9">
      <c r="A1056">
        <v>1042</v>
      </c>
      <c r="B1056" t="str">
        <f t="shared" si="32"/>
        <v>louis r hanoian</v>
      </c>
      <c r="C1056" t="s">
        <v>2048</v>
      </c>
      <c r="D1056" t="s">
        <v>540</v>
      </c>
      <c r="E1056" t="s">
        <v>53</v>
      </c>
      <c r="F1056" t="s">
        <v>101</v>
      </c>
      <c r="G1056" t="s">
        <v>102</v>
      </c>
      <c r="H1056" t="s">
        <v>103</v>
      </c>
      <c r="I1056" t="str">
        <f t="shared" si="33"/>
        <v/>
      </c>
    </row>
    <row r="1057" spans="1:9">
      <c r="A1057">
        <v>1043</v>
      </c>
      <c r="B1057" t="str">
        <f t="shared" si="32"/>
        <v>randolph martin hammock</v>
      </c>
      <c r="C1057" t="s">
        <v>2049</v>
      </c>
      <c r="D1057" t="s">
        <v>879</v>
      </c>
      <c r="E1057" t="s">
        <v>478</v>
      </c>
      <c r="F1057" t="s">
        <v>25</v>
      </c>
      <c r="G1057" t="s">
        <v>4</v>
      </c>
      <c r="H1057" t="s">
        <v>10</v>
      </c>
      <c r="I1057" t="str">
        <f t="shared" si="33"/>
        <v/>
      </c>
    </row>
    <row r="1058" spans="1:9">
      <c r="A1058">
        <v>1044</v>
      </c>
      <c r="B1058" t="str">
        <f t="shared" si="32"/>
        <v>william kent hamlin</v>
      </c>
      <c r="C1058" t="s">
        <v>2050</v>
      </c>
      <c r="D1058" t="s">
        <v>155</v>
      </c>
      <c r="E1058" t="s">
        <v>1771</v>
      </c>
      <c r="F1058" t="s">
        <v>2051</v>
      </c>
      <c r="G1058" t="s">
        <v>4</v>
      </c>
      <c r="H1058" t="s">
        <v>36</v>
      </c>
      <c r="I1058" t="str">
        <f t="shared" si="33"/>
        <v/>
      </c>
    </row>
    <row r="1059" spans="1:9">
      <c r="A1059">
        <v>1045</v>
      </c>
      <c r="B1059" t="str">
        <f t="shared" si="32"/>
        <v>jeffrey y jr hamilton</v>
      </c>
      <c r="C1059" t="s">
        <v>2052</v>
      </c>
      <c r="D1059" t="s">
        <v>446</v>
      </c>
      <c r="E1059" t="s">
        <v>2053</v>
      </c>
      <c r="F1059" t="s">
        <v>633</v>
      </c>
      <c r="G1059" t="s">
        <v>626</v>
      </c>
      <c r="H1059" t="s">
        <v>10</v>
      </c>
      <c r="I1059" t="str">
        <f t="shared" si="33"/>
        <v/>
      </c>
    </row>
    <row r="1060" spans="1:9">
      <c r="A1060">
        <v>1046</v>
      </c>
      <c r="B1060" t="str">
        <f t="shared" si="32"/>
        <v>howard lee halm</v>
      </c>
      <c r="C1060" t="s">
        <v>2054</v>
      </c>
      <c r="D1060" t="s">
        <v>506</v>
      </c>
      <c r="E1060" t="s">
        <v>113</v>
      </c>
      <c r="F1060" t="s">
        <v>46</v>
      </c>
      <c r="G1060" t="s">
        <v>4</v>
      </c>
      <c r="H1060" t="s">
        <v>103</v>
      </c>
      <c r="I1060" t="str">
        <f t="shared" si="33"/>
        <v/>
      </c>
    </row>
    <row r="1061" spans="1:9">
      <c r="A1061">
        <v>1047</v>
      </c>
      <c r="B1061" t="str">
        <f t="shared" si="32"/>
        <v>judith l haller</v>
      </c>
      <c r="C1061" t="s">
        <v>2055</v>
      </c>
      <c r="D1061" t="s">
        <v>334</v>
      </c>
      <c r="E1061" t="s">
        <v>77</v>
      </c>
      <c r="F1061" t="s">
        <v>4120</v>
      </c>
      <c r="G1061" t="s">
        <v>102</v>
      </c>
      <c r="H1061" t="s">
        <v>4</v>
      </c>
      <c r="I1061" t="str">
        <f t="shared" si="33"/>
        <v/>
      </c>
    </row>
    <row r="1062" spans="1:9">
      <c r="A1062">
        <v>1048</v>
      </c>
      <c r="B1062" t="str">
        <f t="shared" si="32"/>
        <v>maureen f hallahan</v>
      </c>
      <c r="C1062" t="s">
        <v>2056</v>
      </c>
      <c r="D1062" t="s">
        <v>2057</v>
      </c>
      <c r="E1062" t="s">
        <v>288</v>
      </c>
      <c r="F1062" t="s">
        <v>101</v>
      </c>
      <c r="G1062" t="s">
        <v>102</v>
      </c>
      <c r="H1062" t="s">
        <v>103</v>
      </c>
      <c r="I1062" t="str">
        <f t="shared" si="33"/>
        <v/>
      </c>
    </row>
    <row r="1063" spans="1:9">
      <c r="A1063">
        <v>1049</v>
      </c>
      <c r="B1063" t="str">
        <f t="shared" si="32"/>
        <v>tamara elaine hall</v>
      </c>
      <c r="C1063" t="s">
        <v>2058</v>
      </c>
      <c r="D1063" t="s">
        <v>1258</v>
      </c>
      <c r="E1063" t="s">
        <v>525</v>
      </c>
      <c r="F1063" t="s">
        <v>4121</v>
      </c>
      <c r="G1063" t="s">
        <v>4</v>
      </c>
      <c r="H1063" t="s">
        <v>4</v>
      </c>
      <c r="I1063" t="str">
        <f t="shared" si="33"/>
        <v/>
      </c>
    </row>
    <row r="1064" spans="1:9">
      <c r="A1064">
        <v>1050</v>
      </c>
      <c r="B1064" t="str">
        <f t="shared" si="32"/>
        <v>stephen m hall</v>
      </c>
      <c r="C1064" t="s">
        <v>2058</v>
      </c>
      <c r="D1064" t="s">
        <v>183</v>
      </c>
      <c r="E1064" t="s">
        <v>410</v>
      </c>
      <c r="F1064" t="s">
        <v>231</v>
      </c>
      <c r="G1064" t="s">
        <v>4</v>
      </c>
      <c r="H1064" t="s">
        <v>4</v>
      </c>
      <c r="I1064" t="str">
        <f t="shared" si="33"/>
        <v/>
      </c>
    </row>
    <row r="1065" spans="1:9">
      <c r="A1065">
        <v>1051</v>
      </c>
      <c r="B1065" t="str">
        <f t="shared" si="32"/>
        <v>henry j hall</v>
      </c>
      <c r="C1065" t="s">
        <v>2058</v>
      </c>
      <c r="D1065" t="s">
        <v>266</v>
      </c>
      <c r="E1065" t="s">
        <v>1296</v>
      </c>
      <c r="F1065" t="s">
        <v>8</v>
      </c>
      <c r="G1065" t="s">
        <v>135</v>
      </c>
      <c r="H1065" t="s">
        <v>10</v>
      </c>
      <c r="I1065" t="str">
        <f t="shared" si="33"/>
        <v/>
      </c>
    </row>
    <row r="1066" spans="1:9">
      <c r="A1066">
        <v>1052</v>
      </c>
      <c r="B1066" t="str">
        <f t="shared" si="32"/>
        <v>laura w. halgren</v>
      </c>
      <c r="C1066" t="s">
        <v>2059</v>
      </c>
      <c r="D1066" t="s">
        <v>259</v>
      </c>
      <c r="E1066" t="s">
        <v>65</v>
      </c>
      <c r="F1066" t="s">
        <v>101</v>
      </c>
      <c r="G1066" t="s">
        <v>102</v>
      </c>
      <c r="H1066" t="s">
        <v>103</v>
      </c>
      <c r="I1066" t="str">
        <f t="shared" si="33"/>
        <v/>
      </c>
    </row>
    <row r="1067" spans="1:9">
      <c r="A1067">
        <v>1053</v>
      </c>
      <c r="B1067" t="str">
        <f t="shared" si="32"/>
        <v xml:space="preserve"> f. haines charles</v>
      </c>
      <c r="C1067" t="s">
        <v>4122</v>
      </c>
      <c r="D1067" t="s">
        <v>4</v>
      </c>
      <c r="E1067" t="s">
        <v>161</v>
      </c>
      <c r="F1067" t="s">
        <v>4025</v>
      </c>
      <c r="G1067" t="s">
        <v>4</v>
      </c>
      <c r="H1067" t="s">
        <v>4</v>
      </c>
      <c r="I1067" t="str">
        <f t="shared" si="33"/>
        <v/>
      </c>
    </row>
    <row r="1068" spans="1:9">
      <c r="A1068">
        <v>1054</v>
      </c>
      <c r="B1068" t="str">
        <f t="shared" si="32"/>
        <v>raymond l. haight</v>
      </c>
      <c r="C1068" t="s">
        <v>1973</v>
      </c>
      <c r="D1068" t="s">
        <v>496</v>
      </c>
      <c r="E1068" t="s">
        <v>257</v>
      </c>
      <c r="F1068" t="s">
        <v>1467</v>
      </c>
      <c r="G1068" t="s">
        <v>299</v>
      </c>
      <c r="H1068" t="s">
        <v>36</v>
      </c>
      <c r="I1068" t="str">
        <f t="shared" si="33"/>
        <v/>
      </c>
    </row>
    <row r="1069" spans="1:9">
      <c r="A1069">
        <v>1055</v>
      </c>
      <c r="B1069" t="str">
        <f t="shared" si="32"/>
        <v>james kenneth hahn</v>
      </c>
      <c r="C1069" t="s">
        <v>2060</v>
      </c>
      <c r="D1069" t="s">
        <v>90</v>
      </c>
      <c r="E1069" t="s">
        <v>60</v>
      </c>
      <c r="F1069" t="s">
        <v>49</v>
      </c>
      <c r="G1069" t="s">
        <v>40</v>
      </c>
      <c r="H1069" t="s">
        <v>10</v>
      </c>
      <c r="I1069" t="str">
        <f t="shared" si="33"/>
        <v/>
      </c>
    </row>
    <row r="1070" spans="1:9">
      <c r="A1070">
        <v>1056</v>
      </c>
      <c r="B1070" t="str">
        <f t="shared" si="32"/>
        <v>gary r. hahn</v>
      </c>
      <c r="C1070" t="s">
        <v>2060</v>
      </c>
      <c r="D1070" t="s">
        <v>123</v>
      </c>
      <c r="E1070" t="s">
        <v>265</v>
      </c>
      <c r="F1070" t="s">
        <v>3996</v>
      </c>
      <c r="G1070" t="s">
        <v>4</v>
      </c>
      <c r="H1070" t="s">
        <v>4</v>
      </c>
      <c r="I1070" t="str">
        <f t="shared" si="33"/>
        <v/>
      </c>
    </row>
    <row r="1071" spans="1:9">
      <c r="A1071">
        <v>1057</v>
      </c>
      <c r="B1071" t="str">
        <f t="shared" si="32"/>
        <v>paul raymond haerle</v>
      </c>
      <c r="C1071" t="s">
        <v>2061</v>
      </c>
      <c r="D1071" t="s">
        <v>280</v>
      </c>
      <c r="E1071" t="s">
        <v>496</v>
      </c>
      <c r="F1071" t="s">
        <v>19</v>
      </c>
      <c r="G1071" t="s">
        <v>1816</v>
      </c>
      <c r="H1071" t="s">
        <v>212</v>
      </c>
      <c r="I1071" t="str">
        <f t="shared" si="33"/>
        <v/>
      </c>
    </row>
    <row r="1072" spans="1:9">
      <c r="A1072">
        <v>1058</v>
      </c>
      <c r="B1072" t="str">
        <f t="shared" si="32"/>
        <v>garry george haehnle</v>
      </c>
      <c r="C1072" t="s">
        <v>2062</v>
      </c>
      <c r="D1072" t="s">
        <v>1875</v>
      </c>
      <c r="E1072" t="s">
        <v>237</v>
      </c>
      <c r="F1072" t="s">
        <v>101</v>
      </c>
      <c r="G1072" t="s">
        <v>102</v>
      </c>
      <c r="H1072" t="s">
        <v>103</v>
      </c>
      <c r="I1072" t="str">
        <f t="shared" si="33"/>
        <v/>
      </c>
    </row>
    <row r="1073" spans="1:9">
      <c r="A1073">
        <v>1059</v>
      </c>
      <c r="B1073" t="str">
        <f t="shared" si="32"/>
        <v>paul m. haakenson</v>
      </c>
      <c r="C1073" t="s">
        <v>2063</v>
      </c>
      <c r="D1073" t="s">
        <v>280</v>
      </c>
      <c r="E1073" t="s">
        <v>189</v>
      </c>
      <c r="F1073" t="s">
        <v>658</v>
      </c>
      <c r="G1073" t="s">
        <v>4</v>
      </c>
      <c r="H1073" t="s">
        <v>36</v>
      </c>
      <c r="I1073" t="str">
        <f t="shared" si="33"/>
        <v/>
      </c>
    </row>
    <row r="1074" spans="1:9">
      <c r="A1074">
        <v>1060</v>
      </c>
      <c r="B1074" t="str">
        <f t="shared" si="32"/>
        <v>helena r. gweon</v>
      </c>
      <c r="C1074" t="s">
        <v>2064</v>
      </c>
      <c r="D1074" t="s">
        <v>2065</v>
      </c>
      <c r="E1074" t="s">
        <v>265</v>
      </c>
      <c r="F1074" t="s">
        <v>4113</v>
      </c>
      <c r="G1074" t="s">
        <v>4</v>
      </c>
      <c r="H1074" t="s">
        <v>4</v>
      </c>
      <c r="I1074" t="str">
        <f t="shared" si="33"/>
        <v/>
      </c>
    </row>
    <row r="1075" spans="1:9">
      <c r="A1075">
        <v>1061</v>
      </c>
      <c r="B1075" t="str">
        <f t="shared" si="32"/>
        <v>hector m guzman</v>
      </c>
      <c r="C1075" t="s">
        <v>2066</v>
      </c>
      <c r="D1075" t="s">
        <v>981</v>
      </c>
      <c r="E1075" t="s">
        <v>410</v>
      </c>
      <c r="F1075" t="s">
        <v>2067</v>
      </c>
      <c r="G1075" t="s">
        <v>40</v>
      </c>
      <c r="H1075" t="s">
        <v>103</v>
      </c>
      <c r="I1075" t="str">
        <f t="shared" si="33"/>
        <v/>
      </c>
    </row>
    <row r="1076" spans="1:9">
      <c r="A1076">
        <v>1062</v>
      </c>
      <c r="B1076" t="str">
        <f t="shared" si="32"/>
        <v>denine jeness guy</v>
      </c>
      <c r="C1076" t="s">
        <v>142</v>
      </c>
      <c r="D1076" t="s">
        <v>2068</v>
      </c>
      <c r="E1076" t="s">
        <v>2069</v>
      </c>
      <c r="F1076" t="s">
        <v>54</v>
      </c>
      <c r="G1076" t="s">
        <v>2070</v>
      </c>
      <c r="H1076" t="s">
        <v>10</v>
      </c>
      <c r="I1076" t="str">
        <f t="shared" si="33"/>
        <v/>
      </c>
    </row>
    <row r="1077" spans="1:9">
      <c r="A1077">
        <v>1063</v>
      </c>
      <c r="B1077" t="str">
        <f t="shared" si="32"/>
        <v>allen  gunn david</v>
      </c>
      <c r="C1077" t="s">
        <v>2071</v>
      </c>
      <c r="D1077" t="s">
        <v>192</v>
      </c>
      <c r="E1077" t="s">
        <v>4</v>
      </c>
      <c r="F1077" t="s">
        <v>2072</v>
      </c>
      <c r="G1077" t="s">
        <v>4</v>
      </c>
      <c r="H1077" t="s">
        <v>4</v>
      </c>
      <c r="I1077" t="str">
        <f t="shared" si="33"/>
        <v/>
      </c>
    </row>
    <row r="1078" spans="1:9">
      <c r="A1078">
        <v>1064</v>
      </c>
      <c r="B1078" t="str">
        <f t="shared" si="32"/>
        <v>christian r. gullon</v>
      </c>
      <c r="C1078" t="s">
        <v>2073</v>
      </c>
      <c r="D1078" t="s">
        <v>455</v>
      </c>
      <c r="E1078" t="s">
        <v>265</v>
      </c>
      <c r="F1078" t="s">
        <v>2204</v>
      </c>
      <c r="G1078" t="s">
        <v>4</v>
      </c>
      <c r="H1078" t="s">
        <v>4</v>
      </c>
      <c r="I1078" t="str">
        <f t="shared" si="33"/>
        <v/>
      </c>
    </row>
    <row r="1079" spans="1:9">
      <c r="A1079">
        <v>1065</v>
      </c>
      <c r="B1079" t="str">
        <f t="shared" si="32"/>
        <v>richard j guiliani</v>
      </c>
      <c r="C1079" t="s">
        <v>2074</v>
      </c>
      <c r="D1079" t="s">
        <v>173</v>
      </c>
      <c r="E1079" t="s">
        <v>1296</v>
      </c>
      <c r="F1079" t="s">
        <v>4</v>
      </c>
      <c r="G1079" t="s">
        <v>4</v>
      </c>
      <c r="H1079" t="s">
        <v>224</v>
      </c>
      <c r="I1079" t="str">
        <f t="shared" si="33"/>
        <v/>
      </c>
    </row>
    <row r="1080" spans="1:9">
      <c r="A1080">
        <v>1066</v>
      </c>
      <c r="B1080" t="str">
        <f t="shared" si="32"/>
        <v>teresa  guerrsro-daley</v>
      </c>
      <c r="C1080" t="s">
        <v>2075</v>
      </c>
      <c r="D1080" t="s">
        <v>799</v>
      </c>
      <c r="E1080" t="s">
        <v>4</v>
      </c>
      <c r="F1080" t="s">
        <v>32</v>
      </c>
      <c r="G1080" t="s">
        <v>268</v>
      </c>
      <c r="H1080" t="s">
        <v>10</v>
      </c>
      <c r="I1080" t="str">
        <f t="shared" si="33"/>
        <v/>
      </c>
    </row>
    <row r="1081" spans="1:9">
      <c r="A1081">
        <v>1067</v>
      </c>
      <c r="B1081" t="str">
        <f t="shared" si="32"/>
        <v>raymond a. guadagni</v>
      </c>
      <c r="C1081" t="s">
        <v>2076</v>
      </c>
      <c r="D1081" t="s">
        <v>496</v>
      </c>
      <c r="E1081" t="s">
        <v>447</v>
      </c>
      <c r="F1081" t="s">
        <v>422</v>
      </c>
      <c r="G1081" t="s">
        <v>4</v>
      </c>
      <c r="H1081" t="s">
        <v>36</v>
      </c>
      <c r="I1081" t="str">
        <f t="shared" si="33"/>
        <v/>
      </c>
    </row>
    <row r="1082" spans="1:9">
      <c r="A1082">
        <v>1068</v>
      </c>
      <c r="B1082" t="str">
        <f t="shared" si="32"/>
        <v>adrienne m grover</v>
      </c>
      <c r="C1082" t="s">
        <v>2077</v>
      </c>
      <c r="D1082" t="s">
        <v>1129</v>
      </c>
      <c r="E1082" t="s">
        <v>410</v>
      </c>
      <c r="F1082" t="s">
        <v>2078</v>
      </c>
      <c r="G1082" t="s">
        <v>4</v>
      </c>
      <c r="H1082" t="s">
        <v>10</v>
      </c>
      <c r="I1082" t="str">
        <f t="shared" si="33"/>
        <v/>
      </c>
    </row>
    <row r="1083" spans="1:9">
      <c r="A1083">
        <v>1069</v>
      </c>
      <c r="B1083" t="str">
        <f t="shared" si="32"/>
        <v>harlan gene grossman</v>
      </c>
      <c r="C1083" t="s">
        <v>2079</v>
      </c>
      <c r="D1083" t="s">
        <v>2029</v>
      </c>
      <c r="E1083" t="s">
        <v>1055</v>
      </c>
      <c r="F1083" t="s">
        <v>2080</v>
      </c>
      <c r="G1083" t="s">
        <v>4</v>
      </c>
      <c r="H1083" t="s">
        <v>36</v>
      </c>
      <c r="I1083" t="str">
        <f t="shared" si="33"/>
        <v/>
      </c>
    </row>
    <row r="1084" spans="1:9">
      <c r="A1084">
        <v>1070</v>
      </c>
      <c r="B1084" t="str">
        <f t="shared" si="32"/>
        <v>donna ovigley groman</v>
      </c>
      <c r="C1084" t="s">
        <v>2081</v>
      </c>
      <c r="D1084" t="s">
        <v>471</v>
      </c>
      <c r="E1084" t="s">
        <v>2082</v>
      </c>
      <c r="F1084" t="s">
        <v>2204</v>
      </c>
      <c r="G1084" t="s">
        <v>2083</v>
      </c>
      <c r="H1084" t="s">
        <v>4</v>
      </c>
      <c r="I1084" t="str">
        <f t="shared" si="33"/>
        <v/>
      </c>
    </row>
    <row r="1085" spans="1:9">
      <c r="A1085">
        <v>1071</v>
      </c>
      <c r="B1085" t="str">
        <f t="shared" si="32"/>
        <v>michael stuart groch</v>
      </c>
      <c r="C1085" t="s">
        <v>2084</v>
      </c>
      <c r="D1085" t="s">
        <v>219</v>
      </c>
      <c r="E1085" t="s">
        <v>521</v>
      </c>
      <c r="F1085" t="s">
        <v>101</v>
      </c>
      <c r="G1085" t="s">
        <v>102</v>
      </c>
      <c r="H1085" t="s">
        <v>103</v>
      </c>
      <c r="I1085" t="str">
        <f t="shared" si="33"/>
        <v/>
      </c>
    </row>
    <row r="1086" spans="1:9">
      <c r="A1086">
        <v>1072</v>
      </c>
      <c r="B1086" t="str">
        <f t="shared" si="32"/>
        <v>dan c grimmer</v>
      </c>
      <c r="C1086" t="s">
        <v>2085</v>
      </c>
      <c r="D1086" t="s">
        <v>1156</v>
      </c>
      <c r="E1086" t="s">
        <v>770</v>
      </c>
      <c r="F1086" t="s">
        <v>32</v>
      </c>
      <c r="G1086" t="s">
        <v>9</v>
      </c>
      <c r="H1086" t="s">
        <v>10</v>
      </c>
      <c r="I1086" t="str">
        <f t="shared" si="33"/>
        <v/>
      </c>
    </row>
    <row r="1087" spans="1:9">
      <c r="A1087">
        <v>1073</v>
      </c>
      <c r="B1087" t="str">
        <f t="shared" si="32"/>
        <v>elizabeth a grimes</v>
      </c>
      <c r="C1087" t="s">
        <v>2086</v>
      </c>
      <c r="D1087" t="s">
        <v>191</v>
      </c>
      <c r="E1087" t="s">
        <v>39</v>
      </c>
      <c r="F1087" t="s">
        <v>674</v>
      </c>
      <c r="G1087" t="s">
        <v>2087</v>
      </c>
      <c r="H1087" t="s">
        <v>21</v>
      </c>
      <c r="I1087" t="str">
        <f t="shared" si="33"/>
        <v/>
      </c>
    </row>
    <row r="1088" spans="1:9">
      <c r="A1088">
        <v>1074</v>
      </c>
      <c r="B1088" t="str">
        <f t="shared" si="32"/>
        <v>evelio martin grillo</v>
      </c>
      <c r="C1088" t="s">
        <v>2088</v>
      </c>
      <c r="D1088" t="s">
        <v>2089</v>
      </c>
      <c r="E1088" t="s">
        <v>478</v>
      </c>
      <c r="F1088" t="s">
        <v>387</v>
      </c>
      <c r="G1088" t="s">
        <v>4</v>
      </c>
      <c r="H1088" t="s">
        <v>10</v>
      </c>
      <c r="I1088" t="str">
        <f t="shared" si="33"/>
        <v/>
      </c>
    </row>
    <row r="1089" spans="1:9">
      <c r="A1089">
        <v>1075</v>
      </c>
      <c r="B1089" t="str">
        <f t="shared" si="32"/>
        <v>mary ann grilli</v>
      </c>
      <c r="C1089" t="s">
        <v>2090</v>
      </c>
      <c r="D1089" t="s">
        <v>126</v>
      </c>
      <c r="E1089" t="s">
        <v>3</v>
      </c>
      <c r="F1089" t="s">
        <v>106</v>
      </c>
      <c r="G1089" t="s">
        <v>49</v>
      </c>
      <c r="H1089" t="s">
        <v>36</v>
      </c>
      <c r="I1089" t="str">
        <f t="shared" si="33"/>
        <v/>
      </c>
    </row>
    <row r="1090" spans="1:9">
      <c r="A1090">
        <v>1076</v>
      </c>
      <c r="B1090" t="str">
        <f t="shared" si="32"/>
        <v>craig l griffin</v>
      </c>
      <c r="C1090" t="s">
        <v>2091</v>
      </c>
      <c r="D1090" t="s">
        <v>322</v>
      </c>
      <c r="E1090" t="s">
        <v>77</v>
      </c>
      <c r="F1090" t="s">
        <v>890</v>
      </c>
      <c r="G1090" t="s">
        <v>2092</v>
      </c>
      <c r="H1090" t="s">
        <v>36</v>
      </c>
      <c r="I1090" t="str">
        <f t="shared" si="33"/>
        <v/>
      </c>
    </row>
    <row r="1091" spans="1:9">
      <c r="A1091">
        <v>1077</v>
      </c>
      <c r="B1091" t="str">
        <f t="shared" ref="B1091:B1154" si="34">TRIM($D1091) &amp; " " &amp; TRIM($E1091) &amp; " " &amp; TRIM($C1091)</f>
        <v>victor howard greenberg</v>
      </c>
      <c r="C1091" t="s">
        <v>2093</v>
      </c>
      <c r="D1091" t="s">
        <v>76</v>
      </c>
      <c r="E1091" t="s">
        <v>506</v>
      </c>
      <c r="F1091" t="s">
        <v>1749</v>
      </c>
      <c r="G1091" t="s">
        <v>4</v>
      </c>
      <c r="H1091" t="s">
        <v>4</v>
      </c>
      <c r="I1091" t="str">
        <f t="shared" ref="I1091:I1154" si="35">IF(NOT(ISERROR(FIND("judge",F1091))),"judge","")</f>
        <v/>
      </c>
    </row>
    <row r="1092" spans="1:9">
      <c r="A1092">
        <v>1078</v>
      </c>
      <c r="B1092" t="str">
        <f t="shared" si="34"/>
        <v>terry alfred green</v>
      </c>
      <c r="C1092" t="s">
        <v>2094</v>
      </c>
      <c r="D1092" t="s">
        <v>623</v>
      </c>
      <c r="E1092" t="s">
        <v>2095</v>
      </c>
      <c r="F1092" t="s">
        <v>49</v>
      </c>
      <c r="G1092" t="s">
        <v>492</v>
      </c>
      <c r="H1092" t="s">
        <v>2096</v>
      </c>
      <c r="I1092" t="str">
        <f t="shared" si="35"/>
        <v/>
      </c>
    </row>
    <row r="1093" spans="1:9">
      <c r="A1093">
        <v>1079</v>
      </c>
      <c r="B1093" t="str">
        <f t="shared" si="34"/>
        <v xml:space="preserve"> g.rebecca khil green susan elizabeth</v>
      </c>
      <c r="C1093" t="s">
        <v>2097</v>
      </c>
      <c r="D1093" t="s">
        <v>4</v>
      </c>
      <c r="E1093" t="s">
        <v>4123</v>
      </c>
      <c r="F1093" t="s">
        <v>32</v>
      </c>
      <c r="G1093" t="s">
        <v>2098</v>
      </c>
      <c r="H1093" t="s">
        <v>10</v>
      </c>
      <c r="I1093" t="str">
        <f t="shared" si="35"/>
        <v/>
      </c>
    </row>
    <row r="1094" spans="1:9">
      <c r="A1094">
        <v>1080</v>
      </c>
      <c r="B1094" t="str">
        <f t="shared" si="34"/>
        <v>lesley crawford green</v>
      </c>
      <c r="C1094" t="s">
        <v>2094</v>
      </c>
      <c r="D1094" t="s">
        <v>1922</v>
      </c>
      <c r="E1094" t="s">
        <v>2099</v>
      </c>
      <c r="F1094" t="s">
        <v>1964</v>
      </c>
      <c r="G1094" t="s">
        <v>492</v>
      </c>
      <c r="H1094" t="s">
        <v>4124</v>
      </c>
      <c r="I1094" t="str">
        <f t="shared" si="35"/>
        <v/>
      </c>
    </row>
    <row r="1095" spans="1:9">
      <c r="A1095">
        <v>1081</v>
      </c>
      <c r="B1095" t="str">
        <f t="shared" si="34"/>
        <v>alvin ellis green</v>
      </c>
      <c r="C1095" t="s">
        <v>2094</v>
      </c>
      <c r="D1095" t="s">
        <v>2024</v>
      </c>
      <c r="E1095" t="s">
        <v>2100</v>
      </c>
      <c r="F1095" t="s">
        <v>101</v>
      </c>
      <c r="G1095" t="s">
        <v>102</v>
      </c>
      <c r="H1095" t="s">
        <v>103</v>
      </c>
      <c r="I1095" t="str">
        <f t="shared" si="35"/>
        <v/>
      </c>
    </row>
    <row r="1096" spans="1:9">
      <c r="A1096">
        <v>1082</v>
      </c>
      <c r="B1096" t="str">
        <f t="shared" si="34"/>
        <v>dudley w gray ii</v>
      </c>
      <c r="C1096" t="s">
        <v>2101</v>
      </c>
      <c r="D1096" t="s">
        <v>2102</v>
      </c>
      <c r="E1096" t="s">
        <v>583</v>
      </c>
      <c r="F1096" t="s">
        <v>4047</v>
      </c>
      <c r="G1096" t="s">
        <v>135</v>
      </c>
      <c r="H1096" t="s">
        <v>2103</v>
      </c>
      <c r="I1096" t="str">
        <f t="shared" si="35"/>
        <v/>
      </c>
    </row>
    <row r="1097" spans="1:9">
      <c r="A1097">
        <v>1083</v>
      </c>
      <c r="B1097" t="str">
        <f t="shared" si="34"/>
        <v>john leo grandsaert</v>
      </c>
      <c r="C1097" t="s">
        <v>2104</v>
      </c>
      <c r="D1097" t="s">
        <v>7</v>
      </c>
      <c r="E1097" t="s">
        <v>345</v>
      </c>
      <c r="F1097" t="s">
        <v>231</v>
      </c>
      <c r="G1097" t="s">
        <v>2105</v>
      </c>
      <c r="H1097" t="s">
        <v>10</v>
      </c>
      <c r="I1097" t="str">
        <f t="shared" si="35"/>
        <v/>
      </c>
    </row>
    <row r="1098" spans="1:9">
      <c r="A1098">
        <v>1084</v>
      </c>
      <c r="B1098" t="str">
        <f t="shared" si="34"/>
        <v>dianna joy gould-saltman</v>
      </c>
      <c r="C1098" t="s">
        <v>2106</v>
      </c>
      <c r="D1098" t="s">
        <v>2107</v>
      </c>
      <c r="E1098" t="s">
        <v>1194</v>
      </c>
      <c r="F1098" t="s">
        <v>32</v>
      </c>
      <c r="G1098" t="s">
        <v>40</v>
      </c>
      <c r="H1098" t="s">
        <v>10</v>
      </c>
      <c r="I1098" t="str">
        <f t="shared" si="35"/>
        <v/>
      </c>
    </row>
    <row r="1099" spans="1:9">
      <c r="A1099">
        <v>1085</v>
      </c>
      <c r="B1099" t="str">
        <f t="shared" si="34"/>
        <v>richard masson goul</v>
      </c>
      <c r="C1099" t="s">
        <v>2108</v>
      </c>
      <c r="D1099" t="s">
        <v>173</v>
      </c>
      <c r="E1099" t="s">
        <v>2109</v>
      </c>
      <c r="F1099" t="s">
        <v>1964</v>
      </c>
      <c r="G1099" t="s">
        <v>4</v>
      </c>
      <c r="H1099" t="s">
        <v>4</v>
      </c>
      <c r="I1099" t="str">
        <f t="shared" si="35"/>
        <v/>
      </c>
    </row>
    <row r="1100" spans="1:9">
      <c r="A1100">
        <v>1086</v>
      </c>
      <c r="B1100" t="str">
        <f t="shared" si="34"/>
        <v>david andrew gottlieb</v>
      </c>
      <c r="C1100" t="s">
        <v>2110</v>
      </c>
      <c r="D1100" t="s">
        <v>28</v>
      </c>
      <c r="E1100" t="s">
        <v>170</v>
      </c>
      <c r="F1100" t="s">
        <v>633</v>
      </c>
      <c r="G1100" t="s">
        <v>4</v>
      </c>
      <c r="H1100" t="s">
        <v>36</v>
      </c>
      <c r="I1100" t="str">
        <f t="shared" si="35"/>
        <v/>
      </c>
    </row>
    <row r="1101" spans="1:9">
      <c r="A1101">
        <v>1087</v>
      </c>
      <c r="B1101" t="str">
        <f t="shared" si="34"/>
        <v>walter lee gorelick</v>
      </c>
      <c r="C1101" t="s">
        <v>2111</v>
      </c>
      <c r="D1101" t="s">
        <v>87</v>
      </c>
      <c r="E1101" t="s">
        <v>113</v>
      </c>
      <c r="F1101" t="s">
        <v>2112</v>
      </c>
      <c r="G1101" t="s">
        <v>2113</v>
      </c>
      <c r="H1101" t="s">
        <v>36</v>
      </c>
      <c r="I1101" t="str">
        <f t="shared" si="35"/>
        <v/>
      </c>
    </row>
    <row r="1102" spans="1:9">
      <c r="A1102">
        <v>1088</v>
      </c>
      <c r="B1102" t="str">
        <f t="shared" si="34"/>
        <v xml:space="preserve">  gordon scott m.</v>
      </c>
      <c r="C1102" t="s">
        <v>2114</v>
      </c>
      <c r="D1102" t="s">
        <v>4</v>
      </c>
      <c r="E1102" t="s">
        <v>4</v>
      </c>
      <c r="F1102" t="s">
        <v>4125</v>
      </c>
      <c r="G1102" t="s">
        <v>4</v>
      </c>
      <c r="H1102" t="s">
        <v>4</v>
      </c>
      <c r="I1102" t="str">
        <f t="shared" si="35"/>
        <v/>
      </c>
    </row>
    <row r="1103" spans="1:9">
      <c r="A1103">
        <v>1089</v>
      </c>
      <c r="B1103" t="str">
        <f t="shared" si="34"/>
        <v>beatriz maria garcia gordon</v>
      </c>
      <c r="C1103" t="s">
        <v>1820</v>
      </c>
      <c r="D1103" t="s">
        <v>2115</v>
      </c>
      <c r="E1103" t="s">
        <v>2116</v>
      </c>
      <c r="F1103" t="s">
        <v>32</v>
      </c>
      <c r="G1103" t="s">
        <v>559</v>
      </c>
      <c r="H1103" t="s">
        <v>10</v>
      </c>
      <c r="I1103" t="str">
        <f t="shared" si="35"/>
        <v/>
      </c>
    </row>
    <row r="1104" spans="1:9">
      <c r="A1104">
        <v>1090</v>
      </c>
      <c r="B1104" t="str">
        <f t="shared" si="34"/>
        <v>carol boas goodson</v>
      </c>
      <c r="C1104" t="s">
        <v>2117</v>
      </c>
      <c r="D1104" t="s">
        <v>68</v>
      </c>
      <c r="E1104" t="s">
        <v>2118</v>
      </c>
      <c r="F1104" t="s">
        <v>49</v>
      </c>
      <c r="G1104" t="s">
        <v>2119</v>
      </c>
      <c r="H1104" t="s">
        <v>10</v>
      </c>
      <c r="I1104" t="str">
        <f t="shared" si="35"/>
        <v/>
      </c>
    </row>
    <row r="1105" spans="1:9">
      <c r="A1105">
        <v>1091</v>
      </c>
      <c r="B1105" t="str">
        <f t="shared" si="34"/>
        <v>larry jay goodman</v>
      </c>
      <c r="C1105" t="s">
        <v>2120</v>
      </c>
      <c r="D1105" t="s">
        <v>1969</v>
      </c>
      <c r="E1105" t="s">
        <v>1717</v>
      </c>
      <c r="F1105" t="s">
        <v>2121</v>
      </c>
      <c r="G1105" t="s">
        <v>4</v>
      </c>
      <c r="H1105" t="s">
        <v>10</v>
      </c>
      <c r="I1105" t="str">
        <f t="shared" si="35"/>
        <v/>
      </c>
    </row>
    <row r="1106" spans="1:9">
      <c r="A1106">
        <v>1092</v>
      </c>
      <c r="B1106" t="str">
        <f t="shared" si="34"/>
        <v>geoffrey a. goodman</v>
      </c>
      <c r="C1106" t="s">
        <v>2120</v>
      </c>
      <c r="D1106" t="s">
        <v>2122</v>
      </c>
      <c r="E1106" t="s">
        <v>447</v>
      </c>
      <c r="F1106" t="s">
        <v>184</v>
      </c>
      <c r="G1106" t="s">
        <v>4</v>
      </c>
      <c r="H1106" t="s">
        <v>10</v>
      </c>
      <c r="I1106" t="str">
        <f t="shared" si="35"/>
        <v/>
      </c>
    </row>
    <row r="1107" spans="1:9">
      <c r="A1107">
        <v>1093</v>
      </c>
      <c r="B1107" t="str">
        <f t="shared" si="34"/>
        <v>allan j goodman</v>
      </c>
      <c r="C1107" t="s">
        <v>2120</v>
      </c>
      <c r="D1107" t="s">
        <v>1013</v>
      </c>
      <c r="E1107" t="s">
        <v>1296</v>
      </c>
      <c r="F1107" t="s">
        <v>25</v>
      </c>
      <c r="G1107" t="s">
        <v>4</v>
      </c>
      <c r="H1107" t="s">
        <v>10</v>
      </c>
      <c r="I1107" t="str">
        <f t="shared" si="35"/>
        <v/>
      </c>
    </row>
    <row r="1108" spans="1:9">
      <c r="A1108">
        <v>1094</v>
      </c>
      <c r="B1108" t="str">
        <f t="shared" si="34"/>
        <v xml:space="preserve">  goode</v>
      </c>
      <c r="C1108" t="s">
        <v>2123</v>
      </c>
      <c r="D1108" t="s">
        <v>4</v>
      </c>
      <c r="E1108" t="s">
        <v>4</v>
      </c>
      <c r="F1108" t="s">
        <v>2124</v>
      </c>
      <c r="G1108" t="s">
        <v>2125</v>
      </c>
      <c r="H1108" t="s">
        <v>2126</v>
      </c>
      <c r="I1108" t="str">
        <f t="shared" si="35"/>
        <v/>
      </c>
    </row>
    <row r="1109" spans="1:9">
      <c r="A1109">
        <v>1095</v>
      </c>
      <c r="B1109" t="str">
        <f t="shared" si="34"/>
        <v>george r gonzalez lomeli</v>
      </c>
      <c r="C1109" t="s">
        <v>2127</v>
      </c>
      <c r="D1109" t="s">
        <v>237</v>
      </c>
      <c r="E1109" t="s">
        <v>53</v>
      </c>
      <c r="F1109" t="s">
        <v>1749</v>
      </c>
      <c r="G1109" t="s">
        <v>4</v>
      </c>
      <c r="H1109" t="s">
        <v>4</v>
      </c>
      <c r="I1109" t="str">
        <f t="shared" si="35"/>
        <v/>
      </c>
    </row>
    <row r="1110" spans="1:9">
      <c r="A1110">
        <v>1096</v>
      </c>
      <c r="B1110" t="str">
        <f t="shared" si="34"/>
        <v>gus  gomez</v>
      </c>
      <c r="C1110" t="s">
        <v>2128</v>
      </c>
      <c r="D1110" t="s">
        <v>2129</v>
      </c>
      <c r="E1110" t="s">
        <v>4</v>
      </c>
      <c r="F1110" t="s">
        <v>32</v>
      </c>
      <c r="G1110" t="s">
        <v>40</v>
      </c>
      <c r="H1110" t="s">
        <v>10</v>
      </c>
      <c r="I1110" t="str">
        <f t="shared" si="35"/>
        <v/>
      </c>
    </row>
    <row r="1111" spans="1:9">
      <c r="A1111">
        <v>1097</v>
      </c>
      <c r="B1111" t="str">
        <f t="shared" si="34"/>
        <v>gene m gomes</v>
      </c>
      <c r="C1111" t="s">
        <v>2130</v>
      </c>
      <c r="D1111" t="s">
        <v>1055</v>
      </c>
      <c r="E1111" t="s">
        <v>410</v>
      </c>
      <c r="F1111" t="s">
        <v>19</v>
      </c>
      <c r="G1111" t="s">
        <v>1026</v>
      </c>
      <c r="H1111" t="s">
        <v>212</v>
      </c>
      <c r="I1111" t="str">
        <f t="shared" si="35"/>
        <v/>
      </c>
    </row>
    <row r="1112" spans="1:9">
      <c r="A1112">
        <v>1098</v>
      </c>
      <c r="B1112" t="str">
        <f t="shared" si="34"/>
        <v>donna fields goldstein</v>
      </c>
      <c r="C1112" t="s">
        <v>2131</v>
      </c>
      <c r="D1112" t="s">
        <v>471</v>
      </c>
      <c r="E1112" t="s">
        <v>2132</v>
      </c>
      <c r="F1112" t="s">
        <v>49</v>
      </c>
      <c r="G1112" t="s">
        <v>461</v>
      </c>
      <c r="H1112" t="s">
        <v>10</v>
      </c>
      <c r="I1112" t="str">
        <f t="shared" si="35"/>
        <v/>
      </c>
    </row>
    <row r="1113" spans="1:9">
      <c r="A1113">
        <v>1099</v>
      </c>
      <c r="B1113" t="str">
        <f t="shared" si="34"/>
        <v>daniel bruce goldstein</v>
      </c>
      <c r="C1113" t="s">
        <v>2131</v>
      </c>
      <c r="D1113" t="s">
        <v>23</v>
      </c>
      <c r="E1113" t="s">
        <v>47</v>
      </c>
      <c r="F1113" t="s">
        <v>101</v>
      </c>
      <c r="G1113" t="s">
        <v>102</v>
      </c>
      <c r="H1113" t="s">
        <v>103</v>
      </c>
      <c r="I1113" t="str">
        <f t="shared" si="35"/>
        <v/>
      </c>
    </row>
    <row r="1114" spans="1:9">
      <c r="A1114">
        <v>1100</v>
      </c>
      <c r="B1114" t="str">
        <f t="shared" si="34"/>
        <v>ernest  goldsmith erinest</v>
      </c>
      <c r="C1114" t="s">
        <v>2133</v>
      </c>
      <c r="D1114" t="s">
        <v>757</v>
      </c>
      <c r="E1114" t="s">
        <v>4</v>
      </c>
      <c r="F1114" t="s">
        <v>32</v>
      </c>
      <c r="G1114" t="s">
        <v>70</v>
      </c>
      <c r="H1114" t="s">
        <v>10</v>
      </c>
      <c r="I1114" t="str">
        <f t="shared" si="35"/>
        <v/>
      </c>
    </row>
    <row r="1115" spans="1:9">
      <c r="A1115">
        <v>1101</v>
      </c>
      <c r="B1115" t="str">
        <f t="shared" si="34"/>
        <v>christine k. goldsmith</v>
      </c>
      <c r="C1115" t="s">
        <v>2134</v>
      </c>
      <c r="D1115" t="s">
        <v>1260</v>
      </c>
      <c r="E1115" t="s">
        <v>576</v>
      </c>
      <c r="F1115" t="s">
        <v>101</v>
      </c>
      <c r="G1115" t="s">
        <v>102</v>
      </c>
      <c r="H1115" t="s">
        <v>103</v>
      </c>
      <c r="I1115" t="str">
        <f t="shared" si="35"/>
        <v/>
      </c>
    </row>
    <row r="1116" spans="1:9">
      <c r="A1116">
        <v>1102</v>
      </c>
      <c r="B1116" t="str">
        <f t="shared" si="34"/>
        <v>honk m goldbese</v>
      </c>
      <c r="C1116" t="s">
        <v>2135</v>
      </c>
      <c r="D1116" t="s">
        <v>2136</v>
      </c>
      <c r="E1116" t="s">
        <v>410</v>
      </c>
      <c r="F1116" t="s">
        <v>46</v>
      </c>
      <c r="G1116" t="s">
        <v>135</v>
      </c>
      <c r="H1116" t="s">
        <v>10</v>
      </c>
      <c r="I1116" t="str">
        <f t="shared" si="35"/>
        <v/>
      </c>
    </row>
    <row r="1117" spans="1:9">
      <c r="A1117">
        <v>1103</v>
      </c>
      <c r="B1117" t="str">
        <f t="shared" si="34"/>
        <v>reva g goetz</v>
      </c>
      <c r="C1117" t="s">
        <v>2137</v>
      </c>
      <c r="D1117" t="s">
        <v>2138</v>
      </c>
      <c r="E1117" t="s">
        <v>1074</v>
      </c>
      <c r="F1117" t="s">
        <v>25</v>
      </c>
      <c r="G1117" t="s">
        <v>10</v>
      </c>
      <c r="H1117" t="s">
        <v>4</v>
      </c>
      <c r="I1117" t="str">
        <f t="shared" si="35"/>
        <v/>
      </c>
    </row>
    <row r="1118" spans="1:9">
      <c r="A1118">
        <v>1104</v>
      </c>
      <c r="B1118" t="str">
        <f t="shared" si="34"/>
        <v>thomas mkhall goethols</v>
      </c>
      <c r="C1118" t="s">
        <v>2139</v>
      </c>
      <c r="D1118" t="s">
        <v>27</v>
      </c>
      <c r="E1118" t="s">
        <v>2140</v>
      </c>
      <c r="F1118" t="s">
        <v>4126</v>
      </c>
      <c r="G1118" t="s">
        <v>4</v>
      </c>
      <c r="H1118" t="s">
        <v>4</v>
      </c>
      <c r="I1118" t="str">
        <f t="shared" si="35"/>
        <v/>
      </c>
    </row>
    <row r="1119" spans="1:9">
      <c r="A1119">
        <v>1105</v>
      </c>
      <c r="B1119" t="str">
        <f t="shared" si="34"/>
        <v>kenneth joseph gnoss</v>
      </c>
      <c r="C1119" t="s">
        <v>2141</v>
      </c>
      <c r="D1119" t="s">
        <v>60</v>
      </c>
      <c r="E1119" t="s">
        <v>80</v>
      </c>
      <c r="F1119" t="s">
        <v>654</v>
      </c>
      <c r="G1119" t="s">
        <v>4</v>
      </c>
      <c r="H1119" t="s">
        <v>10</v>
      </c>
      <c r="I1119" t="str">
        <f t="shared" si="35"/>
        <v/>
      </c>
    </row>
    <row r="1120" spans="1:9">
      <c r="A1120">
        <v>1106</v>
      </c>
      <c r="B1120" t="str">
        <f t="shared" si="34"/>
        <v>robert alan glusman</v>
      </c>
      <c r="C1120" t="s">
        <v>2142</v>
      </c>
      <c r="D1120" t="s">
        <v>72</v>
      </c>
      <c r="E1120" t="s">
        <v>48</v>
      </c>
      <c r="F1120" t="s">
        <v>900</v>
      </c>
      <c r="G1120" t="s">
        <v>1455</v>
      </c>
      <c r="H1120" t="s">
        <v>10</v>
      </c>
      <c r="I1120" t="str">
        <f t="shared" si="35"/>
        <v/>
      </c>
    </row>
    <row r="1121" spans="1:9">
      <c r="A1121">
        <v>1107</v>
      </c>
      <c r="B1121" t="str">
        <f t="shared" si="34"/>
        <v>bert  glennon</v>
      </c>
      <c r="C1121" t="s">
        <v>2143</v>
      </c>
      <c r="D1121" t="s">
        <v>2144</v>
      </c>
      <c r="E1121" t="s">
        <v>4</v>
      </c>
      <c r="F1121" t="s">
        <v>4035</v>
      </c>
      <c r="G1121" t="s">
        <v>4</v>
      </c>
      <c r="H1121" t="s">
        <v>4</v>
      </c>
      <c r="I1121" t="str">
        <f t="shared" si="35"/>
        <v/>
      </c>
    </row>
    <row r="1122" spans="1:9">
      <c r="A1122">
        <v>1108</v>
      </c>
      <c r="B1122" t="str">
        <f t="shared" si="34"/>
        <v>geoffrey theodore glass</v>
      </c>
      <c r="C1122" t="s">
        <v>2145</v>
      </c>
      <c r="D1122" t="s">
        <v>2122</v>
      </c>
      <c r="E1122" t="s">
        <v>34</v>
      </c>
      <c r="F1122" t="s">
        <v>890</v>
      </c>
      <c r="G1122" t="s">
        <v>4</v>
      </c>
      <c r="H1122" t="s">
        <v>10</v>
      </c>
      <c r="I1122" t="str">
        <f t="shared" si="35"/>
        <v/>
      </c>
    </row>
    <row r="1123" spans="1:9">
      <c r="A1123">
        <v>1109</v>
      </c>
      <c r="B1123" t="str">
        <f t="shared" si="34"/>
        <v>debra l. givens</v>
      </c>
      <c r="C1123" t="s">
        <v>2146</v>
      </c>
      <c r="D1123" t="s">
        <v>1778</v>
      </c>
      <c r="E1123" t="s">
        <v>257</v>
      </c>
      <c r="F1123" t="s">
        <v>1171</v>
      </c>
      <c r="G1123" t="s">
        <v>1361</v>
      </c>
      <c r="H1123" t="s">
        <v>103</v>
      </c>
      <c r="I1123" t="str">
        <f t="shared" si="35"/>
        <v/>
      </c>
    </row>
    <row r="1124" spans="1:9">
      <c r="A1124">
        <v>1110</v>
      </c>
      <c r="B1124" t="str">
        <f t="shared" si="34"/>
        <v>harvey  giss</v>
      </c>
      <c r="C1124" t="s">
        <v>2147</v>
      </c>
      <c r="D1124" t="s">
        <v>669</v>
      </c>
      <c r="E1124" t="s">
        <v>4</v>
      </c>
      <c r="F1124" t="s">
        <v>2148</v>
      </c>
      <c r="G1124" t="s">
        <v>4</v>
      </c>
      <c r="H1124" t="s">
        <v>10</v>
      </c>
      <c r="I1124" t="str">
        <f t="shared" si="35"/>
        <v/>
      </c>
    </row>
    <row r="1125" spans="1:9">
      <c r="A1125">
        <v>1111</v>
      </c>
      <c r="B1125" t="str">
        <f t="shared" si="34"/>
        <v>loretta margaret giorqi</v>
      </c>
      <c r="C1125" t="s">
        <v>2149</v>
      </c>
      <c r="D1125" t="s">
        <v>2150</v>
      </c>
      <c r="E1125" t="s">
        <v>1016</v>
      </c>
      <c r="F1125" t="s">
        <v>4127</v>
      </c>
      <c r="G1125" t="s">
        <v>4</v>
      </c>
      <c r="H1125" t="s">
        <v>4</v>
      </c>
      <c r="I1125" t="str">
        <f t="shared" si="35"/>
        <v/>
      </c>
    </row>
    <row r="1126" spans="1:9">
      <c r="A1126">
        <v>1112</v>
      </c>
      <c r="B1126" t="str">
        <f t="shared" si="34"/>
        <v>eugene s. gini</v>
      </c>
      <c r="C1126" t="s">
        <v>2151</v>
      </c>
      <c r="D1126" t="s">
        <v>407</v>
      </c>
      <c r="E1126" t="s">
        <v>174</v>
      </c>
      <c r="F1126" t="s">
        <v>278</v>
      </c>
      <c r="G1126" t="s">
        <v>1044</v>
      </c>
      <c r="H1126" t="s">
        <v>10</v>
      </c>
      <c r="I1126" t="str">
        <f t="shared" si="35"/>
        <v/>
      </c>
    </row>
    <row r="1127" spans="1:9">
      <c r="A1127">
        <v>1113</v>
      </c>
      <c r="B1127" t="str">
        <f t="shared" si="34"/>
        <v>maryanne g. gilliard</v>
      </c>
      <c r="C1127" t="s">
        <v>2152</v>
      </c>
      <c r="D1127" t="s">
        <v>2153</v>
      </c>
      <c r="E1127" t="s">
        <v>156</v>
      </c>
      <c r="F1127" t="s">
        <v>32</v>
      </c>
      <c r="G1127" t="s">
        <v>132</v>
      </c>
      <c r="H1127" t="s">
        <v>10</v>
      </c>
      <c r="I1127" t="str">
        <f t="shared" si="35"/>
        <v/>
      </c>
    </row>
    <row r="1128" spans="1:9">
      <c r="A1128">
        <v>1114</v>
      </c>
      <c r="B1128" t="str">
        <f t="shared" si="34"/>
        <v>susan marie gill</v>
      </c>
      <c r="C1128" t="s">
        <v>2154</v>
      </c>
      <c r="D1128" t="s">
        <v>676</v>
      </c>
      <c r="E1128" t="s">
        <v>43</v>
      </c>
      <c r="F1128" t="s">
        <v>32</v>
      </c>
      <c r="G1128" t="s">
        <v>95</v>
      </c>
      <c r="H1128" t="s">
        <v>103</v>
      </c>
      <c r="I1128" t="str">
        <f t="shared" si="35"/>
        <v/>
      </c>
    </row>
    <row r="1129" spans="1:9">
      <c r="A1129">
        <v>1115</v>
      </c>
      <c r="B1129" t="str">
        <f t="shared" si="34"/>
        <v>david m. gill</v>
      </c>
      <c r="C1129" t="s">
        <v>2154</v>
      </c>
      <c r="D1129" t="s">
        <v>28</v>
      </c>
      <c r="E1129" t="s">
        <v>189</v>
      </c>
      <c r="F1129" t="s">
        <v>101</v>
      </c>
      <c r="G1129" t="s">
        <v>102</v>
      </c>
      <c r="H1129" t="s">
        <v>103</v>
      </c>
      <c r="I1129" t="str">
        <f t="shared" si="35"/>
        <v/>
      </c>
    </row>
    <row r="1130" spans="1:9">
      <c r="A1130">
        <v>1116</v>
      </c>
      <c r="B1130" t="str">
        <f t="shared" si="34"/>
        <v>charles r. gill</v>
      </c>
      <c r="C1130" t="s">
        <v>2154</v>
      </c>
      <c r="D1130" t="s">
        <v>35</v>
      </c>
      <c r="E1130" t="s">
        <v>265</v>
      </c>
      <c r="F1130" t="s">
        <v>101</v>
      </c>
      <c r="G1130" t="s">
        <v>102</v>
      </c>
      <c r="H1130" t="s">
        <v>103</v>
      </c>
      <c r="I1130" t="str">
        <f t="shared" si="35"/>
        <v/>
      </c>
    </row>
    <row r="1131" spans="1:9">
      <c r="A1131">
        <v>1117</v>
      </c>
      <c r="B1131" t="str">
        <f t="shared" si="34"/>
        <v>arthur  gilbert</v>
      </c>
      <c r="C1131" t="s">
        <v>1176</v>
      </c>
      <c r="D1131" t="s">
        <v>169</v>
      </c>
      <c r="E1131" t="s">
        <v>4</v>
      </c>
      <c r="F1131" t="s">
        <v>19</v>
      </c>
      <c r="G1131" t="s">
        <v>20</v>
      </c>
      <c r="H1131" t="s">
        <v>21</v>
      </c>
      <c r="I1131" t="str">
        <f t="shared" si="35"/>
        <v/>
      </c>
    </row>
    <row r="1132" spans="1:9">
      <c r="A1132">
        <v>1118</v>
      </c>
      <c r="B1132" t="str">
        <f t="shared" si="34"/>
        <v>john b. gibson</v>
      </c>
      <c r="C1132" t="s">
        <v>2155</v>
      </c>
      <c r="D1132" t="s">
        <v>7</v>
      </c>
      <c r="E1132" t="s">
        <v>400</v>
      </c>
      <c r="F1132" t="s">
        <v>32</v>
      </c>
      <c r="G1132" t="s">
        <v>2156</v>
      </c>
      <c r="H1132" t="s">
        <v>36</v>
      </c>
      <c r="I1132" t="str">
        <f t="shared" si="35"/>
        <v/>
      </c>
    </row>
    <row r="1133" spans="1:9">
      <c r="A1133">
        <v>1119</v>
      </c>
      <c r="B1133" t="str">
        <f t="shared" si="34"/>
        <v>wendy human resources g. getty</v>
      </c>
      <c r="C1133" t="s">
        <v>2157</v>
      </c>
      <c r="D1133" t="s">
        <v>1709</v>
      </c>
      <c r="E1133" t="s">
        <v>2158</v>
      </c>
      <c r="F1133" t="s">
        <v>2159</v>
      </c>
      <c r="G1133" t="s">
        <v>4</v>
      </c>
      <c r="H1133" t="s">
        <v>36</v>
      </c>
      <c r="I1133" t="str">
        <f t="shared" si="35"/>
        <v/>
      </c>
    </row>
    <row r="1134" spans="1:9">
      <c r="A1134">
        <v>1120</v>
      </c>
      <c r="B1134" t="str">
        <f t="shared" si="34"/>
        <v>stephanie  george</v>
      </c>
      <c r="C1134" t="s">
        <v>237</v>
      </c>
      <c r="D1134" t="s">
        <v>595</v>
      </c>
      <c r="E1134" t="s">
        <v>4</v>
      </c>
      <c r="F1134" t="s">
        <v>4128</v>
      </c>
      <c r="G1134" t="s">
        <v>4</v>
      </c>
      <c r="H1134" t="s">
        <v>4</v>
      </c>
      <c r="I1134" t="str">
        <f t="shared" si="35"/>
        <v/>
      </c>
    </row>
    <row r="1135" spans="1:9">
      <c r="A1135">
        <v>1121</v>
      </c>
      <c r="B1135" t="str">
        <f t="shared" si="34"/>
        <v>william charles gentry jr</v>
      </c>
      <c r="C1135" t="s">
        <v>2160</v>
      </c>
      <c r="D1135" t="s">
        <v>155</v>
      </c>
      <c r="E1135" t="s">
        <v>35</v>
      </c>
      <c r="F1135" t="s">
        <v>101</v>
      </c>
      <c r="G1135" t="s">
        <v>102</v>
      </c>
      <c r="H1135" t="s">
        <v>103</v>
      </c>
      <c r="I1135" t="str">
        <f t="shared" si="35"/>
        <v/>
      </c>
    </row>
    <row r="1136" spans="1:9">
      <c r="A1136">
        <v>1122</v>
      </c>
      <c r="B1136" t="str">
        <f t="shared" si="34"/>
        <v>george  genesta</v>
      </c>
      <c r="C1136" t="s">
        <v>2161</v>
      </c>
      <c r="D1136" t="s">
        <v>237</v>
      </c>
      <c r="E1136" t="s">
        <v>4</v>
      </c>
      <c r="F1136" t="s">
        <v>49</v>
      </c>
      <c r="G1136" t="s">
        <v>135</v>
      </c>
      <c r="H1136" t="s">
        <v>10</v>
      </c>
      <c r="I1136" t="str">
        <f t="shared" si="35"/>
        <v/>
      </c>
    </row>
    <row r="1137" spans="1:9">
      <c r="A1137">
        <v>1123</v>
      </c>
      <c r="B1137" t="str">
        <f t="shared" si="34"/>
        <v>davio brian gel found</v>
      </c>
      <c r="C1137" t="s">
        <v>2162</v>
      </c>
      <c r="D1137" t="s">
        <v>2163</v>
      </c>
      <c r="E1137" t="s">
        <v>57</v>
      </c>
      <c r="F1137" t="s">
        <v>25</v>
      </c>
      <c r="G1137" t="s">
        <v>4</v>
      </c>
      <c r="H1137" t="s">
        <v>36</v>
      </c>
      <c r="I1137" t="str">
        <f t="shared" si="35"/>
        <v/>
      </c>
    </row>
    <row r="1138" spans="1:9">
      <c r="A1138">
        <v>1124</v>
      </c>
      <c r="B1138" t="str">
        <f t="shared" si="34"/>
        <v>delbert c. gee</v>
      </c>
      <c r="C1138" t="s">
        <v>2164</v>
      </c>
      <c r="D1138" t="s">
        <v>1126</v>
      </c>
      <c r="E1138" t="s">
        <v>332</v>
      </c>
      <c r="F1138" t="s">
        <v>32</v>
      </c>
      <c r="G1138" t="s">
        <v>9</v>
      </c>
      <c r="H1138" t="s">
        <v>103</v>
      </c>
      <c r="I1138" t="str">
        <f t="shared" si="35"/>
        <v/>
      </c>
    </row>
    <row r="1139" spans="1:9">
      <c r="A1139">
        <v>1125</v>
      </c>
      <c r="B1139" t="str">
        <f t="shared" si="34"/>
        <v>donna d. geck</v>
      </c>
      <c r="C1139" t="s">
        <v>2165</v>
      </c>
      <c r="D1139" t="s">
        <v>471</v>
      </c>
      <c r="E1139" t="s">
        <v>186</v>
      </c>
      <c r="F1139" t="s">
        <v>4129</v>
      </c>
      <c r="G1139" t="s">
        <v>4</v>
      </c>
      <c r="H1139" t="s">
        <v>4</v>
      </c>
      <c r="I1139" t="str">
        <f t="shared" si="35"/>
        <v/>
      </c>
    </row>
    <row r="1140" spans="1:9">
      <c r="A1140">
        <v>1126</v>
      </c>
      <c r="B1140" t="str">
        <f t="shared" si="34"/>
        <v>gregory stephen gaul</v>
      </c>
      <c r="C1140" t="s">
        <v>2166</v>
      </c>
      <c r="D1140" t="s">
        <v>468</v>
      </c>
      <c r="E1140" t="s">
        <v>183</v>
      </c>
      <c r="F1140" t="s">
        <v>2167</v>
      </c>
      <c r="G1140" t="s">
        <v>4</v>
      </c>
      <c r="H1140" t="s">
        <v>10</v>
      </c>
      <c r="I1140" t="str">
        <f t="shared" si="35"/>
        <v/>
      </c>
    </row>
    <row r="1141" spans="1:9">
      <c r="A1141">
        <v>1127</v>
      </c>
      <c r="B1141" t="str">
        <f t="shared" si="34"/>
        <v>john charles gastelum</v>
      </c>
      <c r="C1141" t="s">
        <v>2168</v>
      </c>
      <c r="D1141" t="s">
        <v>7</v>
      </c>
      <c r="E1141" t="s">
        <v>35</v>
      </c>
      <c r="F1141" t="s">
        <v>4106</v>
      </c>
      <c r="G1141" t="s">
        <v>2169</v>
      </c>
      <c r="H1141" t="s">
        <v>4</v>
      </c>
      <c r="I1141" t="str">
        <f t="shared" si="35"/>
        <v/>
      </c>
    </row>
    <row r="1142" spans="1:9">
      <c r="A1142">
        <v>1128</v>
      </c>
      <c r="B1142" t="str">
        <f t="shared" si="34"/>
        <v>brian gnawk gasdia</v>
      </c>
      <c r="C1142" t="s">
        <v>2170</v>
      </c>
      <c r="D1142" t="s">
        <v>57</v>
      </c>
      <c r="E1142" t="s">
        <v>2171</v>
      </c>
      <c r="F1142" t="s">
        <v>46</v>
      </c>
      <c r="G1142" t="s">
        <v>802</v>
      </c>
      <c r="H1142" t="s">
        <v>10</v>
      </c>
      <c r="I1142" t="str">
        <f t="shared" si="35"/>
        <v/>
      </c>
    </row>
    <row r="1143" spans="1:9">
      <c r="A1143">
        <v>1129</v>
      </c>
      <c r="B1143" t="str">
        <f t="shared" si="34"/>
        <v>thomas steven garza</v>
      </c>
      <c r="C1143" t="s">
        <v>2172</v>
      </c>
      <c r="D1143" t="s">
        <v>27</v>
      </c>
      <c r="E1143" t="s">
        <v>339</v>
      </c>
      <c r="F1143" t="s">
        <v>32</v>
      </c>
      <c r="G1143" t="s">
        <v>4</v>
      </c>
      <c r="H1143" t="s">
        <v>36</v>
      </c>
      <c r="I1143" t="str">
        <f t="shared" si="35"/>
        <v/>
      </c>
    </row>
    <row r="1144" spans="1:9">
      <c r="A1144">
        <v>1130</v>
      </c>
      <c r="B1144" t="str">
        <f t="shared" si="34"/>
        <v>donna gunnell garza</v>
      </c>
      <c r="C1144" t="s">
        <v>2172</v>
      </c>
      <c r="D1144" t="s">
        <v>471</v>
      </c>
      <c r="E1144" t="s">
        <v>2173</v>
      </c>
      <c r="F1144" t="s">
        <v>371</v>
      </c>
      <c r="G1144" t="s">
        <v>626</v>
      </c>
      <c r="H1144" t="s">
        <v>2174</v>
      </c>
      <c r="I1144" t="str">
        <f t="shared" si="35"/>
        <v/>
      </c>
    </row>
    <row r="1145" spans="1:9">
      <c r="A1145">
        <v>1131</v>
      </c>
      <c r="B1145" t="str">
        <f t="shared" si="34"/>
        <v xml:space="preserve">  garymatthew j</v>
      </c>
      <c r="C1145" t="s">
        <v>2175</v>
      </c>
      <c r="D1145" t="s">
        <v>4</v>
      </c>
      <c r="E1145" t="s">
        <v>4</v>
      </c>
      <c r="F1145" t="s">
        <v>49</v>
      </c>
      <c r="G1145" t="s">
        <v>377</v>
      </c>
      <c r="H1145" t="s">
        <v>10</v>
      </c>
      <c r="I1145" t="str">
        <f t="shared" si="35"/>
        <v/>
      </c>
    </row>
    <row r="1146" spans="1:9">
      <c r="A1146">
        <v>1132</v>
      </c>
      <c r="B1146" t="str">
        <f t="shared" si="34"/>
        <v>ramona joyce garrett</v>
      </c>
      <c r="C1146" t="s">
        <v>112</v>
      </c>
      <c r="D1146" t="s">
        <v>709</v>
      </c>
      <c r="E1146" t="s">
        <v>1755</v>
      </c>
      <c r="F1146" t="s">
        <v>32</v>
      </c>
      <c r="G1146" t="s">
        <v>2002</v>
      </c>
      <c r="H1146" t="s">
        <v>10</v>
      </c>
      <c r="I1146" t="str">
        <f t="shared" si="35"/>
        <v/>
      </c>
    </row>
    <row r="1147" spans="1:9">
      <c r="A1147">
        <v>1133</v>
      </c>
      <c r="B1147" t="str">
        <f t="shared" si="34"/>
        <v>ginger e. garret</v>
      </c>
      <c r="C1147" t="s">
        <v>2176</v>
      </c>
      <c r="D1147" t="s">
        <v>2177</v>
      </c>
      <c r="E1147" t="s">
        <v>127</v>
      </c>
      <c r="F1147" t="s">
        <v>2178</v>
      </c>
      <c r="G1147" t="s">
        <v>4</v>
      </c>
      <c r="H1147" t="s">
        <v>4</v>
      </c>
      <c r="I1147" t="str">
        <f t="shared" si="35"/>
        <v/>
      </c>
    </row>
    <row r="1148" spans="1:9">
      <c r="A1148">
        <v>1134</v>
      </c>
      <c r="B1148" t="str">
        <f t="shared" si="34"/>
        <v>patricia  garcia</v>
      </c>
      <c r="C1148" t="s">
        <v>2179</v>
      </c>
      <c r="D1148" t="s">
        <v>419</v>
      </c>
      <c r="E1148" t="s">
        <v>4</v>
      </c>
      <c r="F1148" t="s">
        <v>101</v>
      </c>
      <c r="G1148" t="s">
        <v>102</v>
      </c>
      <c r="H1148" t="s">
        <v>103</v>
      </c>
      <c r="I1148" t="str">
        <f t="shared" si="35"/>
        <v/>
      </c>
    </row>
    <row r="1149" spans="1:9">
      <c r="A1149">
        <v>1135</v>
      </c>
      <c r="B1149" t="str">
        <f t="shared" si="34"/>
        <v>michael  garcia</v>
      </c>
      <c r="C1149" t="s">
        <v>2179</v>
      </c>
      <c r="D1149" t="s">
        <v>219</v>
      </c>
      <c r="E1149" t="s">
        <v>4</v>
      </c>
      <c r="F1149" t="s">
        <v>1749</v>
      </c>
      <c r="G1149" t="s">
        <v>4</v>
      </c>
      <c r="H1149" t="s">
        <v>4</v>
      </c>
      <c r="I1149" t="str">
        <f t="shared" si="35"/>
        <v/>
      </c>
    </row>
    <row r="1150" spans="1:9">
      <c r="A1150">
        <v>1136</v>
      </c>
      <c r="B1150" t="str">
        <f t="shared" si="34"/>
        <v>marc  garcia</v>
      </c>
      <c r="C1150" t="s">
        <v>2179</v>
      </c>
      <c r="D1150" t="s">
        <v>1479</v>
      </c>
      <c r="E1150" t="s">
        <v>4</v>
      </c>
      <c r="F1150" t="s">
        <v>571</v>
      </c>
      <c r="G1150" t="s">
        <v>1001</v>
      </c>
      <c r="H1150" t="s">
        <v>10</v>
      </c>
      <c r="I1150" t="str">
        <f t="shared" si="35"/>
        <v/>
      </c>
    </row>
    <row r="1151" spans="1:9">
      <c r="A1151">
        <v>1137</v>
      </c>
      <c r="B1151" t="str">
        <f t="shared" si="34"/>
        <v>arthur alvarez garcia</v>
      </c>
      <c r="C1151" t="s">
        <v>2179</v>
      </c>
      <c r="D1151" t="s">
        <v>169</v>
      </c>
      <c r="E1151" t="s">
        <v>2180</v>
      </c>
      <c r="F1151" t="s">
        <v>32</v>
      </c>
      <c r="G1151" t="s">
        <v>2181</v>
      </c>
      <c r="H1151" t="s">
        <v>10</v>
      </c>
      <c r="I1151" t="str">
        <f t="shared" si="35"/>
        <v/>
      </c>
    </row>
    <row r="1152" spans="1:9">
      <c r="A1152">
        <v>1138</v>
      </c>
      <c r="B1152" t="str">
        <f t="shared" si="34"/>
        <v>bernard j garber</v>
      </c>
      <c r="C1152" t="s">
        <v>2182</v>
      </c>
      <c r="D1152" t="s">
        <v>733</v>
      </c>
      <c r="E1152" t="s">
        <v>1296</v>
      </c>
      <c r="F1152" t="s">
        <v>32</v>
      </c>
      <c r="G1152" t="s">
        <v>292</v>
      </c>
      <c r="H1152" t="s">
        <v>103</v>
      </c>
      <c r="I1152" t="str">
        <f t="shared" si="35"/>
        <v/>
      </c>
    </row>
    <row r="1153" spans="1:9">
      <c r="A1153">
        <v>1139</v>
      </c>
      <c r="B1153" t="str">
        <f t="shared" si="34"/>
        <v>john  garaventa</v>
      </c>
      <c r="C1153" t="s">
        <v>2183</v>
      </c>
      <c r="D1153" t="s">
        <v>7</v>
      </c>
      <c r="E1153" t="s">
        <v>4</v>
      </c>
      <c r="F1153" t="s">
        <v>2184</v>
      </c>
      <c r="G1153" t="s">
        <v>2185</v>
      </c>
      <c r="H1153" t="s">
        <v>36</v>
      </c>
      <c r="I1153" t="str">
        <f t="shared" si="35"/>
        <v/>
      </c>
    </row>
    <row r="1154" spans="1:9">
      <c r="A1154">
        <v>1140</v>
      </c>
      <c r="B1154" t="str">
        <f t="shared" si="34"/>
        <v>robert charles gannonjr</v>
      </c>
      <c r="C1154" t="s">
        <v>2186</v>
      </c>
      <c r="D1154" t="s">
        <v>72</v>
      </c>
      <c r="E1154" t="s">
        <v>35</v>
      </c>
      <c r="F1154" t="s">
        <v>32</v>
      </c>
      <c r="G1154" t="s">
        <v>725</v>
      </c>
      <c r="H1154" t="s">
        <v>10</v>
      </c>
      <c r="I1154" t="str">
        <f t="shared" si="35"/>
        <v/>
      </c>
    </row>
    <row r="1155" spans="1:9">
      <c r="A1155">
        <v>1141</v>
      </c>
      <c r="B1155" t="str">
        <f t="shared" ref="B1155:B1218" si="36">TRIM($D1155) &amp; " " &amp; TRIM($E1155) &amp; " " &amp; TRIM($C1155)</f>
        <v>stephen jeffrey gallon</v>
      </c>
      <c r="C1155" t="s">
        <v>2187</v>
      </c>
      <c r="D1155" t="s">
        <v>183</v>
      </c>
      <c r="E1155" t="s">
        <v>446</v>
      </c>
      <c r="F1155" t="s">
        <v>921</v>
      </c>
      <c r="G1155" t="s">
        <v>118</v>
      </c>
      <c r="H1155" t="s">
        <v>10</v>
      </c>
      <c r="I1155" t="str">
        <f t="shared" ref="I1155:I1218" si="37">IF(NOT(ISERROR(FIND("judge",F1155))),"judge","")</f>
        <v/>
      </c>
    </row>
    <row r="1156" spans="1:9">
      <c r="A1156">
        <v>1142</v>
      </c>
      <c r="B1156" t="str">
        <f t="shared" si="36"/>
        <v>john michael gallagher</v>
      </c>
      <c r="C1156" t="s">
        <v>2188</v>
      </c>
      <c r="D1156" t="s">
        <v>7</v>
      </c>
      <c r="E1156" t="s">
        <v>219</v>
      </c>
      <c r="F1156" t="s">
        <v>4130</v>
      </c>
      <c r="G1156" t="s">
        <v>4</v>
      </c>
      <c r="H1156" t="s">
        <v>4</v>
      </c>
      <c r="I1156" t="str">
        <f t="shared" si="37"/>
        <v/>
      </c>
    </row>
    <row r="1157" spans="1:9">
      <c r="A1157">
        <v>1143</v>
      </c>
      <c r="B1157" t="str">
        <f t="shared" si="36"/>
        <v>william daniel gallagher</v>
      </c>
      <c r="C1157" t="s">
        <v>2188</v>
      </c>
      <c r="D1157" t="s">
        <v>155</v>
      </c>
      <c r="E1157" t="s">
        <v>23</v>
      </c>
      <c r="F1157" t="s">
        <v>2189</v>
      </c>
      <c r="G1157" t="s">
        <v>4</v>
      </c>
      <c r="H1157" t="s">
        <v>10</v>
      </c>
      <c r="I1157" t="str">
        <f t="shared" si="37"/>
        <v/>
      </c>
    </row>
    <row r="1158" spans="1:9">
      <c r="A1158">
        <v>1144</v>
      </c>
      <c r="B1158" t="str">
        <f t="shared" si="36"/>
        <v>peter l. gallagher</v>
      </c>
      <c r="C1158" t="s">
        <v>2188</v>
      </c>
      <c r="D1158" t="s">
        <v>336</v>
      </c>
      <c r="E1158" t="s">
        <v>257</v>
      </c>
      <c r="F1158" t="s">
        <v>101</v>
      </c>
      <c r="G1158" t="s">
        <v>102</v>
      </c>
      <c r="H1158" t="s">
        <v>103</v>
      </c>
      <c r="I1158" t="str">
        <f t="shared" si="37"/>
        <v/>
      </c>
    </row>
    <row r="1159" spans="1:9">
      <c r="A1159">
        <v>1145</v>
      </c>
      <c r="B1159" t="str">
        <f t="shared" si="36"/>
        <v>donald fitzgerald gaffney</v>
      </c>
      <c r="C1159" t="s">
        <v>2190</v>
      </c>
      <c r="D1159" t="s">
        <v>509</v>
      </c>
      <c r="E1159" t="s">
        <v>2191</v>
      </c>
      <c r="F1159" t="s">
        <v>2192</v>
      </c>
      <c r="G1159" t="s">
        <v>4</v>
      </c>
      <c r="H1159" t="s">
        <v>4</v>
      </c>
      <c r="I1159" t="str">
        <f t="shared" si="37"/>
        <v/>
      </c>
    </row>
    <row r="1160" spans="1:9">
      <c r="A1160">
        <v>1146</v>
      </c>
      <c r="B1160" t="str">
        <f t="shared" si="36"/>
        <v>michael joseph gaffey</v>
      </c>
      <c r="C1160" t="s">
        <v>2193</v>
      </c>
      <c r="D1160" t="s">
        <v>219</v>
      </c>
      <c r="E1160" t="s">
        <v>80</v>
      </c>
      <c r="F1160" t="s">
        <v>4131</v>
      </c>
      <c r="G1160" t="s">
        <v>176</v>
      </c>
      <c r="H1160" t="s">
        <v>4</v>
      </c>
      <c r="I1160" t="str">
        <f t="shared" si="37"/>
        <v/>
      </c>
    </row>
    <row r="1161" spans="1:9">
      <c r="A1161">
        <v>1147</v>
      </c>
      <c r="B1161" t="str">
        <f t="shared" si="36"/>
        <v>larry dean gaddis</v>
      </c>
      <c r="C1161" t="s">
        <v>2194</v>
      </c>
      <c r="D1161" t="s">
        <v>1969</v>
      </c>
      <c r="E1161" t="s">
        <v>535</v>
      </c>
      <c r="F1161" t="s">
        <v>2195</v>
      </c>
      <c r="G1161" t="s">
        <v>4</v>
      </c>
      <c r="H1161" t="s">
        <v>4</v>
      </c>
      <c r="I1161" t="str">
        <f t="shared" si="37"/>
        <v/>
      </c>
    </row>
    <row r="1162" spans="1:9">
      <c r="A1162">
        <v>1148</v>
      </c>
      <c r="B1162" t="str">
        <f t="shared" si="36"/>
        <v>janet deputy gaard</v>
      </c>
      <c r="C1162" t="s">
        <v>2196</v>
      </c>
      <c r="D1162" t="s">
        <v>2197</v>
      </c>
      <c r="E1162" t="s">
        <v>2198</v>
      </c>
      <c r="F1162" t="s">
        <v>860</v>
      </c>
      <c r="G1162" t="s">
        <v>4</v>
      </c>
      <c r="H1162" t="s">
        <v>10</v>
      </c>
      <c r="I1162" t="str">
        <f t="shared" si="37"/>
        <v/>
      </c>
    </row>
    <row r="1163" spans="1:9">
      <c r="A1163">
        <v>1149</v>
      </c>
      <c r="B1163" t="str">
        <f t="shared" si="36"/>
        <v>kimberly anne gaab</v>
      </c>
      <c r="C1163" t="s">
        <v>2199</v>
      </c>
      <c r="D1163" t="s">
        <v>1187</v>
      </c>
      <c r="E1163" t="s">
        <v>1452</v>
      </c>
      <c r="F1163" t="s">
        <v>1061</v>
      </c>
      <c r="G1163" t="s">
        <v>4</v>
      </c>
      <c r="H1163" t="s">
        <v>36</v>
      </c>
      <c r="I1163" t="str">
        <f t="shared" si="37"/>
        <v/>
      </c>
    </row>
    <row r="1164" spans="1:9">
      <c r="A1164">
        <v>1150</v>
      </c>
      <c r="B1164" t="str">
        <f t="shared" si="36"/>
        <v>richard david fybel</v>
      </c>
      <c r="C1164" t="s">
        <v>2200</v>
      </c>
      <c r="D1164" t="s">
        <v>173</v>
      </c>
      <c r="E1164" t="s">
        <v>28</v>
      </c>
      <c r="F1164" t="s">
        <v>19</v>
      </c>
      <c r="G1164" t="s">
        <v>2201</v>
      </c>
      <c r="H1164" t="s">
        <v>212</v>
      </c>
      <c r="I1164" t="str">
        <f t="shared" si="37"/>
        <v/>
      </c>
    </row>
    <row r="1165" spans="1:9">
      <c r="A1165">
        <v>1151</v>
      </c>
      <c r="B1165" t="str">
        <f t="shared" si="36"/>
        <v>mary e fuller</v>
      </c>
      <c r="C1165" t="s">
        <v>2202</v>
      </c>
      <c r="D1165" t="s">
        <v>126</v>
      </c>
      <c r="E1165" t="s">
        <v>134</v>
      </c>
      <c r="F1165" t="s">
        <v>49</v>
      </c>
      <c r="G1165" t="s">
        <v>151</v>
      </c>
      <c r="H1165" t="s">
        <v>10</v>
      </c>
      <c r="I1165" t="str">
        <f t="shared" si="37"/>
        <v/>
      </c>
    </row>
    <row r="1166" spans="1:9">
      <c r="A1166">
        <v>1152</v>
      </c>
      <c r="B1166" t="str">
        <f t="shared" si="36"/>
        <v>j  fujioka fred</v>
      </c>
      <c r="C1166" t="s">
        <v>2203</v>
      </c>
      <c r="D1166" t="s">
        <v>1296</v>
      </c>
      <c r="E1166" t="s">
        <v>4</v>
      </c>
      <c r="F1166" t="s">
        <v>46</v>
      </c>
      <c r="G1166" t="s">
        <v>10</v>
      </c>
      <c r="H1166" t="s">
        <v>4</v>
      </c>
      <c r="I1166" t="str">
        <f t="shared" si="37"/>
        <v/>
      </c>
    </row>
    <row r="1167" spans="1:9">
      <c r="A1167">
        <v>1153</v>
      </c>
      <c r="B1167" t="str">
        <f t="shared" si="36"/>
        <v>keith h fudenna</v>
      </c>
      <c r="C1167" t="s">
        <v>2205</v>
      </c>
      <c r="D1167" t="s">
        <v>732</v>
      </c>
      <c r="E1167" t="s">
        <v>250</v>
      </c>
      <c r="F1167" t="s">
        <v>32</v>
      </c>
      <c r="G1167" t="s">
        <v>2206</v>
      </c>
      <c r="H1167" t="s">
        <v>10</v>
      </c>
      <c r="I1167" t="str">
        <f t="shared" si="37"/>
        <v/>
      </c>
    </row>
    <row r="1168" spans="1:9">
      <c r="A1168">
        <v>1154</v>
      </c>
      <c r="B1168" t="str">
        <f t="shared" si="36"/>
        <v>jr.  fruin richard l.</v>
      </c>
      <c r="C1168" t="s">
        <v>2207</v>
      </c>
      <c r="D1168" t="s">
        <v>2208</v>
      </c>
      <c r="E1168" t="s">
        <v>4</v>
      </c>
      <c r="F1168" t="s">
        <v>1749</v>
      </c>
      <c r="G1168" t="s">
        <v>4</v>
      </c>
      <c r="H1168" t="s">
        <v>4</v>
      </c>
      <c r="I1168" t="str">
        <f t="shared" si="37"/>
        <v/>
      </c>
    </row>
    <row r="1169" spans="1:9">
      <c r="A1169">
        <v>1155</v>
      </c>
      <c r="B1169" t="str">
        <f t="shared" si="36"/>
        <v>william richard froeberg</v>
      </c>
      <c r="C1169" t="s">
        <v>2209</v>
      </c>
      <c r="D1169" t="s">
        <v>155</v>
      </c>
      <c r="E1169" t="s">
        <v>173</v>
      </c>
      <c r="F1169" t="s">
        <v>137</v>
      </c>
      <c r="G1169" t="s">
        <v>4</v>
      </c>
      <c r="H1169" t="s">
        <v>36</v>
      </c>
      <c r="I1169" t="str">
        <f t="shared" si="37"/>
        <v/>
      </c>
    </row>
    <row r="1170" spans="1:9">
      <c r="A1170">
        <v>1156</v>
      </c>
      <c r="B1170" t="str">
        <f t="shared" si="36"/>
        <v>gary t friedman</v>
      </c>
      <c r="C1170" t="s">
        <v>2210</v>
      </c>
      <c r="D1170" t="s">
        <v>123</v>
      </c>
      <c r="E1170" t="s">
        <v>140</v>
      </c>
      <c r="F1170" t="s">
        <v>32</v>
      </c>
      <c r="G1170" t="s">
        <v>95</v>
      </c>
      <c r="H1170" t="s">
        <v>10</v>
      </c>
      <c r="I1170" t="str">
        <f t="shared" si="37"/>
        <v/>
      </c>
    </row>
    <row r="1171" spans="1:9">
      <c r="A1171">
        <v>1157</v>
      </c>
      <c r="B1171" t="str">
        <f t="shared" si="36"/>
        <v>gracilea carioao freixes</v>
      </c>
      <c r="C1171" t="s">
        <v>2211</v>
      </c>
      <c r="D1171" t="s">
        <v>2212</v>
      </c>
      <c r="E1171" t="s">
        <v>2213</v>
      </c>
      <c r="F1171" t="s">
        <v>32</v>
      </c>
      <c r="G1171" t="s">
        <v>40</v>
      </c>
      <c r="H1171" t="s">
        <v>10</v>
      </c>
      <c r="I1171" t="str">
        <f t="shared" si="37"/>
        <v/>
      </c>
    </row>
    <row r="1172" spans="1:9">
      <c r="A1172">
        <v>1158</v>
      </c>
      <c r="B1172" t="str">
        <f t="shared" si="36"/>
        <v>timothy francis freer</v>
      </c>
      <c r="C1172" t="s">
        <v>2214</v>
      </c>
      <c r="D1172" t="s">
        <v>264</v>
      </c>
      <c r="E1172" t="s">
        <v>405</v>
      </c>
      <c r="F1172" t="s">
        <v>835</v>
      </c>
      <c r="G1172" t="s">
        <v>4</v>
      </c>
      <c r="H1172" t="s">
        <v>36</v>
      </c>
      <c r="I1172" t="str">
        <f t="shared" si="37"/>
        <v/>
      </c>
    </row>
    <row r="1173" spans="1:9">
      <c r="A1173">
        <v>1159</v>
      </c>
      <c r="B1173" t="str">
        <f t="shared" si="36"/>
        <v>kenneth richard freeman</v>
      </c>
      <c r="C1173" t="s">
        <v>2215</v>
      </c>
      <c r="D1173" t="s">
        <v>60</v>
      </c>
      <c r="E1173" t="s">
        <v>173</v>
      </c>
      <c r="F1173" t="s">
        <v>25</v>
      </c>
      <c r="G1173" t="s">
        <v>4</v>
      </c>
      <c r="H1173" t="s">
        <v>4</v>
      </c>
      <c r="I1173" t="str">
        <f t="shared" si="37"/>
        <v/>
      </c>
    </row>
    <row r="1174" spans="1:9">
      <c r="A1174">
        <v>1160</v>
      </c>
      <c r="B1174" t="str">
        <f t="shared" si="36"/>
        <v>beth labson freeman</v>
      </c>
      <c r="C1174" t="s">
        <v>2215</v>
      </c>
      <c r="D1174" t="s">
        <v>1405</v>
      </c>
      <c r="E1174" t="s">
        <v>2216</v>
      </c>
      <c r="F1174" t="s">
        <v>231</v>
      </c>
      <c r="G1174" t="s">
        <v>4</v>
      </c>
      <c r="H1174" t="s">
        <v>10</v>
      </c>
      <c r="I1174" t="str">
        <f t="shared" si="37"/>
        <v/>
      </c>
    </row>
    <row r="1175" spans="1:9">
      <c r="A1175">
        <v>1161</v>
      </c>
      <c r="B1175" t="str">
        <f t="shared" si="36"/>
        <v>john daniel freeland</v>
      </c>
      <c r="C1175" t="s">
        <v>2217</v>
      </c>
      <c r="D1175" t="s">
        <v>7</v>
      </c>
      <c r="E1175" t="s">
        <v>23</v>
      </c>
      <c r="F1175" t="s">
        <v>4103</v>
      </c>
      <c r="G1175" t="s">
        <v>4</v>
      </c>
      <c r="H1175" t="s">
        <v>4</v>
      </c>
      <c r="I1175" t="str">
        <f t="shared" si="37"/>
        <v/>
      </c>
    </row>
    <row r="1176" spans="1:9">
      <c r="A1176">
        <v>1162</v>
      </c>
      <c r="B1176" t="str">
        <f t="shared" si="36"/>
        <v>robert brandies freedman</v>
      </c>
      <c r="C1176" t="s">
        <v>2218</v>
      </c>
      <c r="D1176" t="s">
        <v>72</v>
      </c>
      <c r="E1176" t="s">
        <v>2219</v>
      </c>
      <c r="F1176" t="s">
        <v>4132</v>
      </c>
      <c r="G1176" t="s">
        <v>4</v>
      </c>
      <c r="H1176" t="s">
        <v>4</v>
      </c>
      <c r="I1176" t="str">
        <f t="shared" si="37"/>
        <v/>
      </c>
    </row>
    <row r="1177" spans="1:9">
      <c r="A1177">
        <v>1163</v>
      </c>
      <c r="B1177" t="str">
        <f t="shared" si="36"/>
        <v>ronald f frazier</v>
      </c>
      <c r="C1177" t="s">
        <v>2220</v>
      </c>
      <c r="D1177" t="s">
        <v>413</v>
      </c>
      <c r="E1177" t="s">
        <v>288</v>
      </c>
      <c r="F1177" t="s">
        <v>101</v>
      </c>
      <c r="G1177" t="s">
        <v>102</v>
      </c>
      <c r="H1177" t="s">
        <v>103</v>
      </c>
      <c r="I1177" t="str">
        <f t="shared" si="37"/>
        <v/>
      </c>
    </row>
    <row r="1178" spans="1:9">
      <c r="A1178">
        <v>1164</v>
      </c>
      <c r="B1178" t="str">
        <f t="shared" si="36"/>
        <v>timothy michael frawley</v>
      </c>
      <c r="C1178" t="s">
        <v>2221</v>
      </c>
      <c r="D1178" t="s">
        <v>264</v>
      </c>
      <c r="E1178" t="s">
        <v>219</v>
      </c>
      <c r="F1178" t="s">
        <v>1304</v>
      </c>
      <c r="G1178" t="s">
        <v>49</v>
      </c>
      <c r="H1178" t="s">
        <v>10</v>
      </c>
      <c r="I1178" t="str">
        <f t="shared" si="37"/>
        <v/>
      </c>
    </row>
    <row r="1179" spans="1:9">
      <c r="A1179">
        <v>1165</v>
      </c>
      <c r="B1179" t="str">
        <f t="shared" si="36"/>
        <v>jeffrey f. fraser</v>
      </c>
      <c r="C1179" t="s">
        <v>2222</v>
      </c>
      <c r="D1179" t="s">
        <v>446</v>
      </c>
      <c r="E1179" t="s">
        <v>161</v>
      </c>
      <c r="F1179" t="s">
        <v>101</v>
      </c>
      <c r="G1179" t="s">
        <v>102</v>
      </c>
      <c r="H1179" t="s">
        <v>103</v>
      </c>
      <c r="I1179" t="str">
        <f t="shared" si="37"/>
        <v/>
      </c>
    </row>
    <row r="1180" spans="1:9">
      <c r="A1180">
        <v>1166</v>
      </c>
      <c r="B1180" t="str">
        <f t="shared" si="36"/>
        <v>donald ross franson</v>
      </c>
      <c r="C1180" t="s">
        <v>2223</v>
      </c>
      <c r="D1180" t="s">
        <v>509</v>
      </c>
      <c r="E1180" t="s">
        <v>852</v>
      </c>
      <c r="F1180" t="s">
        <v>1416</v>
      </c>
      <c r="G1180" t="s">
        <v>1026</v>
      </c>
      <c r="H1180" t="s">
        <v>4</v>
      </c>
      <c r="I1180" t="str">
        <f t="shared" si="37"/>
        <v/>
      </c>
    </row>
    <row r="1181" spans="1:9">
      <c r="A1181">
        <v>1167</v>
      </c>
      <c r="B1181" t="str">
        <f t="shared" si="36"/>
        <v>janet m frangie</v>
      </c>
      <c r="C1181" t="s">
        <v>2224</v>
      </c>
      <c r="D1181" t="s">
        <v>2197</v>
      </c>
      <c r="E1181" t="s">
        <v>410</v>
      </c>
      <c r="F1181" t="s">
        <v>74</v>
      </c>
      <c r="G1181" t="s">
        <v>2225</v>
      </c>
      <c r="H1181" t="s">
        <v>36</v>
      </c>
      <c r="I1181" t="str">
        <f t="shared" si="37"/>
        <v/>
      </c>
    </row>
    <row r="1182" spans="1:9">
      <c r="A1182">
        <v>1168</v>
      </c>
      <c r="B1182" t="str">
        <f t="shared" si="36"/>
        <v>don r franchi</v>
      </c>
      <c r="C1182" t="s">
        <v>2226</v>
      </c>
      <c r="D1182" t="s">
        <v>1083</v>
      </c>
      <c r="E1182" t="s">
        <v>53</v>
      </c>
      <c r="F1182" t="s">
        <v>231</v>
      </c>
      <c r="G1182" t="s">
        <v>4</v>
      </c>
      <c r="H1182" t="s">
        <v>10</v>
      </c>
      <c r="I1182" t="str">
        <f t="shared" si="37"/>
        <v/>
      </c>
    </row>
    <row r="1183" spans="1:9">
      <c r="A1183">
        <v>1169</v>
      </c>
      <c r="B1183" t="str">
        <f t="shared" si="36"/>
        <v>robert charles fracchia</v>
      </c>
      <c r="C1183" t="s">
        <v>2227</v>
      </c>
      <c r="D1183" t="s">
        <v>72</v>
      </c>
      <c r="E1183" t="s">
        <v>35</v>
      </c>
      <c r="F1183" t="s">
        <v>32</v>
      </c>
      <c r="G1183" t="s">
        <v>2002</v>
      </c>
      <c r="H1183" t="s">
        <v>103</v>
      </c>
      <c r="I1183" t="str">
        <f t="shared" si="37"/>
        <v/>
      </c>
    </row>
    <row r="1184" spans="1:9">
      <c r="A1184">
        <v>1170</v>
      </c>
      <c r="B1184" t="str">
        <f t="shared" si="36"/>
        <v>elden s. fox</v>
      </c>
      <c r="C1184" t="s">
        <v>2228</v>
      </c>
      <c r="D1184" t="s">
        <v>2229</v>
      </c>
      <c r="E1184" t="s">
        <v>174</v>
      </c>
      <c r="F1184" t="s">
        <v>25</v>
      </c>
      <c r="G1184" t="s">
        <v>2230</v>
      </c>
      <c r="H1184" t="s">
        <v>10</v>
      </c>
      <c r="I1184" t="str">
        <f t="shared" si="37"/>
        <v/>
      </c>
    </row>
    <row r="1185" spans="1:9">
      <c r="A1185">
        <v>1171</v>
      </c>
      <c r="B1185" t="str">
        <f t="shared" si="36"/>
        <v>lori ann  fournier</v>
      </c>
      <c r="C1185" t="s">
        <v>2231</v>
      </c>
      <c r="D1185" t="s">
        <v>2232</v>
      </c>
      <c r="E1185" t="s">
        <v>4</v>
      </c>
      <c r="F1185" t="s">
        <v>2204</v>
      </c>
      <c r="G1185" t="s">
        <v>4</v>
      </c>
      <c r="H1185" t="s">
        <v>4</v>
      </c>
      <c r="I1185" t="str">
        <f t="shared" si="37"/>
        <v/>
      </c>
    </row>
    <row r="1186" spans="1:9">
      <c r="A1186">
        <v>1172</v>
      </c>
      <c r="B1186" t="str">
        <f t="shared" si="36"/>
        <v>lisa ann foster</v>
      </c>
      <c r="C1186" t="s">
        <v>270</v>
      </c>
      <c r="D1186" t="s">
        <v>753</v>
      </c>
      <c r="E1186" t="s">
        <v>3</v>
      </c>
      <c r="F1186" t="s">
        <v>101</v>
      </c>
      <c r="G1186" t="s">
        <v>102</v>
      </c>
      <c r="H1186" t="s">
        <v>103</v>
      </c>
      <c r="I1186" t="str">
        <f t="shared" si="37"/>
        <v/>
      </c>
    </row>
    <row r="1187" spans="1:9">
      <c r="A1187">
        <v>1173</v>
      </c>
      <c r="B1187" t="str">
        <f t="shared" si="36"/>
        <v>bryan francis foster</v>
      </c>
      <c r="C1187" t="s">
        <v>270</v>
      </c>
      <c r="D1187" t="s">
        <v>575</v>
      </c>
      <c r="E1187" t="s">
        <v>405</v>
      </c>
      <c r="F1187" t="s">
        <v>32</v>
      </c>
      <c r="G1187" t="s">
        <v>411</v>
      </c>
      <c r="H1187" t="s">
        <v>36</v>
      </c>
      <c r="I1187" t="str">
        <f t="shared" si="37"/>
        <v/>
      </c>
    </row>
    <row r="1188" spans="1:9">
      <c r="A1188">
        <v>1174</v>
      </c>
      <c r="B1188" t="str">
        <f t="shared" si="36"/>
        <v>mark richard forcum</v>
      </c>
      <c r="C1188" t="s">
        <v>2233</v>
      </c>
      <c r="D1188" t="s">
        <v>45</v>
      </c>
      <c r="E1188" t="s">
        <v>173</v>
      </c>
      <c r="F1188" t="s">
        <v>231</v>
      </c>
      <c r="G1188" t="s">
        <v>4</v>
      </c>
      <c r="H1188" t="s">
        <v>10</v>
      </c>
      <c r="I1188" t="str">
        <f t="shared" si="37"/>
        <v/>
      </c>
    </row>
    <row r="1189" spans="1:9">
      <c r="A1189">
        <v>1175</v>
      </c>
      <c r="B1189" t="str">
        <f t="shared" si="36"/>
        <v>peter betts foor</v>
      </c>
      <c r="C1189" t="s">
        <v>2234</v>
      </c>
      <c r="D1189" t="s">
        <v>336</v>
      </c>
      <c r="E1189" t="s">
        <v>2235</v>
      </c>
      <c r="F1189" t="s">
        <v>49</v>
      </c>
      <c r="G1189" t="s">
        <v>2236</v>
      </c>
      <c r="H1189" t="s">
        <v>10</v>
      </c>
      <c r="I1189" t="str">
        <f t="shared" si="37"/>
        <v/>
      </c>
    </row>
    <row r="1190" spans="1:9">
      <c r="A1190">
        <v>1176</v>
      </c>
      <c r="B1190" t="str">
        <f t="shared" si="36"/>
        <v>william h. follett</v>
      </c>
      <c r="C1190" t="s">
        <v>2237</v>
      </c>
      <c r="D1190" t="s">
        <v>155</v>
      </c>
      <c r="E1190" t="s">
        <v>957</v>
      </c>
      <c r="F1190" t="s">
        <v>4047</v>
      </c>
      <c r="G1190" t="s">
        <v>2238</v>
      </c>
      <c r="H1190" t="s">
        <v>4</v>
      </c>
      <c r="I1190" t="str">
        <f t="shared" si="37"/>
        <v/>
      </c>
    </row>
    <row r="1191" spans="1:9">
      <c r="A1191">
        <v>1177</v>
      </c>
      <c r="B1191" t="str">
        <f t="shared" si="36"/>
        <v>maureen ann folan</v>
      </c>
      <c r="C1191" t="s">
        <v>2239</v>
      </c>
      <c r="D1191" t="s">
        <v>2057</v>
      </c>
      <c r="E1191" t="s">
        <v>3</v>
      </c>
      <c r="F1191" t="s">
        <v>106</v>
      </c>
      <c r="G1191" t="s">
        <v>4</v>
      </c>
      <c r="H1191" t="s">
        <v>36</v>
      </c>
      <c r="I1191" t="str">
        <f t="shared" si="37"/>
        <v/>
      </c>
    </row>
    <row r="1192" spans="1:9">
      <c r="A1192">
        <v>1178</v>
      </c>
      <c r="B1192" t="str">
        <f t="shared" si="36"/>
        <v>robert d foiles</v>
      </c>
      <c r="C1192" t="s">
        <v>2240</v>
      </c>
      <c r="D1192" t="s">
        <v>72</v>
      </c>
      <c r="E1192" t="s">
        <v>570</v>
      </c>
      <c r="F1192" t="s">
        <v>231</v>
      </c>
      <c r="G1192" t="s">
        <v>4</v>
      </c>
      <c r="H1192" t="s">
        <v>10</v>
      </c>
      <c r="I1192" t="str">
        <f t="shared" si="37"/>
        <v/>
      </c>
    </row>
    <row r="1193" spans="1:9">
      <c r="A1193">
        <v>1179</v>
      </c>
      <c r="B1193" t="str">
        <f t="shared" si="36"/>
        <v>john laurence br flynn iii</v>
      </c>
      <c r="C1193" t="s">
        <v>2241</v>
      </c>
      <c r="D1193" t="s">
        <v>7</v>
      </c>
      <c r="E1193" t="s">
        <v>2242</v>
      </c>
      <c r="F1193" t="s">
        <v>4036</v>
      </c>
      <c r="G1193" t="s">
        <v>4</v>
      </c>
      <c r="H1193" t="s">
        <v>4</v>
      </c>
      <c r="I1193" t="str">
        <f t="shared" si="37"/>
        <v/>
      </c>
    </row>
    <row r="1194" spans="1:9">
      <c r="A1194">
        <v>1180</v>
      </c>
      <c r="B1194" t="str">
        <f t="shared" si="36"/>
        <v>daniel county of sharta administration office edward flynn</v>
      </c>
      <c r="C1194" t="s">
        <v>2243</v>
      </c>
      <c r="D1194" t="s">
        <v>23</v>
      </c>
      <c r="E1194" t="s">
        <v>2244</v>
      </c>
      <c r="F1194" t="s">
        <v>2245</v>
      </c>
      <c r="G1194" t="s">
        <v>1482</v>
      </c>
      <c r="H1194" t="s">
        <v>36</v>
      </c>
      <c r="I1194" t="str">
        <f t="shared" si="37"/>
        <v/>
      </c>
    </row>
    <row r="1195" spans="1:9">
      <c r="A1195">
        <v>1181</v>
      </c>
      <c r="B1195" t="str">
        <f t="shared" si="36"/>
        <v>michele elizabeth flurer</v>
      </c>
      <c r="C1195" t="s">
        <v>2246</v>
      </c>
      <c r="D1195" t="s">
        <v>312</v>
      </c>
      <c r="E1195" t="s">
        <v>191</v>
      </c>
      <c r="F1195" t="s">
        <v>25</v>
      </c>
      <c r="G1195" t="s">
        <v>692</v>
      </c>
      <c r="H1195" t="s">
        <v>10</v>
      </c>
      <c r="I1195" t="str">
        <f t="shared" si="37"/>
        <v/>
      </c>
    </row>
    <row r="1196" spans="1:9">
      <c r="A1196">
        <v>1182</v>
      </c>
      <c r="B1196" t="str">
        <f t="shared" si="36"/>
        <v>rogelio roberto flores</v>
      </c>
      <c r="C1196" t="s">
        <v>2247</v>
      </c>
      <c r="D1196" t="s">
        <v>2248</v>
      </c>
      <c r="E1196" t="s">
        <v>2249</v>
      </c>
      <c r="F1196" t="s">
        <v>548</v>
      </c>
      <c r="G1196" t="s">
        <v>580</v>
      </c>
      <c r="H1196" t="s">
        <v>36</v>
      </c>
      <c r="I1196" t="str">
        <f t="shared" si="37"/>
        <v/>
      </c>
    </row>
    <row r="1197" spans="1:9">
      <c r="A1197">
        <v>1183</v>
      </c>
      <c r="B1197" t="str">
        <f t="shared" si="36"/>
        <v>poli(jr.)  flores</v>
      </c>
      <c r="C1197" t="s">
        <v>2247</v>
      </c>
      <c r="D1197" t="s">
        <v>2250</v>
      </c>
      <c r="E1197" t="s">
        <v>4</v>
      </c>
      <c r="F1197" t="s">
        <v>2251</v>
      </c>
      <c r="G1197" t="s">
        <v>922</v>
      </c>
      <c r="H1197" t="s">
        <v>36</v>
      </c>
      <c r="I1197" t="str">
        <f t="shared" si="37"/>
        <v/>
      </c>
    </row>
    <row r="1198" spans="1:9">
      <c r="A1198">
        <v>1184</v>
      </c>
      <c r="B1198" t="str">
        <f t="shared" si="36"/>
        <v>andrea elizabeth flint</v>
      </c>
      <c r="C1198" t="s">
        <v>2252</v>
      </c>
      <c r="D1198" t="s">
        <v>1931</v>
      </c>
      <c r="E1198" t="s">
        <v>191</v>
      </c>
      <c r="F1198" t="s">
        <v>106</v>
      </c>
      <c r="G1198" t="s">
        <v>4</v>
      </c>
      <c r="H1198" t="s">
        <v>10</v>
      </c>
      <c r="I1198" t="str">
        <f t="shared" si="37"/>
        <v/>
      </c>
    </row>
    <row r="1199" spans="1:9">
      <c r="A1199">
        <v>1185</v>
      </c>
      <c r="B1199" t="str">
        <f t="shared" si="36"/>
        <v>david bernard flinn</v>
      </c>
      <c r="C1199" t="s">
        <v>2253</v>
      </c>
      <c r="D1199" t="s">
        <v>28</v>
      </c>
      <c r="E1199" t="s">
        <v>733</v>
      </c>
      <c r="F1199" t="s">
        <v>49</v>
      </c>
      <c r="G1199" t="s">
        <v>512</v>
      </c>
      <c r="H1199" t="s">
        <v>10</v>
      </c>
      <c r="I1199" t="str">
        <f t="shared" si="37"/>
        <v/>
      </c>
    </row>
    <row r="1200" spans="1:9">
      <c r="A1200">
        <v>1186</v>
      </c>
      <c r="B1200" t="str">
        <f t="shared" si="36"/>
        <v>madeleine iris flier</v>
      </c>
      <c r="C1200" t="s">
        <v>2254</v>
      </c>
      <c r="D1200" t="s">
        <v>2255</v>
      </c>
      <c r="E1200" t="s">
        <v>2256</v>
      </c>
      <c r="F1200" t="s">
        <v>19</v>
      </c>
      <c r="G1200" t="s">
        <v>20</v>
      </c>
      <c r="H1200" t="s">
        <v>21</v>
      </c>
      <c r="I1200" t="str">
        <f t="shared" si="37"/>
        <v/>
      </c>
    </row>
    <row r="1201" spans="1:9">
      <c r="A1201">
        <v>1187</v>
      </c>
      <c r="B1201" t="str">
        <f t="shared" si="36"/>
        <v>jules e fleuret</v>
      </c>
      <c r="C1201" t="s">
        <v>2257</v>
      </c>
      <c r="D1201" t="s">
        <v>2258</v>
      </c>
      <c r="E1201" t="s">
        <v>134</v>
      </c>
      <c r="F1201" t="s">
        <v>49</v>
      </c>
      <c r="G1201" t="s">
        <v>1022</v>
      </c>
      <c r="H1201" t="s">
        <v>10</v>
      </c>
      <c r="I1201" t="str">
        <f t="shared" si="37"/>
        <v/>
      </c>
    </row>
    <row r="1202" spans="1:9">
      <c r="A1202">
        <v>1188</v>
      </c>
      <c r="B1202" t="str">
        <f t="shared" si="36"/>
        <v>hugh  flanagan</v>
      </c>
      <c r="C1202" t="s">
        <v>2259</v>
      </c>
      <c r="D1202" t="s">
        <v>272</v>
      </c>
      <c r="E1202" t="s">
        <v>4</v>
      </c>
      <c r="F1202" t="s">
        <v>1001</v>
      </c>
      <c r="G1202" t="s">
        <v>4</v>
      </c>
      <c r="H1202" t="s">
        <v>10</v>
      </c>
      <c r="I1202" t="str">
        <f t="shared" si="37"/>
        <v/>
      </c>
    </row>
    <row r="1203" spans="1:9">
      <c r="A1203">
        <v>1189</v>
      </c>
      <c r="B1203" t="str">
        <f t="shared" si="36"/>
        <v>tia graves fisher</v>
      </c>
      <c r="C1203" t="s">
        <v>1850</v>
      </c>
      <c r="D1203" t="s">
        <v>2260</v>
      </c>
      <c r="E1203" t="s">
        <v>2261</v>
      </c>
      <c r="F1203" t="s">
        <v>2204</v>
      </c>
      <c r="G1203" t="s">
        <v>4</v>
      </c>
      <c r="H1203" t="s">
        <v>4</v>
      </c>
      <c r="I1203" t="str">
        <f t="shared" si="37"/>
        <v/>
      </c>
    </row>
    <row r="1204" spans="1:9">
      <c r="A1204">
        <v>1190</v>
      </c>
      <c r="B1204" t="str">
        <f t="shared" si="36"/>
        <v>mac ray fisher</v>
      </c>
      <c r="C1204" t="s">
        <v>1850</v>
      </c>
      <c r="D1204" t="s">
        <v>1551</v>
      </c>
      <c r="E1204" t="s">
        <v>776</v>
      </c>
      <c r="F1204" t="s">
        <v>32</v>
      </c>
      <c r="G1204" t="s">
        <v>247</v>
      </c>
      <c r="H1204" t="s">
        <v>10</v>
      </c>
      <c r="I1204" t="str">
        <f t="shared" si="37"/>
        <v/>
      </c>
    </row>
    <row r="1205" spans="1:9">
      <c r="A1205">
        <v>1191</v>
      </c>
      <c r="B1205" t="str">
        <f t="shared" si="36"/>
        <v>john s fisher</v>
      </c>
      <c r="C1205" t="s">
        <v>1850</v>
      </c>
      <c r="D1205" t="s">
        <v>7</v>
      </c>
      <c r="E1205" t="s">
        <v>182</v>
      </c>
      <c r="F1205" t="s">
        <v>4062</v>
      </c>
      <c r="G1205" t="s">
        <v>4</v>
      </c>
      <c r="H1205" t="s">
        <v>4</v>
      </c>
      <c r="I1205" t="str">
        <f t="shared" si="37"/>
        <v/>
      </c>
    </row>
    <row r="1206" spans="1:9">
      <c r="A1206">
        <v>1192</v>
      </c>
      <c r="B1206" t="str">
        <f t="shared" si="36"/>
        <v>jonathan stuart fish</v>
      </c>
      <c r="C1206" t="s">
        <v>2262</v>
      </c>
      <c r="D1206" t="s">
        <v>630</v>
      </c>
      <c r="E1206" t="s">
        <v>521</v>
      </c>
      <c r="F1206" t="s">
        <v>32</v>
      </c>
      <c r="G1206" t="s">
        <v>725</v>
      </c>
      <c r="H1206" t="s">
        <v>103</v>
      </c>
      <c r="I1206" t="str">
        <f t="shared" si="37"/>
        <v/>
      </c>
    </row>
    <row r="1207" spans="1:9">
      <c r="A1207">
        <v>1193</v>
      </c>
      <c r="B1207" t="str">
        <f t="shared" si="36"/>
        <v>francisco felipe firmat</v>
      </c>
      <c r="C1207" t="s">
        <v>2263</v>
      </c>
      <c r="D1207" t="s">
        <v>2264</v>
      </c>
      <c r="E1207" t="s">
        <v>2265</v>
      </c>
      <c r="F1207" t="s">
        <v>1414</v>
      </c>
      <c r="G1207" t="s">
        <v>4</v>
      </c>
      <c r="H1207" t="s">
        <v>4</v>
      </c>
      <c r="I1207" t="str">
        <f t="shared" si="37"/>
        <v/>
      </c>
    </row>
    <row r="1208" spans="1:9">
      <c r="A1208">
        <v>1194</v>
      </c>
      <c r="B1208" t="str">
        <f t="shared" si="36"/>
        <v>curtis matthew florini</v>
      </c>
      <c r="C1208" t="s">
        <v>2266</v>
      </c>
      <c r="D1208" t="s">
        <v>533</v>
      </c>
      <c r="E1208" t="s">
        <v>974</v>
      </c>
      <c r="F1208" t="s">
        <v>714</v>
      </c>
      <c r="G1208" t="s">
        <v>4</v>
      </c>
      <c r="H1208" t="s">
        <v>36</v>
      </c>
      <c r="I1208" t="str">
        <f t="shared" si="37"/>
        <v/>
      </c>
    </row>
    <row r="1209" spans="1:9">
      <c r="A1209">
        <v>1195</v>
      </c>
      <c r="B1209" t="str">
        <f t="shared" si="36"/>
        <v>kelvin dean filer</v>
      </c>
      <c r="C1209" t="s">
        <v>2267</v>
      </c>
      <c r="D1209" t="s">
        <v>2268</v>
      </c>
      <c r="E1209" t="s">
        <v>535</v>
      </c>
      <c r="F1209" t="s">
        <v>25</v>
      </c>
      <c r="G1209" t="s">
        <v>483</v>
      </c>
      <c r="H1209" t="s">
        <v>36</v>
      </c>
      <c r="I1209" t="str">
        <f t="shared" si="37"/>
        <v/>
      </c>
    </row>
    <row r="1210" spans="1:9">
      <c r="A1210">
        <v>1196</v>
      </c>
      <c r="B1210" t="str">
        <f t="shared" si="36"/>
        <v>richard t. fields</v>
      </c>
      <c r="C1210" t="s">
        <v>2132</v>
      </c>
      <c r="D1210" t="s">
        <v>173</v>
      </c>
      <c r="E1210" t="s">
        <v>636</v>
      </c>
      <c r="F1210" t="s">
        <v>32</v>
      </c>
      <c r="G1210" t="s">
        <v>247</v>
      </c>
      <c r="H1210" t="s">
        <v>10</v>
      </c>
      <c r="I1210" t="str">
        <f t="shared" si="37"/>
        <v/>
      </c>
    </row>
    <row r="1211" spans="1:9">
      <c r="A1211">
        <v>1197</v>
      </c>
      <c r="B1211" t="str">
        <f t="shared" si="36"/>
        <v>david robert fields</v>
      </c>
      <c r="C1211" t="s">
        <v>2132</v>
      </c>
      <c r="D1211" t="s">
        <v>28</v>
      </c>
      <c r="E1211" t="s">
        <v>72</v>
      </c>
      <c r="F1211" t="s">
        <v>25</v>
      </c>
      <c r="G1211" t="s">
        <v>4</v>
      </c>
      <c r="H1211" t="s">
        <v>10</v>
      </c>
      <c r="I1211" t="str">
        <f t="shared" si="37"/>
        <v/>
      </c>
    </row>
    <row r="1212" spans="1:9">
      <c r="A1212">
        <v>1198</v>
      </c>
      <c r="B1212" t="str">
        <f t="shared" si="36"/>
        <v>john l. fielder</v>
      </c>
      <c r="C1212" t="s">
        <v>2269</v>
      </c>
      <c r="D1212" t="s">
        <v>7</v>
      </c>
      <c r="E1212" t="s">
        <v>257</v>
      </c>
      <c r="F1212" t="s">
        <v>32</v>
      </c>
      <c r="G1212" t="s">
        <v>95</v>
      </c>
      <c r="H1212" t="s">
        <v>10</v>
      </c>
      <c r="I1212" t="str">
        <f t="shared" si="37"/>
        <v/>
      </c>
    </row>
    <row r="1213" spans="1:9">
      <c r="A1213">
        <v>1199</v>
      </c>
      <c r="B1213" t="str">
        <f t="shared" si="36"/>
        <v>larry paul fidler</v>
      </c>
      <c r="C1213" t="s">
        <v>2270</v>
      </c>
      <c r="D1213" t="s">
        <v>1969</v>
      </c>
      <c r="E1213" t="s">
        <v>280</v>
      </c>
      <c r="F1213" t="s">
        <v>1749</v>
      </c>
      <c r="G1213" t="s">
        <v>4</v>
      </c>
      <c r="H1213" t="s">
        <v>4</v>
      </c>
      <c r="I1213" t="str">
        <f t="shared" si="37"/>
        <v/>
      </c>
    </row>
    <row r="1214" spans="1:9">
      <c r="A1214">
        <v>1200</v>
      </c>
      <c r="B1214" t="str">
        <f t="shared" si="36"/>
        <v>gail ruderman feuer</v>
      </c>
      <c r="C1214" t="s">
        <v>2271</v>
      </c>
      <c r="D1214" t="s">
        <v>710</v>
      </c>
      <c r="E1214" t="s">
        <v>2272</v>
      </c>
      <c r="F1214" t="s">
        <v>25</v>
      </c>
      <c r="G1214" t="s">
        <v>4</v>
      </c>
      <c r="H1214" t="s">
        <v>10</v>
      </c>
      <c r="I1214" t="str">
        <f t="shared" si="37"/>
        <v/>
      </c>
    </row>
    <row r="1215" spans="1:9">
      <c r="A1215">
        <v>1201</v>
      </c>
      <c r="B1215" t="str">
        <f t="shared" si="36"/>
        <v>gary j. ferrari</v>
      </c>
      <c r="C1215" t="s">
        <v>2273</v>
      </c>
      <c r="D1215" t="s">
        <v>123</v>
      </c>
      <c r="E1215" t="s">
        <v>94</v>
      </c>
      <c r="F1215" t="s">
        <v>25</v>
      </c>
      <c r="G1215" t="s">
        <v>692</v>
      </c>
      <c r="H1215" t="s">
        <v>103</v>
      </c>
      <c r="I1215" t="str">
        <f t="shared" si="37"/>
        <v/>
      </c>
    </row>
    <row r="1216" spans="1:9">
      <c r="A1216">
        <v>1202</v>
      </c>
      <c r="B1216" t="str">
        <f t="shared" si="36"/>
        <v>edward anthony ferns</v>
      </c>
      <c r="C1216" t="s">
        <v>2274</v>
      </c>
      <c r="D1216" t="s">
        <v>236</v>
      </c>
      <c r="E1216" t="s">
        <v>150</v>
      </c>
      <c r="F1216" t="s">
        <v>25</v>
      </c>
      <c r="G1216" t="s">
        <v>4</v>
      </c>
      <c r="H1216" t="s">
        <v>10</v>
      </c>
      <c r="I1216" t="str">
        <f t="shared" si="37"/>
        <v/>
      </c>
    </row>
    <row r="1217" spans="1:9">
      <c r="A1217">
        <v>1203</v>
      </c>
      <c r="B1217" t="str">
        <f t="shared" si="36"/>
        <v>jon david ferguson</v>
      </c>
      <c r="C1217" t="s">
        <v>2275</v>
      </c>
      <c r="D1217" t="s">
        <v>431</v>
      </c>
      <c r="E1217" t="s">
        <v>28</v>
      </c>
      <c r="F1217" t="s">
        <v>2276</v>
      </c>
      <c r="G1217" t="s">
        <v>2277</v>
      </c>
      <c r="H1217" t="s">
        <v>36</v>
      </c>
      <c r="I1217" t="str">
        <f t="shared" si="37"/>
        <v/>
      </c>
    </row>
    <row r="1218" spans="1:9">
      <c r="A1218">
        <v>1204</v>
      </c>
      <c r="B1218" t="str">
        <f t="shared" si="36"/>
        <v>b.  ferguson darryl</v>
      </c>
      <c r="C1218" t="s">
        <v>2278</v>
      </c>
      <c r="D1218" t="s">
        <v>400</v>
      </c>
      <c r="E1218" t="s">
        <v>4</v>
      </c>
      <c r="F1218" t="s">
        <v>2279</v>
      </c>
      <c r="G1218" t="s">
        <v>2280</v>
      </c>
      <c r="H1218" t="s">
        <v>2281</v>
      </c>
      <c r="I1218" t="str">
        <f t="shared" si="37"/>
        <v/>
      </c>
    </row>
    <row r="1219" spans="1:9">
      <c r="A1219">
        <v>1205</v>
      </c>
      <c r="B1219" t="str">
        <f t="shared" ref="B1219:B1282" si="38">TRIM($D1219) &amp; " " &amp; TRIM($E1219) &amp; " " &amp; TRIM($C1219)</f>
        <v>susanne michele fenstermacher</v>
      </c>
      <c r="C1219" t="s">
        <v>2282</v>
      </c>
      <c r="D1219" t="s">
        <v>1670</v>
      </c>
      <c r="E1219" t="s">
        <v>312</v>
      </c>
      <c r="F1219" t="s">
        <v>1964</v>
      </c>
      <c r="G1219" t="s">
        <v>512</v>
      </c>
      <c r="H1219" t="s">
        <v>4</v>
      </c>
      <c r="I1219" t="str">
        <f t="shared" ref="I1219:I1282" si="39">IF(NOT(ISERROR(FIND("judge",F1219))),"judge","")</f>
        <v/>
      </c>
    </row>
    <row r="1220" spans="1:9">
      <c r="A1220">
        <v>1206</v>
      </c>
      <c r="B1220" t="str">
        <f t="shared" si="38"/>
        <v>kenneth  feng samuel</v>
      </c>
      <c r="C1220" t="s">
        <v>2283</v>
      </c>
      <c r="D1220" t="s">
        <v>60</v>
      </c>
      <c r="E1220" t="s">
        <v>4</v>
      </c>
      <c r="F1220" t="s">
        <v>4133</v>
      </c>
      <c r="G1220" t="s">
        <v>4</v>
      </c>
      <c r="H1220" t="s">
        <v>4</v>
      </c>
      <c r="I1220" t="str">
        <f t="shared" si="39"/>
        <v/>
      </c>
    </row>
    <row r="1221" spans="1:9">
      <c r="A1221">
        <v>1207</v>
      </c>
      <c r="B1221" t="str">
        <f t="shared" si="38"/>
        <v>sheila  fell</v>
      </c>
      <c r="C1221" t="s">
        <v>2284</v>
      </c>
      <c r="D1221" t="s">
        <v>2043</v>
      </c>
      <c r="E1221" t="s">
        <v>4</v>
      </c>
      <c r="F1221" t="s">
        <v>4134</v>
      </c>
      <c r="G1221" t="s">
        <v>2169</v>
      </c>
      <c r="H1221" t="s">
        <v>2285</v>
      </c>
      <c r="I1221" t="str">
        <f t="shared" si="39"/>
        <v/>
      </c>
    </row>
    <row r="1222" spans="1:9">
      <c r="A1222">
        <v>1208</v>
      </c>
      <c r="B1222" t="str">
        <f t="shared" si="38"/>
        <v>lee p. felice</v>
      </c>
      <c r="C1222" t="s">
        <v>2286</v>
      </c>
      <c r="D1222" t="s">
        <v>113</v>
      </c>
      <c r="E1222" t="s">
        <v>91</v>
      </c>
      <c r="F1222" t="s">
        <v>32</v>
      </c>
      <c r="G1222" t="s">
        <v>95</v>
      </c>
      <c r="H1222" t="s">
        <v>10</v>
      </c>
      <c r="I1222" t="str">
        <f t="shared" si="39"/>
        <v/>
      </c>
    </row>
    <row r="1223" spans="1:9">
      <c r="A1223">
        <v>1209</v>
      </c>
      <c r="B1223" t="str">
        <f t="shared" si="38"/>
        <v>daniel b feldstern</v>
      </c>
      <c r="C1223" t="s">
        <v>2287</v>
      </c>
      <c r="D1223" t="s">
        <v>23</v>
      </c>
      <c r="E1223" t="s">
        <v>358</v>
      </c>
      <c r="F1223" t="s">
        <v>1749</v>
      </c>
      <c r="G1223" t="s">
        <v>135</v>
      </c>
      <c r="H1223" t="s">
        <v>4</v>
      </c>
      <c r="I1223" t="str">
        <f t="shared" si="39"/>
        <v/>
      </c>
    </row>
    <row r="1224" spans="1:9">
      <c r="A1224">
        <v>1210</v>
      </c>
      <c r="B1224" t="str">
        <f t="shared" si="38"/>
        <v>katherine barbara imy feinstein</v>
      </c>
      <c r="C1224" t="s">
        <v>2288</v>
      </c>
      <c r="D1224" t="s">
        <v>1532</v>
      </c>
      <c r="E1224" t="s">
        <v>2289</v>
      </c>
      <c r="F1224" t="s">
        <v>88</v>
      </c>
      <c r="G1224" t="s">
        <v>4</v>
      </c>
      <c r="H1224" t="s">
        <v>10</v>
      </c>
      <c r="I1224" t="str">
        <f t="shared" si="39"/>
        <v/>
      </c>
    </row>
    <row r="1225" spans="1:9">
      <c r="A1225">
        <v>1211</v>
      </c>
      <c r="B1225" t="str">
        <f t="shared" si="38"/>
        <v>elizabeth rose feffer</v>
      </c>
      <c r="C1225" t="s">
        <v>2290</v>
      </c>
      <c r="D1225" t="s">
        <v>191</v>
      </c>
      <c r="E1225" t="s">
        <v>863</v>
      </c>
      <c r="F1225" t="s">
        <v>25</v>
      </c>
      <c r="G1225" t="s">
        <v>4</v>
      </c>
      <c r="H1225" t="s">
        <v>36</v>
      </c>
      <c r="I1225" t="str">
        <f t="shared" si="39"/>
        <v/>
      </c>
    </row>
    <row r="1226" spans="1:9">
      <c r="A1226">
        <v>1212</v>
      </c>
      <c r="B1226" t="str">
        <f t="shared" si="38"/>
        <v>john t. feeney</v>
      </c>
      <c r="C1226" t="s">
        <v>2291</v>
      </c>
      <c r="D1226" t="s">
        <v>7</v>
      </c>
      <c r="E1226" t="s">
        <v>636</v>
      </c>
      <c r="F1226" t="s">
        <v>952</v>
      </c>
      <c r="G1226" t="s">
        <v>4</v>
      </c>
      <c r="H1226" t="s">
        <v>10</v>
      </c>
      <c r="I1226" t="str">
        <f t="shared" si="39"/>
        <v/>
      </c>
    </row>
    <row r="1227" spans="1:9">
      <c r="A1227">
        <v>1213</v>
      </c>
      <c r="B1227" t="str">
        <f t="shared" si="38"/>
        <v>jill catherine fannin</v>
      </c>
      <c r="C1227" t="s">
        <v>2292</v>
      </c>
      <c r="D1227" t="s">
        <v>2293</v>
      </c>
      <c r="E1227" t="s">
        <v>2030</v>
      </c>
      <c r="F1227" t="s">
        <v>4135</v>
      </c>
      <c r="G1227" t="s">
        <v>4</v>
      </c>
      <c r="H1227" t="s">
        <v>4</v>
      </c>
      <c r="I1227" t="str">
        <f t="shared" si="39"/>
        <v/>
      </c>
    </row>
    <row r="1228" spans="1:9">
      <c r="A1228">
        <v>1214</v>
      </c>
      <c r="B1228" t="str">
        <f t="shared" si="38"/>
        <v>thomas c falls</v>
      </c>
      <c r="C1228" t="s">
        <v>2294</v>
      </c>
      <c r="D1228" t="s">
        <v>27</v>
      </c>
      <c r="E1228" t="s">
        <v>770</v>
      </c>
      <c r="F1228" t="s">
        <v>49</v>
      </c>
      <c r="G1228" t="s">
        <v>637</v>
      </c>
      <c r="H1228" t="s">
        <v>10</v>
      </c>
      <c r="I1228" t="str">
        <f t="shared" si="39"/>
        <v/>
      </c>
    </row>
    <row r="1229" spans="1:9">
      <c r="A1229">
        <v>1215</v>
      </c>
      <c r="B1229" t="str">
        <f t="shared" si="38"/>
        <v>timothy lee fall</v>
      </c>
      <c r="C1229" t="s">
        <v>2295</v>
      </c>
      <c r="D1229" t="s">
        <v>264</v>
      </c>
      <c r="E1229" t="s">
        <v>113</v>
      </c>
      <c r="F1229" t="s">
        <v>4136</v>
      </c>
      <c r="G1229" t="s">
        <v>4</v>
      </c>
      <c r="H1229" t="s">
        <v>4</v>
      </c>
      <c r="I1229" t="str">
        <f t="shared" si="39"/>
        <v/>
      </c>
    </row>
    <row r="1230" spans="1:9">
      <c r="A1230">
        <v>1216</v>
      </c>
      <c r="B1230" t="str">
        <f t="shared" si="38"/>
        <v>greta curtis fall</v>
      </c>
      <c r="C1230" t="s">
        <v>2295</v>
      </c>
      <c r="D1230" t="s">
        <v>2296</v>
      </c>
      <c r="E1230" t="s">
        <v>533</v>
      </c>
      <c r="F1230" t="s">
        <v>1304</v>
      </c>
      <c r="G1230" t="s">
        <v>4</v>
      </c>
      <c r="H1230" t="s">
        <v>10</v>
      </c>
      <c r="I1230" t="str">
        <f t="shared" si="39"/>
        <v/>
      </c>
    </row>
    <row r="1231" spans="1:9">
      <c r="A1231">
        <v>1217</v>
      </c>
      <c r="B1231" t="str">
        <f t="shared" si="38"/>
        <v>dewey l. falcone</v>
      </c>
      <c r="C1231" t="s">
        <v>2297</v>
      </c>
      <c r="D1231" t="s">
        <v>2298</v>
      </c>
      <c r="E1231" t="s">
        <v>257</v>
      </c>
      <c r="F1231" t="s">
        <v>1749</v>
      </c>
      <c r="G1231" t="s">
        <v>802</v>
      </c>
      <c r="H1231" t="s">
        <v>4</v>
      </c>
      <c r="I1231" t="str">
        <f t="shared" si="39"/>
        <v/>
      </c>
    </row>
    <row r="1232" spans="1:9">
      <c r="A1232">
        <v>1218</v>
      </c>
      <c r="B1232" t="str">
        <f t="shared" si="38"/>
        <v>gregory t. fain</v>
      </c>
      <c r="C1232" t="s">
        <v>2299</v>
      </c>
      <c r="D1232" t="s">
        <v>468</v>
      </c>
      <c r="E1232" t="s">
        <v>636</v>
      </c>
      <c r="F1232" t="s">
        <v>1061</v>
      </c>
      <c r="G1232" t="s">
        <v>4</v>
      </c>
      <c r="H1232" t="s">
        <v>36</v>
      </c>
      <c r="I1232" t="str">
        <f t="shared" si="39"/>
        <v/>
      </c>
    </row>
    <row r="1233" spans="1:9">
      <c r="A1233">
        <v>1219</v>
      </c>
      <c r="B1233" t="str">
        <f t="shared" si="38"/>
        <v>william f fahey</v>
      </c>
      <c r="C1233" t="s">
        <v>2300</v>
      </c>
      <c r="D1233" t="s">
        <v>155</v>
      </c>
      <c r="E1233" t="s">
        <v>288</v>
      </c>
      <c r="F1233" t="s">
        <v>25</v>
      </c>
      <c r="G1233" t="s">
        <v>4</v>
      </c>
      <c r="H1233" t="s">
        <v>10</v>
      </c>
      <c r="I1233" t="str">
        <f t="shared" si="39"/>
        <v/>
      </c>
    </row>
    <row r="1234" spans="1:9">
      <c r="A1234">
        <v>1220</v>
      </c>
      <c r="B1234" t="str">
        <f t="shared" si="38"/>
        <v>eugenia  eyherabide</v>
      </c>
      <c r="C1234" t="s">
        <v>2301</v>
      </c>
      <c r="D1234" t="s">
        <v>2302</v>
      </c>
      <c r="E1234" t="s">
        <v>4</v>
      </c>
      <c r="F1234" t="s">
        <v>101</v>
      </c>
      <c r="G1234" t="s">
        <v>102</v>
      </c>
      <c r="H1234" t="s">
        <v>103</v>
      </c>
      <c r="I1234" t="str">
        <f t="shared" si="39"/>
        <v/>
      </c>
    </row>
    <row r="1235" spans="1:9">
      <c r="A1235">
        <v>1221</v>
      </c>
      <c r="B1235" t="str">
        <f t="shared" si="38"/>
        <v>herbert j. exarhos</v>
      </c>
      <c r="C1235" t="s">
        <v>2303</v>
      </c>
      <c r="D1235" t="s">
        <v>425</v>
      </c>
      <c r="E1235" t="s">
        <v>94</v>
      </c>
      <c r="F1235" t="s">
        <v>101</v>
      </c>
      <c r="G1235" t="s">
        <v>102</v>
      </c>
      <c r="H1235" t="s">
        <v>103</v>
      </c>
      <c r="I1235" t="str">
        <f t="shared" si="39"/>
        <v/>
      </c>
    </row>
    <row r="1236" spans="1:9">
      <c r="A1236">
        <v>1222</v>
      </c>
      <c r="B1236" t="str">
        <f t="shared" si="38"/>
        <v>christine cleveland ewell 12 mar-1</v>
      </c>
      <c r="C1236" t="s">
        <v>2304</v>
      </c>
      <c r="D1236" t="s">
        <v>1260</v>
      </c>
      <c r="E1236" t="s">
        <v>2305</v>
      </c>
      <c r="F1236" t="s">
        <v>46</v>
      </c>
      <c r="G1236" t="s">
        <v>4</v>
      </c>
      <c r="H1236" t="s">
        <v>10</v>
      </c>
      <c r="I1236" t="str">
        <f t="shared" si="39"/>
        <v/>
      </c>
    </row>
    <row r="1237" spans="1:9">
      <c r="A1237">
        <v>1223</v>
      </c>
      <c r="B1237" t="str">
        <f t="shared" si="38"/>
        <v>john goodloe evans</v>
      </c>
      <c r="C1237" t="s">
        <v>992</v>
      </c>
      <c r="D1237" t="s">
        <v>7</v>
      </c>
      <c r="E1237" t="s">
        <v>2306</v>
      </c>
      <c r="F1237" t="s">
        <v>216</v>
      </c>
      <c r="G1237" t="s">
        <v>2307</v>
      </c>
      <c r="H1237" t="s">
        <v>103</v>
      </c>
      <c r="I1237" t="str">
        <f t="shared" si="39"/>
        <v/>
      </c>
    </row>
    <row r="1238" spans="1:9">
      <c r="A1238">
        <v>1224</v>
      </c>
      <c r="B1238" t="str">
        <f t="shared" si="38"/>
        <v>susan lrene etezadi</v>
      </c>
      <c r="C1238" t="s">
        <v>2308</v>
      </c>
      <c r="D1238" t="s">
        <v>676</v>
      </c>
      <c r="E1238" t="s">
        <v>2309</v>
      </c>
      <c r="F1238" t="s">
        <v>231</v>
      </c>
      <c r="G1238" t="s">
        <v>4</v>
      </c>
      <c r="H1238" t="s">
        <v>10</v>
      </c>
      <c r="I1238" t="str">
        <f t="shared" si="39"/>
        <v/>
      </c>
    </row>
    <row r="1239" spans="1:9">
      <c r="A1239">
        <v>1225</v>
      </c>
      <c r="B1239" t="str">
        <f t="shared" si="38"/>
        <v>louis p. etcheverry</v>
      </c>
      <c r="C1239" t="s">
        <v>2310</v>
      </c>
      <c r="D1239" t="s">
        <v>540</v>
      </c>
      <c r="E1239" t="s">
        <v>91</v>
      </c>
      <c r="F1239" t="s">
        <v>32</v>
      </c>
      <c r="G1239" t="s">
        <v>95</v>
      </c>
      <c r="H1239" t="s">
        <v>10</v>
      </c>
      <c r="I1239" t="str">
        <f t="shared" si="39"/>
        <v/>
      </c>
    </row>
    <row r="1240" spans="1:9">
      <c r="A1240">
        <v>1226</v>
      </c>
      <c r="B1240" t="str">
        <f t="shared" si="38"/>
        <v>christopher gray estes</v>
      </c>
      <c r="C1240" t="s">
        <v>2311</v>
      </c>
      <c r="D1240" t="s">
        <v>64</v>
      </c>
      <c r="E1240" t="s">
        <v>812</v>
      </c>
      <c r="F1240" t="s">
        <v>2312</v>
      </c>
      <c r="G1240" t="s">
        <v>40</v>
      </c>
      <c r="H1240" t="s">
        <v>10</v>
      </c>
      <c r="I1240" t="str">
        <f t="shared" si="39"/>
        <v/>
      </c>
    </row>
    <row r="1241" spans="1:9">
      <c r="A1241">
        <v>1227</v>
      </c>
      <c r="B1241" t="str">
        <f t="shared" si="38"/>
        <v>peter paul espinoza</v>
      </c>
      <c r="C1241" t="s">
        <v>2313</v>
      </c>
      <c r="D1241" t="s">
        <v>336</v>
      </c>
      <c r="E1241" t="s">
        <v>280</v>
      </c>
      <c r="F1241" t="s">
        <v>1749</v>
      </c>
      <c r="G1241" t="s">
        <v>4</v>
      </c>
      <c r="H1241" t="s">
        <v>4</v>
      </c>
      <c r="I1241" t="str">
        <f t="shared" si="39"/>
        <v/>
      </c>
    </row>
    <row r="1242" spans="1:9">
      <c r="A1242">
        <v>1228</v>
      </c>
      <c r="B1242" t="str">
        <f t="shared" si="38"/>
        <v>ana lucilla espana</v>
      </c>
      <c r="C1242" t="s">
        <v>2314</v>
      </c>
      <c r="D1242" t="s">
        <v>2315</v>
      </c>
      <c r="E1242" t="s">
        <v>2316</v>
      </c>
      <c r="F1242" t="s">
        <v>101</v>
      </c>
      <c r="G1242" t="s">
        <v>102</v>
      </c>
      <c r="H1242" t="s">
        <v>103</v>
      </c>
      <c r="I1242" t="str">
        <f t="shared" si="39"/>
        <v/>
      </c>
    </row>
    <row r="1243" spans="1:9">
      <c r="A1243">
        <v>1229</v>
      </c>
      <c r="B1243" t="str">
        <f t="shared" si="38"/>
        <v>george castelle eskin</v>
      </c>
      <c r="C1243" t="s">
        <v>2317</v>
      </c>
      <c r="D1243" t="s">
        <v>237</v>
      </c>
      <c r="E1243" t="s">
        <v>2318</v>
      </c>
      <c r="F1243" t="s">
        <v>2319</v>
      </c>
      <c r="G1243" t="s">
        <v>4</v>
      </c>
      <c r="H1243" t="s">
        <v>10</v>
      </c>
      <c r="I1243" t="str">
        <f t="shared" si="39"/>
        <v/>
      </c>
    </row>
    <row r="1244" spans="1:9">
      <c r="A1244">
        <v>1230</v>
      </c>
      <c r="B1244" t="str">
        <f t="shared" si="38"/>
        <v>mildred  escobedo</v>
      </c>
      <c r="C1244" t="s">
        <v>2320</v>
      </c>
      <c r="D1244" t="s">
        <v>2321</v>
      </c>
      <c r="E1244" t="s">
        <v>4</v>
      </c>
      <c r="F1244" t="s">
        <v>25</v>
      </c>
      <c r="G1244" t="s">
        <v>2322</v>
      </c>
      <c r="H1244" t="s">
        <v>4</v>
      </c>
      <c r="I1244" t="str">
        <f t="shared" si="39"/>
        <v/>
      </c>
    </row>
    <row r="1245" spans="1:9">
      <c r="A1245">
        <v>1230</v>
      </c>
      <c r="B1245" t="str">
        <f t="shared" si="38"/>
        <v>mildred  escobedo</v>
      </c>
      <c r="C1245" t="s">
        <v>2320</v>
      </c>
      <c r="D1245" t="s">
        <v>2321</v>
      </c>
      <c r="E1245" t="s">
        <v>4</v>
      </c>
      <c r="F1245" t="s">
        <v>25</v>
      </c>
      <c r="G1245" t="s">
        <v>2322</v>
      </c>
      <c r="H1245" t="s">
        <v>4</v>
      </c>
      <c r="I1245" t="str">
        <f t="shared" si="39"/>
        <v/>
      </c>
    </row>
    <row r="1246" spans="1:9">
      <c r="A1246">
        <v>1231</v>
      </c>
      <c r="B1246" t="str">
        <f t="shared" si="38"/>
        <v>richard allen erwood</v>
      </c>
      <c r="C1246" t="s">
        <v>2323</v>
      </c>
      <c r="D1246" t="s">
        <v>173</v>
      </c>
      <c r="E1246" t="s">
        <v>192</v>
      </c>
      <c r="F1246" t="s">
        <v>216</v>
      </c>
      <c r="G1246" t="s">
        <v>2324</v>
      </c>
      <c r="H1246" t="s">
        <v>2325</v>
      </c>
      <c r="I1246" t="str">
        <f t="shared" si="39"/>
        <v/>
      </c>
    </row>
    <row r="1247" spans="1:9">
      <c r="A1247">
        <v>1232</v>
      </c>
      <c r="B1247" t="str">
        <f t="shared" si="38"/>
        <v>charles william ervin</v>
      </c>
      <c r="C1247" t="s">
        <v>2326</v>
      </c>
      <c r="D1247" t="s">
        <v>35</v>
      </c>
      <c r="E1247" t="s">
        <v>155</v>
      </c>
      <c r="F1247" t="s">
        <v>101</v>
      </c>
      <c r="G1247" t="s">
        <v>102</v>
      </c>
      <c r="H1247" t="s">
        <v>103</v>
      </c>
      <c r="I1247" t="str">
        <f t="shared" si="39"/>
        <v/>
      </c>
    </row>
    <row r="1248" spans="1:9">
      <c r="A1248">
        <v>1232</v>
      </c>
      <c r="B1248" t="str">
        <f t="shared" si="38"/>
        <v>charles henry ervin</v>
      </c>
      <c r="C1248" t="s">
        <v>2326</v>
      </c>
      <c r="D1248" t="s">
        <v>35</v>
      </c>
      <c r="E1248" t="s">
        <v>266</v>
      </c>
      <c r="F1248" t="s">
        <v>2327</v>
      </c>
      <c r="G1248" t="s">
        <v>4</v>
      </c>
      <c r="H1248" t="s">
        <v>4</v>
      </c>
      <c r="I1248" t="str">
        <f t="shared" si="39"/>
        <v/>
      </c>
    </row>
    <row r="1249" spans="1:9">
      <c r="A1249">
        <v>1233</v>
      </c>
      <c r="B1249" t="str">
        <f t="shared" si="38"/>
        <v>larry a. errea</v>
      </c>
      <c r="C1249" t="s">
        <v>2328</v>
      </c>
      <c r="D1249" t="s">
        <v>1969</v>
      </c>
      <c r="E1249" t="s">
        <v>447</v>
      </c>
      <c r="F1249" t="s">
        <v>32</v>
      </c>
      <c r="G1249" t="s">
        <v>95</v>
      </c>
      <c r="H1249" t="s">
        <v>10</v>
      </c>
      <c r="I1249" t="str">
        <f t="shared" si="39"/>
        <v/>
      </c>
    </row>
    <row r="1250" spans="1:9">
      <c r="A1250">
        <v>1234</v>
      </c>
      <c r="B1250" t="str">
        <f t="shared" si="38"/>
        <v>norman l. epstein</v>
      </c>
      <c r="C1250" t="s">
        <v>2329</v>
      </c>
      <c r="D1250" t="s">
        <v>474</v>
      </c>
      <c r="E1250" t="s">
        <v>257</v>
      </c>
      <c r="F1250" t="s">
        <v>19</v>
      </c>
      <c r="G1250" t="s">
        <v>2330</v>
      </c>
      <c r="H1250" t="s">
        <v>833</v>
      </c>
      <c r="I1250" t="str">
        <f t="shared" si="39"/>
        <v/>
      </c>
    </row>
    <row r="1251" spans="1:9">
      <c r="A1251">
        <v>1235</v>
      </c>
      <c r="B1251" t="str">
        <f t="shared" si="38"/>
        <v>kevin a enright</v>
      </c>
      <c r="C1251" t="s">
        <v>2331</v>
      </c>
      <c r="D1251" t="s">
        <v>1246</v>
      </c>
      <c r="E1251" t="s">
        <v>39</v>
      </c>
      <c r="F1251" t="s">
        <v>101</v>
      </c>
      <c r="G1251" t="s">
        <v>102</v>
      </c>
      <c r="H1251" t="s">
        <v>103</v>
      </c>
      <c r="I1251" t="str">
        <f t="shared" si="39"/>
        <v/>
      </c>
    </row>
    <row r="1252" spans="1:9">
      <c r="A1252">
        <v>1236</v>
      </c>
      <c r="B1252" t="str">
        <f t="shared" si="38"/>
        <v>julia ann emede</v>
      </c>
      <c r="C1252" t="s">
        <v>2332</v>
      </c>
      <c r="D1252" t="s">
        <v>586</v>
      </c>
      <c r="E1252" t="s">
        <v>3</v>
      </c>
      <c r="F1252" t="s">
        <v>8</v>
      </c>
      <c r="G1252" t="s">
        <v>2333</v>
      </c>
      <c r="H1252" t="s">
        <v>10</v>
      </c>
      <c r="I1252" t="str">
        <f t="shared" si="39"/>
        <v/>
      </c>
    </row>
    <row r="1253" spans="1:9">
      <c r="A1253">
        <v>1237</v>
      </c>
      <c r="B1253" t="str">
        <f t="shared" si="38"/>
        <v>douglas moore elwell</v>
      </c>
      <c r="C1253" t="s">
        <v>2334</v>
      </c>
      <c r="D1253" t="s">
        <v>593</v>
      </c>
      <c r="E1253" t="s">
        <v>1281</v>
      </c>
      <c r="F1253" t="s">
        <v>2335</v>
      </c>
      <c r="G1253" t="s">
        <v>2336</v>
      </c>
      <c r="H1253" t="s">
        <v>862</v>
      </c>
      <c r="I1253" t="str">
        <f t="shared" si="39"/>
        <v/>
      </c>
    </row>
    <row r="1254" spans="1:9">
      <c r="A1254">
        <v>1238</v>
      </c>
      <c r="B1254" t="str">
        <f t="shared" si="38"/>
        <v>carol  elswick</v>
      </c>
      <c r="C1254" t="s">
        <v>2337</v>
      </c>
      <c r="D1254" t="s">
        <v>68</v>
      </c>
      <c r="E1254" t="s">
        <v>4</v>
      </c>
      <c r="F1254" t="s">
        <v>1749</v>
      </c>
      <c r="G1254" t="s">
        <v>4</v>
      </c>
      <c r="H1254" t="s">
        <v>4</v>
      </c>
      <c r="I1254" t="str">
        <f t="shared" si="39"/>
        <v/>
      </c>
    </row>
    <row r="1255" spans="1:9">
      <c r="A1255">
        <v>1239</v>
      </c>
      <c r="B1255" t="str">
        <f t="shared" si="38"/>
        <v>sherrill a ellsworth</v>
      </c>
      <c r="C1255" t="s">
        <v>2338</v>
      </c>
      <c r="D1255" t="s">
        <v>2339</v>
      </c>
      <c r="E1255" t="s">
        <v>39</v>
      </c>
      <c r="F1255" t="s">
        <v>216</v>
      </c>
      <c r="G1255" t="s">
        <v>4</v>
      </c>
      <c r="H1255" t="s">
        <v>36</v>
      </c>
      <c r="I1255" t="str">
        <f t="shared" si="39"/>
        <v/>
      </c>
    </row>
    <row r="1256" spans="1:9">
      <c r="A1256">
        <v>1240</v>
      </c>
      <c r="B1256" t="str">
        <f t="shared" si="38"/>
        <v>wayne roy ellison</v>
      </c>
      <c r="C1256" t="s">
        <v>2340</v>
      </c>
      <c r="D1256" t="s">
        <v>758</v>
      </c>
      <c r="E1256" t="s">
        <v>869</v>
      </c>
      <c r="F1256" t="s">
        <v>633</v>
      </c>
      <c r="G1256" t="s">
        <v>4</v>
      </c>
      <c r="H1256" t="s">
        <v>36</v>
      </c>
      <c r="I1256" t="str">
        <f t="shared" si="39"/>
        <v/>
      </c>
    </row>
    <row r="1257" spans="1:9">
      <c r="A1257">
        <v>1241</v>
      </c>
      <c r="B1257" t="str">
        <f t="shared" si="38"/>
        <v>laura  ellison</v>
      </c>
      <c r="C1257" t="s">
        <v>2340</v>
      </c>
      <c r="D1257" t="s">
        <v>259</v>
      </c>
      <c r="E1257" t="s">
        <v>4</v>
      </c>
      <c r="F1257" t="s">
        <v>2341</v>
      </c>
      <c r="G1257" t="s">
        <v>2342</v>
      </c>
      <c r="H1257" t="s">
        <v>2343</v>
      </c>
      <c r="I1257" t="str">
        <f t="shared" si="39"/>
        <v/>
      </c>
    </row>
    <row r="1258" spans="1:9">
      <c r="A1258">
        <v>1242</v>
      </c>
      <c r="B1258" t="str">
        <f t="shared" si="38"/>
        <v>john bradley ellis</v>
      </c>
      <c r="C1258" t="s">
        <v>2100</v>
      </c>
      <c r="D1258" t="s">
        <v>7</v>
      </c>
      <c r="E1258" t="s">
        <v>1224</v>
      </c>
      <c r="F1258" t="s">
        <v>1780</v>
      </c>
      <c r="G1258" t="s">
        <v>4</v>
      </c>
      <c r="H1258" t="s">
        <v>10</v>
      </c>
      <c r="I1258" t="str">
        <f t="shared" si="39"/>
        <v/>
      </c>
    </row>
    <row r="1259" spans="1:9">
      <c r="A1259">
        <v>1243</v>
      </c>
      <c r="B1259" t="str">
        <f t="shared" si="38"/>
        <v>stan l. eller</v>
      </c>
      <c r="C1259" t="s">
        <v>2344</v>
      </c>
      <c r="D1259" t="s">
        <v>2345</v>
      </c>
      <c r="E1259" t="s">
        <v>257</v>
      </c>
      <c r="F1259" t="s">
        <v>4137</v>
      </c>
      <c r="G1259" t="s">
        <v>4</v>
      </c>
      <c r="H1259" t="s">
        <v>4</v>
      </c>
      <c r="I1259" t="str">
        <f t="shared" si="39"/>
        <v/>
      </c>
    </row>
    <row r="1260" spans="1:9">
      <c r="A1260">
        <v>1244</v>
      </c>
      <c r="B1260" t="str">
        <f t="shared" si="38"/>
        <v>harry m. elias</v>
      </c>
      <c r="C1260" t="s">
        <v>2346</v>
      </c>
      <c r="D1260" t="s">
        <v>1024</v>
      </c>
      <c r="E1260" t="s">
        <v>189</v>
      </c>
      <c r="F1260" t="s">
        <v>101</v>
      </c>
      <c r="G1260" t="s">
        <v>102</v>
      </c>
      <c r="H1260" t="s">
        <v>103</v>
      </c>
      <c r="I1260" t="str">
        <f t="shared" si="39"/>
        <v/>
      </c>
    </row>
    <row r="1261" spans="1:9">
      <c r="A1261">
        <v>1245</v>
      </c>
      <c r="B1261" t="str">
        <f t="shared" si="38"/>
        <v>emilie h elias</v>
      </c>
      <c r="C1261" t="s">
        <v>2346</v>
      </c>
      <c r="D1261" t="s">
        <v>2347</v>
      </c>
      <c r="E1261" t="s">
        <v>250</v>
      </c>
      <c r="F1261" t="s">
        <v>4138</v>
      </c>
      <c r="G1261" t="s">
        <v>4</v>
      </c>
      <c r="H1261" t="s">
        <v>4</v>
      </c>
      <c r="I1261" t="str">
        <f t="shared" si="39"/>
        <v/>
      </c>
    </row>
    <row r="1262" spans="1:9">
      <c r="A1262">
        <v>1246</v>
      </c>
      <c r="B1262" t="str">
        <f t="shared" si="38"/>
        <v>franklin d. elia</v>
      </c>
      <c r="C1262" t="s">
        <v>233</v>
      </c>
      <c r="D1262" t="s">
        <v>555</v>
      </c>
      <c r="E1262" t="s">
        <v>186</v>
      </c>
      <c r="F1262" t="s">
        <v>19</v>
      </c>
      <c r="G1262" t="s">
        <v>838</v>
      </c>
      <c r="H1262" t="s">
        <v>212</v>
      </c>
      <c r="I1262" t="str">
        <f t="shared" si="39"/>
        <v/>
      </c>
    </row>
    <row r="1263" spans="1:9">
      <c r="A1263">
        <v>1247</v>
      </c>
      <c r="B1263" t="str">
        <f t="shared" si="38"/>
        <v>william johnson elfving</v>
      </c>
      <c r="C1263" t="s">
        <v>2348</v>
      </c>
      <c r="D1263" t="s">
        <v>155</v>
      </c>
      <c r="E1263" t="s">
        <v>1821</v>
      </c>
      <c r="F1263" t="s">
        <v>49</v>
      </c>
      <c r="G1263" t="s">
        <v>15</v>
      </c>
      <c r="H1263" t="s">
        <v>2103</v>
      </c>
      <c r="I1263" t="str">
        <f t="shared" si="39"/>
        <v/>
      </c>
    </row>
    <row r="1264" spans="1:9">
      <c r="A1264">
        <v>1248</v>
      </c>
      <c r="B1264" t="str">
        <f t="shared" si="38"/>
        <v>john s. einhorn</v>
      </c>
      <c r="C1264" t="s">
        <v>2349</v>
      </c>
      <c r="D1264" t="s">
        <v>7</v>
      </c>
      <c r="E1264" t="s">
        <v>174</v>
      </c>
      <c r="F1264" t="s">
        <v>101</v>
      </c>
      <c r="G1264" t="s">
        <v>102</v>
      </c>
      <c r="H1264" t="s">
        <v>103</v>
      </c>
      <c r="I1264" t="str">
        <f t="shared" si="39"/>
        <v/>
      </c>
    </row>
    <row r="1265" spans="1:9">
      <c r="A1265">
        <v>1249</v>
      </c>
      <c r="B1265" t="str">
        <f t="shared" si="38"/>
        <v>anne harwood egerton</v>
      </c>
      <c r="C1265" t="s">
        <v>2350</v>
      </c>
      <c r="D1265" t="s">
        <v>1452</v>
      </c>
      <c r="E1265" t="s">
        <v>2351</v>
      </c>
      <c r="F1265" t="s">
        <v>25</v>
      </c>
      <c r="G1265" t="s">
        <v>4</v>
      </c>
      <c r="H1265" t="s">
        <v>10</v>
      </c>
      <c r="I1265" t="str">
        <f t="shared" si="39"/>
        <v/>
      </c>
    </row>
    <row r="1266" spans="1:9">
      <c r="A1266">
        <v>1250</v>
      </c>
      <c r="B1266" t="str">
        <f t="shared" si="38"/>
        <v>e.  edwards drew</v>
      </c>
      <c r="C1266" t="s">
        <v>2352</v>
      </c>
      <c r="D1266" t="s">
        <v>127</v>
      </c>
      <c r="E1266" t="s">
        <v>4</v>
      </c>
      <c r="F1266" t="s">
        <v>1749</v>
      </c>
      <c r="G1266" t="s">
        <v>4</v>
      </c>
      <c r="H1266" t="s">
        <v>4</v>
      </c>
      <c r="I1266" t="str">
        <f t="shared" si="39"/>
        <v/>
      </c>
    </row>
    <row r="1267" spans="1:9">
      <c r="A1267">
        <v>1251</v>
      </c>
      <c r="B1267" t="str">
        <f t="shared" si="38"/>
        <v>anthony clay edwards</v>
      </c>
      <c r="C1267" t="s">
        <v>2353</v>
      </c>
      <c r="D1267" t="s">
        <v>150</v>
      </c>
      <c r="E1267" t="s">
        <v>620</v>
      </c>
      <c r="F1267" t="s">
        <v>92</v>
      </c>
      <c r="G1267" t="s">
        <v>4</v>
      </c>
      <c r="H1267" t="s">
        <v>10</v>
      </c>
      <c r="I1267" t="str">
        <f t="shared" si="39"/>
        <v/>
      </c>
    </row>
    <row r="1268" spans="1:9">
      <c r="A1268">
        <v>1252</v>
      </c>
      <c r="B1268" t="str">
        <f t="shared" si="38"/>
        <v>lee smalley edmon</v>
      </c>
      <c r="C1268" t="s">
        <v>2354</v>
      </c>
      <c r="D1268" t="s">
        <v>113</v>
      </c>
      <c r="E1268" t="s">
        <v>2355</v>
      </c>
      <c r="F1268" t="s">
        <v>4085</v>
      </c>
      <c r="G1268" t="s">
        <v>4</v>
      </c>
      <c r="H1268" t="s">
        <v>4</v>
      </c>
      <c r="I1268" t="str">
        <f t="shared" si="39"/>
        <v/>
      </c>
    </row>
    <row r="1269" spans="1:9">
      <c r="A1269">
        <v>1253</v>
      </c>
      <c r="B1269" t="str">
        <f t="shared" si="38"/>
        <v>laurie michelle earl</v>
      </c>
      <c r="C1269" t="s">
        <v>1223</v>
      </c>
      <c r="D1269" t="s">
        <v>17</v>
      </c>
      <c r="E1269" t="s">
        <v>856</v>
      </c>
      <c r="F1269" t="s">
        <v>32</v>
      </c>
      <c r="G1269" t="s">
        <v>132</v>
      </c>
      <c r="H1269" t="s">
        <v>36</v>
      </c>
      <c r="I1269" t="str">
        <f t="shared" si="39"/>
        <v/>
      </c>
    </row>
    <row r="1270" spans="1:9">
      <c r="A1270">
        <v>1254</v>
      </c>
      <c r="B1270" t="str">
        <f t="shared" si="38"/>
        <v xml:space="preserve"> helen dymant</v>
      </c>
      <c r="C1270" t="s">
        <v>2356</v>
      </c>
      <c r="D1270" t="s">
        <v>4</v>
      </c>
      <c r="E1270" t="s">
        <v>2357</v>
      </c>
      <c r="F1270" t="s">
        <v>25</v>
      </c>
      <c r="G1270" t="s">
        <v>4</v>
      </c>
      <c r="H1270" t="s">
        <v>4</v>
      </c>
      <c r="I1270" t="str">
        <f t="shared" si="39"/>
        <v/>
      </c>
    </row>
    <row r="1271" spans="1:9">
      <c r="A1271">
        <v>1255</v>
      </c>
      <c r="B1271" t="str">
        <f t="shared" si="38"/>
        <v>steven lawrence dylina</v>
      </c>
      <c r="C1271" t="s">
        <v>2358</v>
      </c>
      <c r="D1271" t="s">
        <v>339</v>
      </c>
      <c r="E1271" t="s">
        <v>1316</v>
      </c>
      <c r="F1271" t="s">
        <v>231</v>
      </c>
      <c r="G1271" t="s">
        <v>4</v>
      </c>
      <c r="H1271" t="s">
        <v>10</v>
      </c>
      <c r="I1271" t="str">
        <f t="shared" si="39"/>
        <v/>
      </c>
    </row>
    <row r="1272" spans="1:9">
      <c r="A1272">
        <v>1256</v>
      </c>
      <c r="B1272" t="str">
        <f t="shared" si="38"/>
        <v>lynn  duryee</v>
      </c>
      <c r="C1272" t="s">
        <v>2359</v>
      </c>
      <c r="D1272" t="s">
        <v>197</v>
      </c>
      <c r="E1272" t="s">
        <v>4</v>
      </c>
      <c r="F1272" t="s">
        <v>32</v>
      </c>
      <c r="G1272" t="s">
        <v>2360</v>
      </c>
      <c r="H1272" t="s">
        <v>10</v>
      </c>
      <c r="I1272" t="str">
        <f t="shared" si="39"/>
        <v/>
      </c>
    </row>
    <row r="1273" spans="1:9">
      <c r="A1273">
        <v>1257</v>
      </c>
      <c r="B1273" t="str">
        <f t="shared" si="38"/>
        <v>marjorie koller durenberger</v>
      </c>
      <c r="C1273" t="s">
        <v>2361</v>
      </c>
      <c r="D1273" t="s">
        <v>561</v>
      </c>
      <c r="E1273" t="s">
        <v>2362</v>
      </c>
      <c r="F1273" t="s">
        <v>32</v>
      </c>
      <c r="G1273" t="s">
        <v>132</v>
      </c>
      <c r="H1273" t="s">
        <v>10</v>
      </c>
      <c r="I1273" t="str">
        <f t="shared" si="39"/>
        <v/>
      </c>
    </row>
    <row r="1274" spans="1:9">
      <c r="A1274">
        <v>1258</v>
      </c>
      <c r="B1274" t="str">
        <f t="shared" si="38"/>
        <v>le jacqueline duong</v>
      </c>
      <c r="C1274" t="s">
        <v>2363</v>
      </c>
      <c r="D1274" t="s">
        <v>2364</v>
      </c>
      <c r="E1274" t="s">
        <v>551</v>
      </c>
      <c r="F1274" t="s">
        <v>49</v>
      </c>
      <c r="G1274" t="s">
        <v>15</v>
      </c>
      <c r="H1274" t="s">
        <v>10</v>
      </c>
      <c r="I1274" t="str">
        <f t="shared" si="39"/>
        <v/>
      </c>
    </row>
    <row r="1275" spans="1:9">
      <c r="A1275">
        <v>1259</v>
      </c>
      <c r="B1275" t="str">
        <f t="shared" si="38"/>
        <v>kim garlin dunning</v>
      </c>
      <c r="C1275" t="s">
        <v>2365</v>
      </c>
      <c r="D1275" t="s">
        <v>1736</v>
      </c>
      <c r="E1275" t="s">
        <v>2366</v>
      </c>
      <c r="F1275" t="s">
        <v>2367</v>
      </c>
      <c r="G1275" t="s">
        <v>102</v>
      </c>
      <c r="H1275" t="s">
        <v>36</v>
      </c>
      <c r="I1275" t="str">
        <f t="shared" si="39"/>
        <v/>
      </c>
    </row>
    <row r="1276" spans="1:9">
      <c r="A1276">
        <v>1260</v>
      </c>
      <c r="B1276" t="str">
        <f t="shared" si="38"/>
        <v>leslie ann dunn</v>
      </c>
      <c r="C1276" t="s">
        <v>2368</v>
      </c>
      <c r="D1276" t="s">
        <v>501</v>
      </c>
      <c r="E1276" t="s">
        <v>3</v>
      </c>
      <c r="F1276" t="s">
        <v>25</v>
      </c>
      <c r="G1276" t="s">
        <v>4</v>
      </c>
      <c r="H1276" t="s">
        <v>10</v>
      </c>
      <c r="I1276" t="str">
        <f t="shared" si="39"/>
        <v/>
      </c>
    </row>
    <row r="1277" spans="1:9">
      <c r="A1277">
        <v>1261</v>
      </c>
      <c r="B1277" t="str">
        <f t="shared" si="38"/>
        <v>james r. dunn</v>
      </c>
      <c r="C1277" t="s">
        <v>2368</v>
      </c>
      <c r="D1277" t="s">
        <v>90</v>
      </c>
      <c r="E1277" t="s">
        <v>265</v>
      </c>
      <c r="F1277" t="s">
        <v>25</v>
      </c>
      <c r="G1277" t="s">
        <v>10</v>
      </c>
      <c r="H1277" t="s">
        <v>4</v>
      </c>
      <c r="I1277" t="str">
        <f t="shared" si="39"/>
        <v/>
      </c>
    </row>
    <row r="1278" spans="1:9">
      <c r="A1278">
        <v>1262</v>
      </c>
      <c r="B1278" t="str">
        <f t="shared" si="38"/>
        <v>judith k. dulcich</v>
      </c>
      <c r="C1278" t="s">
        <v>2369</v>
      </c>
      <c r="D1278" t="s">
        <v>334</v>
      </c>
      <c r="E1278" t="s">
        <v>576</v>
      </c>
      <c r="F1278" t="s">
        <v>32</v>
      </c>
      <c r="G1278" t="s">
        <v>95</v>
      </c>
      <c r="H1278" t="s">
        <v>10</v>
      </c>
      <c r="I1278" t="str">
        <f t="shared" si="39"/>
        <v/>
      </c>
    </row>
    <row r="1279" spans="1:9">
      <c r="A1279">
        <v>1263</v>
      </c>
      <c r="B1279" t="str">
        <f t="shared" si="38"/>
        <v>robert a. dukes</v>
      </c>
      <c r="C1279" t="s">
        <v>2370</v>
      </c>
      <c r="D1279" t="s">
        <v>72</v>
      </c>
      <c r="E1279" t="s">
        <v>447</v>
      </c>
      <c r="F1279" t="s">
        <v>49</v>
      </c>
      <c r="G1279" t="s">
        <v>135</v>
      </c>
      <c r="H1279" t="s">
        <v>10</v>
      </c>
      <c r="I1279" t="str">
        <f t="shared" si="39"/>
        <v/>
      </c>
    </row>
    <row r="1280" spans="1:9">
      <c r="A1280">
        <v>1264</v>
      </c>
      <c r="B1280" t="str">
        <f t="shared" si="38"/>
        <v>rebecca (becky) lynn dugan 2012 feb 28 am 10:09</v>
      </c>
      <c r="C1280" t="s">
        <v>2371</v>
      </c>
      <c r="D1280" t="s">
        <v>2372</v>
      </c>
      <c r="E1280" t="s">
        <v>197</v>
      </c>
      <c r="F1280" t="s">
        <v>32</v>
      </c>
      <c r="G1280" t="s">
        <v>247</v>
      </c>
      <c r="H1280" t="s">
        <v>10</v>
      </c>
      <c r="I1280" t="str">
        <f t="shared" si="39"/>
        <v/>
      </c>
    </row>
    <row r="1281" spans="1:9">
      <c r="A1281">
        <v>1265</v>
      </c>
      <c r="B1281" t="str">
        <f t="shared" si="38"/>
        <v>michael l. duffy</v>
      </c>
      <c r="C1281" t="s">
        <v>2373</v>
      </c>
      <c r="D1281" t="s">
        <v>219</v>
      </c>
      <c r="E1281" t="s">
        <v>257</v>
      </c>
      <c r="F1281" t="s">
        <v>4139</v>
      </c>
      <c r="G1281" t="s">
        <v>4</v>
      </c>
      <c r="H1281" t="s">
        <v>4</v>
      </c>
      <c r="I1281" t="str">
        <f t="shared" si="39"/>
        <v/>
      </c>
    </row>
    <row r="1282" spans="1:9">
      <c r="A1282">
        <v>1266</v>
      </c>
      <c r="B1282" t="str">
        <f t="shared" si="38"/>
        <v>maureen 974-565 duffy-lewis</v>
      </c>
      <c r="C1282" t="s">
        <v>2374</v>
      </c>
      <c r="D1282" t="s">
        <v>2057</v>
      </c>
      <c r="E1282" t="s">
        <v>2375</v>
      </c>
      <c r="F1282" t="s">
        <v>1749</v>
      </c>
      <c r="G1282" t="s">
        <v>2376</v>
      </c>
      <c r="H1282" t="s">
        <v>4</v>
      </c>
      <c r="I1282" t="str">
        <f t="shared" si="39"/>
        <v/>
      </c>
    </row>
    <row r="1283" spans="1:9">
      <c r="A1283">
        <v>1267</v>
      </c>
      <c r="B1283" t="str">
        <f t="shared" ref="B1283:B1346" si="40">TRIM($D1283) &amp; " " &amp; TRIM($E1283) &amp; " " &amp; TRIM($C1283)</f>
        <v>jacquelyn henderson duffy</v>
      </c>
      <c r="C1283" t="s">
        <v>2373</v>
      </c>
      <c r="D1283" t="s">
        <v>2377</v>
      </c>
      <c r="E1283" t="s">
        <v>1991</v>
      </c>
      <c r="F1283" t="s">
        <v>4105</v>
      </c>
      <c r="G1283" t="s">
        <v>4</v>
      </c>
      <c r="H1283" t="s">
        <v>4</v>
      </c>
      <c r="I1283" t="str">
        <f t="shared" ref="I1283:I1346" si="41">IF(NOT(ISERROR(FIND("judge",F1283))),"judge","")</f>
        <v/>
      </c>
    </row>
    <row r="1284" spans="1:9">
      <c r="A1284">
        <v>1268</v>
      </c>
      <c r="B1284" t="str">
        <f t="shared" si="40"/>
        <v>elena jeannette duarte</v>
      </c>
      <c r="C1284" t="s">
        <v>2378</v>
      </c>
      <c r="D1284" t="s">
        <v>530</v>
      </c>
      <c r="E1284" t="s">
        <v>2379</v>
      </c>
      <c r="F1284" t="s">
        <v>674</v>
      </c>
      <c r="G1284" t="s">
        <v>1209</v>
      </c>
      <c r="H1284" t="s">
        <v>212</v>
      </c>
      <c r="I1284" t="str">
        <f t="shared" si="41"/>
        <v/>
      </c>
    </row>
    <row r="1285" spans="1:9">
      <c r="A1285">
        <v>1269</v>
      </c>
      <c r="B1285" t="str">
        <f t="shared" si="40"/>
        <v>eric louren dutemple</v>
      </c>
      <c r="C1285" t="s">
        <v>2380</v>
      </c>
      <c r="D1285" t="s">
        <v>463</v>
      </c>
      <c r="E1285" t="s">
        <v>2381</v>
      </c>
      <c r="F1285" t="s">
        <v>4140</v>
      </c>
      <c r="G1285" t="s">
        <v>4</v>
      </c>
      <c r="H1285" t="s">
        <v>4</v>
      </c>
      <c r="I1285" t="str">
        <f t="shared" si="41"/>
        <v/>
      </c>
    </row>
    <row r="1286" spans="1:9">
      <c r="A1286">
        <v>1270</v>
      </c>
      <c r="B1286" t="str">
        <f t="shared" si="40"/>
        <v>jonn  doyle</v>
      </c>
      <c r="C1286" t="s">
        <v>2382</v>
      </c>
      <c r="D1286" t="s">
        <v>2383</v>
      </c>
      <c r="E1286" t="s">
        <v>4</v>
      </c>
      <c r="F1286" t="s">
        <v>1964</v>
      </c>
      <c r="G1286" t="s">
        <v>4</v>
      </c>
      <c r="H1286" t="s">
        <v>4</v>
      </c>
      <c r="I1286" t="str">
        <f t="shared" si="41"/>
        <v/>
      </c>
    </row>
    <row r="1287" spans="1:9">
      <c r="A1287">
        <v>1270</v>
      </c>
      <c r="B1287" t="str">
        <f t="shared" si="40"/>
        <v>jonn  doyle</v>
      </c>
      <c r="C1287" t="s">
        <v>2382</v>
      </c>
      <c r="D1287" t="s">
        <v>2383</v>
      </c>
      <c r="E1287" t="s">
        <v>4</v>
      </c>
      <c r="F1287" t="s">
        <v>1964</v>
      </c>
      <c r="G1287" t="s">
        <v>4</v>
      </c>
      <c r="H1287" t="s">
        <v>4</v>
      </c>
      <c r="I1287" t="str">
        <f t="shared" si="41"/>
        <v/>
      </c>
    </row>
    <row r="1288" spans="1:9">
      <c r="A1288">
        <v>1270</v>
      </c>
      <c r="B1288" t="str">
        <f t="shared" si="40"/>
        <v>john porter doyle</v>
      </c>
      <c r="C1288" t="s">
        <v>2382</v>
      </c>
      <c r="D1288" t="s">
        <v>7</v>
      </c>
      <c r="E1288" t="s">
        <v>2384</v>
      </c>
      <c r="F1288" t="s">
        <v>25</v>
      </c>
      <c r="G1288" t="s">
        <v>2385</v>
      </c>
      <c r="H1288" t="s">
        <v>2386</v>
      </c>
      <c r="I1288" t="str">
        <f t="shared" si="41"/>
        <v/>
      </c>
    </row>
    <row r="1289" spans="1:9">
      <c r="A1289">
        <v>1271</v>
      </c>
      <c r="B1289" t="str">
        <f t="shared" si="40"/>
        <v>marguerite d. downing</v>
      </c>
      <c r="C1289" t="s">
        <v>2387</v>
      </c>
      <c r="D1289" t="s">
        <v>2388</v>
      </c>
      <c r="E1289" t="s">
        <v>186</v>
      </c>
      <c r="F1289" t="s">
        <v>32</v>
      </c>
      <c r="G1289" t="s">
        <v>25</v>
      </c>
      <c r="H1289" t="s">
        <v>10</v>
      </c>
      <c r="I1289" t="str">
        <f t="shared" si="41"/>
        <v/>
      </c>
    </row>
    <row r="1290" spans="1:9">
      <c r="A1290">
        <v>1272</v>
      </c>
      <c r="B1290" t="str">
        <f t="shared" si="40"/>
        <v>david bryan downing</v>
      </c>
      <c r="C1290" t="s">
        <v>2387</v>
      </c>
      <c r="D1290" t="s">
        <v>28</v>
      </c>
      <c r="E1290" t="s">
        <v>575</v>
      </c>
      <c r="F1290" t="s">
        <v>32</v>
      </c>
      <c r="G1290" t="s">
        <v>247</v>
      </c>
      <c r="H1290" t="s">
        <v>10</v>
      </c>
      <c r="I1290" t="str">
        <f t="shared" si="41"/>
        <v/>
      </c>
    </row>
    <row r="1291" spans="1:9">
      <c r="A1291">
        <v>1273</v>
      </c>
      <c r="B1291" t="str">
        <f t="shared" si="40"/>
        <v>sean philip dowling</v>
      </c>
      <c r="C1291" t="s">
        <v>2389</v>
      </c>
      <c r="D1291" t="s">
        <v>2390</v>
      </c>
      <c r="E1291" t="s">
        <v>589</v>
      </c>
      <c r="F1291" t="s">
        <v>437</v>
      </c>
      <c r="G1291" t="s">
        <v>4</v>
      </c>
      <c r="H1291" t="s">
        <v>10</v>
      </c>
      <c r="I1291" t="str">
        <f t="shared" si="41"/>
        <v/>
      </c>
    </row>
    <row r="1292" spans="1:9">
      <c r="A1292">
        <v>1274</v>
      </c>
      <c r="B1292" t="str">
        <f t="shared" si="40"/>
        <v>nick alex dourbetas</v>
      </c>
      <c r="C1292" t="s">
        <v>2391</v>
      </c>
      <c r="D1292" t="s">
        <v>1793</v>
      </c>
      <c r="E1292" t="s">
        <v>939</v>
      </c>
      <c r="F1292" t="s">
        <v>137</v>
      </c>
      <c r="G1292" t="s">
        <v>4</v>
      </c>
      <c r="H1292" t="s">
        <v>10</v>
      </c>
      <c r="I1292" t="str">
        <f t="shared" si="41"/>
        <v/>
      </c>
    </row>
    <row r="1293" spans="1:9">
      <c r="A1293">
        <v>1275</v>
      </c>
      <c r="B1293" t="str">
        <f t="shared" si="40"/>
        <v>leopoldo edward ward dorado leo</v>
      </c>
      <c r="C1293" t="s">
        <v>2392</v>
      </c>
      <c r="D1293" t="s">
        <v>2393</v>
      </c>
      <c r="E1293" t="s">
        <v>690</v>
      </c>
      <c r="F1293" t="s">
        <v>387</v>
      </c>
      <c r="G1293" t="s">
        <v>102</v>
      </c>
      <c r="H1293" t="s">
        <v>10</v>
      </c>
      <c r="I1293" t="str">
        <f t="shared" si="41"/>
        <v/>
      </c>
    </row>
    <row r="1294" spans="1:9">
      <c r="A1294">
        <v>1276</v>
      </c>
      <c r="B1294" t="str">
        <f t="shared" si="40"/>
        <v>faye  d'opal</v>
      </c>
      <c r="C1294" t="s">
        <v>2394</v>
      </c>
      <c r="D1294" t="s">
        <v>941</v>
      </c>
      <c r="E1294" t="s">
        <v>4</v>
      </c>
      <c r="F1294" t="s">
        <v>2395</v>
      </c>
      <c r="G1294" t="s">
        <v>4</v>
      </c>
      <c r="H1294" t="s">
        <v>2396</v>
      </c>
      <c r="I1294" t="str">
        <f t="shared" si="41"/>
        <v/>
      </c>
    </row>
    <row r="1295" spans="1:9">
      <c r="A1295">
        <v>1277</v>
      </c>
      <c r="B1295" t="str">
        <f t="shared" si="40"/>
        <v>michael bernard donner 2012 feb 28 am 10:08</v>
      </c>
      <c r="C1295" t="s">
        <v>4141</v>
      </c>
      <c r="D1295" t="s">
        <v>219</v>
      </c>
      <c r="E1295" t="s">
        <v>733</v>
      </c>
      <c r="F1295" t="s">
        <v>32</v>
      </c>
      <c r="G1295" t="s">
        <v>247</v>
      </c>
      <c r="H1295" t="s">
        <v>10</v>
      </c>
      <c r="I1295" t="str">
        <f t="shared" si="41"/>
        <v/>
      </c>
    </row>
    <row r="1296" spans="1:9">
      <c r="A1296">
        <v>1278</v>
      </c>
      <c r="B1296" t="str">
        <f t="shared" si="40"/>
        <v>donal b. donnelly</v>
      </c>
      <c r="C1296" t="s">
        <v>2397</v>
      </c>
      <c r="D1296" t="s">
        <v>2398</v>
      </c>
      <c r="E1296" t="s">
        <v>400</v>
      </c>
      <c r="F1296" t="s">
        <v>32</v>
      </c>
      <c r="G1296" t="s">
        <v>66</v>
      </c>
      <c r="H1296" t="s">
        <v>10</v>
      </c>
      <c r="I1296" t="str">
        <f t="shared" si="41"/>
        <v/>
      </c>
    </row>
    <row r="1297" spans="1:9">
      <c r="A1297">
        <v>1279</v>
      </c>
      <c r="B1297" t="str">
        <f t="shared" si="40"/>
        <v>robert louis dondero</v>
      </c>
      <c r="C1297" t="s">
        <v>2399</v>
      </c>
      <c r="D1297" t="s">
        <v>72</v>
      </c>
      <c r="E1297" t="s">
        <v>540</v>
      </c>
      <c r="F1297" t="s">
        <v>2400</v>
      </c>
      <c r="G1297" t="s">
        <v>1863</v>
      </c>
      <c r="H1297" t="s">
        <v>212</v>
      </c>
      <c r="I1297" t="str">
        <f t="shared" si="41"/>
        <v/>
      </c>
    </row>
    <row r="1298" spans="1:9">
      <c r="A1298">
        <v>1280</v>
      </c>
      <c r="B1298" t="str">
        <f t="shared" si="40"/>
        <v>patriek henry donahue</v>
      </c>
      <c r="C1298" t="s">
        <v>2401</v>
      </c>
      <c r="D1298" t="s">
        <v>2402</v>
      </c>
      <c r="E1298" t="s">
        <v>266</v>
      </c>
      <c r="F1298" t="s">
        <v>4142</v>
      </c>
      <c r="G1298" t="s">
        <v>4</v>
      </c>
      <c r="H1298" t="s">
        <v>4</v>
      </c>
      <c r="I1298" t="str">
        <f t="shared" si="41"/>
        <v/>
      </c>
    </row>
    <row r="1299" spans="1:9">
      <c r="A1299">
        <v>1281</v>
      </c>
      <c r="B1299" t="str">
        <f t="shared" si="40"/>
        <v>juan carlos  dominguez</v>
      </c>
      <c r="C1299" t="s">
        <v>2403</v>
      </c>
      <c r="D1299" t="s">
        <v>2404</v>
      </c>
      <c r="E1299" t="s">
        <v>4</v>
      </c>
      <c r="F1299" t="s">
        <v>46</v>
      </c>
      <c r="G1299" t="s">
        <v>2405</v>
      </c>
      <c r="H1299" t="s">
        <v>10</v>
      </c>
      <c r="I1299" t="str">
        <f t="shared" si="41"/>
        <v/>
      </c>
    </row>
    <row r="1300" spans="1:9">
      <c r="A1300">
        <v>1282</v>
      </c>
      <c r="B1300" t="str">
        <f t="shared" si="40"/>
        <v>gregory arthur dohi</v>
      </c>
      <c r="C1300" t="s">
        <v>2406</v>
      </c>
      <c r="D1300" t="s">
        <v>468</v>
      </c>
      <c r="E1300" t="s">
        <v>169</v>
      </c>
      <c r="F1300" t="s">
        <v>25</v>
      </c>
      <c r="G1300" t="s">
        <v>2407</v>
      </c>
      <c r="H1300" t="s">
        <v>10</v>
      </c>
      <c r="I1300" t="str">
        <f t="shared" si="41"/>
        <v/>
      </c>
    </row>
    <row r="1301" spans="1:9">
      <c r="A1301">
        <v>1283</v>
      </c>
      <c r="B1301" t="str">
        <f t="shared" si="40"/>
        <v>karen lee dixon</v>
      </c>
      <c r="C1301" t="s">
        <v>2408</v>
      </c>
      <c r="D1301" t="s">
        <v>889</v>
      </c>
      <c r="E1301" t="s">
        <v>113</v>
      </c>
      <c r="F1301" t="s">
        <v>49</v>
      </c>
      <c r="G1301" t="s">
        <v>4</v>
      </c>
      <c r="H1301" t="s">
        <v>10</v>
      </c>
      <c r="I1301" t="str">
        <f t="shared" si="41"/>
        <v/>
      </c>
    </row>
    <row r="1302" spans="1:9">
      <c r="A1302">
        <v>1284</v>
      </c>
      <c r="B1302" t="str">
        <f t="shared" si="40"/>
        <v>joseph richard distaso</v>
      </c>
      <c r="C1302" t="s">
        <v>2409</v>
      </c>
      <c r="D1302" t="s">
        <v>80</v>
      </c>
      <c r="E1302" t="s">
        <v>173</v>
      </c>
      <c r="F1302" t="s">
        <v>29</v>
      </c>
      <c r="G1302" t="s">
        <v>2410</v>
      </c>
      <c r="H1302" t="s">
        <v>36</v>
      </c>
      <c r="I1302" t="str">
        <f t="shared" si="41"/>
        <v/>
      </c>
    </row>
    <row r="1303" spans="1:9">
      <c r="A1303">
        <v>1285</v>
      </c>
      <c r="B1303" t="str">
        <f t="shared" si="40"/>
        <v>kathleen o'connor diesman</v>
      </c>
      <c r="C1303" t="s">
        <v>2411</v>
      </c>
      <c r="D1303" t="s">
        <v>188</v>
      </c>
      <c r="E1303" t="s">
        <v>1170</v>
      </c>
      <c r="F1303" t="s">
        <v>32</v>
      </c>
      <c r="G1303" t="s">
        <v>135</v>
      </c>
      <c r="H1303" t="s">
        <v>10</v>
      </c>
      <c r="I1303" t="str">
        <f t="shared" si="41"/>
        <v/>
      </c>
    </row>
    <row r="1304" spans="1:9">
      <c r="A1304">
        <v>1286</v>
      </c>
      <c r="B1304" t="str">
        <f t="shared" si="40"/>
        <v>frederick paul dickerson iii</v>
      </c>
      <c r="C1304" t="s">
        <v>2412</v>
      </c>
      <c r="D1304" t="s">
        <v>254</v>
      </c>
      <c r="E1304" t="s">
        <v>280</v>
      </c>
      <c r="F1304" t="s">
        <v>921</v>
      </c>
      <c r="G1304" t="s">
        <v>118</v>
      </c>
      <c r="H1304" t="s">
        <v>10</v>
      </c>
      <c r="I1304" t="str">
        <f t="shared" si="41"/>
        <v/>
      </c>
    </row>
    <row r="1305" spans="1:9">
      <c r="A1305">
        <v>1287</v>
      </c>
      <c r="B1305" t="str">
        <f t="shared" si="40"/>
        <v>samuel  diaz jr</v>
      </c>
      <c r="C1305" t="s">
        <v>2413</v>
      </c>
      <c r="D1305" t="s">
        <v>1438</v>
      </c>
      <c r="E1305" t="s">
        <v>4</v>
      </c>
      <c r="F1305" t="s">
        <v>921</v>
      </c>
      <c r="G1305" t="s">
        <v>1982</v>
      </c>
      <c r="H1305" t="s">
        <v>10</v>
      </c>
      <c r="I1305" t="str">
        <f t="shared" si="41"/>
        <v/>
      </c>
    </row>
    <row r="1306" spans="1:9">
      <c r="A1306">
        <v>1288</v>
      </c>
      <c r="B1306" t="str">
        <f t="shared" si="40"/>
        <v>rudolph a. diaz</v>
      </c>
      <c r="C1306" t="s">
        <v>2414</v>
      </c>
      <c r="D1306" t="s">
        <v>2415</v>
      </c>
      <c r="E1306" t="s">
        <v>447</v>
      </c>
      <c r="F1306" t="s">
        <v>25</v>
      </c>
      <c r="G1306" t="s">
        <v>4</v>
      </c>
      <c r="H1306" t="s">
        <v>4</v>
      </c>
      <c r="I1306" t="str">
        <f t="shared" si="41"/>
        <v/>
      </c>
    </row>
    <row r="1307" spans="1:9">
      <c r="A1307">
        <v>1289</v>
      </c>
      <c r="B1307" t="str">
        <f t="shared" si="40"/>
        <v>marta s. diaz</v>
      </c>
      <c r="C1307" t="s">
        <v>2414</v>
      </c>
      <c r="D1307" t="s">
        <v>2416</v>
      </c>
      <c r="E1307" t="s">
        <v>174</v>
      </c>
      <c r="F1307" t="s">
        <v>231</v>
      </c>
      <c r="G1307" t="s">
        <v>4</v>
      </c>
      <c r="H1307" t="s">
        <v>10</v>
      </c>
      <c r="I1307" t="str">
        <f t="shared" si="41"/>
        <v/>
      </c>
    </row>
    <row r="1308" spans="1:9">
      <c r="A1308">
        <v>1290</v>
      </c>
      <c r="B1308" t="str">
        <f t="shared" si="40"/>
        <v>joseph e. di loreto</v>
      </c>
      <c r="C1308" t="s">
        <v>2417</v>
      </c>
      <c r="D1308" t="s">
        <v>80</v>
      </c>
      <c r="E1308" t="s">
        <v>127</v>
      </c>
      <c r="F1308" t="s">
        <v>46</v>
      </c>
      <c r="G1308" t="s">
        <v>692</v>
      </c>
      <c r="H1308" t="s">
        <v>10</v>
      </c>
      <c r="I1308" t="str">
        <f t="shared" si="41"/>
        <v/>
      </c>
    </row>
    <row r="1309" spans="1:9">
      <c r="A1309">
        <v>1291</v>
      </c>
      <c r="B1309" t="str">
        <f t="shared" si="40"/>
        <v>james j. di cesare</v>
      </c>
      <c r="C1309" t="s">
        <v>2418</v>
      </c>
      <c r="D1309" t="s">
        <v>90</v>
      </c>
      <c r="E1309" t="s">
        <v>94</v>
      </c>
      <c r="F1309" t="s">
        <v>4029</v>
      </c>
      <c r="G1309" t="s">
        <v>4</v>
      </c>
      <c r="H1309" t="s">
        <v>4</v>
      </c>
      <c r="I1309" t="str">
        <f t="shared" si="41"/>
        <v/>
      </c>
    </row>
    <row r="1310" spans="1:9">
      <c r="A1310">
        <v>1292</v>
      </c>
      <c r="B1310" t="str">
        <f t="shared" si="40"/>
        <v>david l. devore</v>
      </c>
      <c r="C1310" t="s">
        <v>2419</v>
      </c>
      <c r="D1310" t="s">
        <v>28</v>
      </c>
      <c r="E1310" t="s">
        <v>257</v>
      </c>
      <c r="F1310" t="s">
        <v>4143</v>
      </c>
      <c r="G1310" t="s">
        <v>4</v>
      </c>
      <c r="H1310" t="s">
        <v>4</v>
      </c>
      <c r="I1310" t="str">
        <f t="shared" si="41"/>
        <v/>
      </c>
    </row>
    <row r="1311" spans="1:9">
      <c r="A1311">
        <v>1293</v>
      </c>
      <c r="B1311" t="str">
        <f t="shared" si="40"/>
        <v>joseph f devanon</v>
      </c>
      <c r="C1311" t="s">
        <v>2420</v>
      </c>
      <c r="D1311" t="s">
        <v>80</v>
      </c>
      <c r="E1311" t="s">
        <v>288</v>
      </c>
      <c r="F1311" t="s">
        <v>4035</v>
      </c>
      <c r="G1311" t="s">
        <v>4</v>
      </c>
      <c r="H1311" t="s">
        <v>4</v>
      </c>
      <c r="I1311" t="str">
        <f t="shared" si="41"/>
        <v/>
      </c>
    </row>
    <row r="1312" spans="1:9">
      <c r="A1312">
        <v>1294</v>
      </c>
      <c r="B1312" t="str">
        <f t="shared" si="40"/>
        <v>francis michael devaney</v>
      </c>
      <c r="C1312" t="s">
        <v>2421</v>
      </c>
      <c r="D1312" t="s">
        <v>405</v>
      </c>
      <c r="E1312" t="s">
        <v>219</v>
      </c>
      <c r="F1312" t="s">
        <v>101</v>
      </c>
      <c r="G1312" t="s">
        <v>102</v>
      </c>
      <c r="H1312" t="s">
        <v>103</v>
      </c>
      <c r="I1312" t="str">
        <f t="shared" si="41"/>
        <v/>
      </c>
    </row>
    <row r="1313" spans="1:9">
      <c r="A1313">
        <v>1295</v>
      </c>
      <c r="B1313" t="str">
        <f t="shared" si="40"/>
        <v>jennifer r.s. detjen</v>
      </c>
      <c r="C1313" t="s">
        <v>2422</v>
      </c>
      <c r="D1313" t="s">
        <v>685</v>
      </c>
      <c r="E1313" t="s">
        <v>2423</v>
      </c>
      <c r="F1313" t="s">
        <v>19</v>
      </c>
      <c r="G1313" t="s">
        <v>2424</v>
      </c>
      <c r="H1313" t="s">
        <v>21</v>
      </c>
      <c r="I1313" t="str">
        <f t="shared" si="41"/>
        <v/>
      </c>
    </row>
    <row r="1314" spans="1:9">
      <c r="A1314">
        <v>1296</v>
      </c>
      <c r="B1314" t="str">
        <f t="shared" si="40"/>
        <v>dan w. detienne</v>
      </c>
      <c r="C1314" t="s">
        <v>2425</v>
      </c>
      <c r="D1314" t="s">
        <v>1156</v>
      </c>
      <c r="E1314" t="s">
        <v>65</v>
      </c>
      <c r="F1314" t="s">
        <v>1109</v>
      </c>
      <c r="G1314" t="s">
        <v>2426</v>
      </c>
      <c r="H1314" t="s">
        <v>36</v>
      </c>
      <c r="I1314" t="str">
        <f t="shared" si="41"/>
        <v/>
      </c>
    </row>
    <row r="1315" spans="1:9">
      <c r="A1315">
        <v>1297</v>
      </c>
      <c r="B1315" t="str">
        <f t="shared" si="40"/>
        <v>ellen carol deshazer</v>
      </c>
      <c r="C1315" t="s">
        <v>2427</v>
      </c>
      <c r="D1315" t="s">
        <v>453</v>
      </c>
      <c r="E1315" t="s">
        <v>68</v>
      </c>
      <c r="F1315" t="s">
        <v>4144</v>
      </c>
      <c r="G1315" t="s">
        <v>4</v>
      </c>
      <c r="H1315" t="s">
        <v>4</v>
      </c>
      <c r="I1315" t="str">
        <f t="shared" si="41"/>
        <v/>
      </c>
    </row>
    <row r="1316" spans="1:9">
      <c r="A1316">
        <v>1297</v>
      </c>
      <c r="B1316" t="str">
        <f t="shared" si="40"/>
        <v>ellen carol deshazer</v>
      </c>
      <c r="C1316" t="s">
        <v>2427</v>
      </c>
      <c r="D1316" t="s">
        <v>453</v>
      </c>
      <c r="E1316" t="s">
        <v>68</v>
      </c>
      <c r="F1316" t="s">
        <v>4144</v>
      </c>
      <c r="G1316" t="s">
        <v>4</v>
      </c>
      <c r="H1316" t="s">
        <v>4</v>
      </c>
      <c r="I1316" t="str">
        <f t="shared" si="41"/>
        <v/>
      </c>
    </row>
    <row r="1317" spans="1:9">
      <c r="A1317">
        <v>1298</v>
      </c>
      <c r="B1317" t="str">
        <f t="shared" si="40"/>
        <v>tara michele desautels</v>
      </c>
      <c r="C1317" t="s">
        <v>2428</v>
      </c>
      <c r="D1317" t="s">
        <v>954</v>
      </c>
      <c r="E1317" t="s">
        <v>312</v>
      </c>
      <c r="F1317" t="s">
        <v>571</v>
      </c>
      <c r="G1317" t="s">
        <v>2429</v>
      </c>
      <c r="H1317" t="s">
        <v>10</v>
      </c>
      <c r="I1317" t="str">
        <f t="shared" si="41"/>
        <v/>
      </c>
    </row>
    <row r="1318" spans="1:9">
      <c r="A1318">
        <v>1299</v>
      </c>
      <c r="B1318" t="str">
        <f t="shared" si="40"/>
        <v>thomas  desantos</v>
      </c>
      <c r="C1318" t="s">
        <v>2430</v>
      </c>
      <c r="D1318" t="s">
        <v>27</v>
      </c>
      <c r="E1318" t="s">
        <v>4</v>
      </c>
      <c r="F1318" t="s">
        <v>32</v>
      </c>
      <c r="G1318" t="s">
        <v>472</v>
      </c>
      <c r="H1318" t="s">
        <v>36</v>
      </c>
      <c r="I1318" t="str">
        <f t="shared" si="41"/>
        <v/>
      </c>
    </row>
    <row r="1319" spans="1:9">
      <c r="A1319">
        <v>1300</v>
      </c>
      <c r="B1319" t="str">
        <f t="shared" si="40"/>
        <v>steven r. denton</v>
      </c>
      <c r="C1319" t="s">
        <v>2431</v>
      </c>
      <c r="D1319" t="s">
        <v>339</v>
      </c>
      <c r="E1319" t="s">
        <v>265</v>
      </c>
      <c r="F1319" t="s">
        <v>101</v>
      </c>
      <c r="G1319" t="s">
        <v>102</v>
      </c>
      <c r="H1319" t="s">
        <v>103</v>
      </c>
      <c r="I1319" t="str">
        <f t="shared" si="41"/>
        <v/>
      </c>
    </row>
    <row r="1320" spans="1:9">
      <c r="A1320">
        <v>1301</v>
      </c>
      <c r="B1320" t="str">
        <f t="shared" si="40"/>
        <v>kevin g denoce</v>
      </c>
      <c r="C1320" t="s">
        <v>2432</v>
      </c>
      <c r="D1320" t="s">
        <v>1246</v>
      </c>
      <c r="E1320" t="s">
        <v>1074</v>
      </c>
      <c r="F1320" t="s">
        <v>32</v>
      </c>
      <c r="G1320" t="s">
        <v>81</v>
      </c>
      <c r="H1320" t="s">
        <v>10</v>
      </c>
      <c r="I1320" t="str">
        <f t="shared" si="41"/>
        <v/>
      </c>
    </row>
    <row r="1321" spans="1:9">
      <c r="A1321">
        <v>1302</v>
      </c>
      <c r="B1321" t="str">
        <f t="shared" si="40"/>
        <v>bradford john demeo</v>
      </c>
      <c r="C1321" t="s">
        <v>2433</v>
      </c>
      <c r="D1321" t="s">
        <v>2434</v>
      </c>
      <c r="E1321" t="s">
        <v>7</v>
      </c>
      <c r="F1321" t="s">
        <v>32</v>
      </c>
      <c r="G1321" t="s">
        <v>2037</v>
      </c>
      <c r="H1321" t="s">
        <v>1280</v>
      </c>
      <c r="I1321" t="str">
        <f t="shared" si="41"/>
        <v/>
      </c>
    </row>
    <row r="1322" spans="1:9">
      <c r="A1322">
        <v>1303</v>
      </c>
      <c r="B1322" t="str">
        <f t="shared" si="40"/>
        <v>paul attilio delucchi</v>
      </c>
      <c r="C1322" t="s">
        <v>2435</v>
      </c>
      <c r="D1322" t="s">
        <v>280</v>
      </c>
      <c r="E1322" t="s">
        <v>2436</v>
      </c>
      <c r="F1322" t="s">
        <v>2437</v>
      </c>
      <c r="G1322" t="s">
        <v>176</v>
      </c>
      <c r="H1322" t="s">
        <v>36</v>
      </c>
      <c r="I1322" t="str">
        <f t="shared" si="41"/>
        <v/>
      </c>
    </row>
    <row r="1323" spans="1:9">
      <c r="A1323">
        <v>1304</v>
      </c>
      <c r="B1323" t="str">
        <f t="shared" si="40"/>
        <v>michael e. dellostritto</v>
      </c>
      <c r="C1323" t="s">
        <v>2438</v>
      </c>
      <c r="D1323" t="s">
        <v>219</v>
      </c>
      <c r="E1323" t="s">
        <v>127</v>
      </c>
      <c r="F1323" t="s">
        <v>32</v>
      </c>
      <c r="G1323" t="s">
        <v>95</v>
      </c>
      <c r="H1323" t="s">
        <v>10</v>
      </c>
      <c r="I1323" t="str">
        <f t="shared" si="41"/>
        <v/>
      </c>
    </row>
    <row r="1324" spans="1:9">
      <c r="A1324">
        <v>1305</v>
      </c>
      <c r="B1324" t="str">
        <f t="shared" si="40"/>
        <v>roy gorizalez delgado</v>
      </c>
      <c r="C1324" t="s">
        <v>2439</v>
      </c>
      <c r="D1324" t="s">
        <v>869</v>
      </c>
      <c r="E1324" t="s">
        <v>2440</v>
      </c>
      <c r="F1324" t="s">
        <v>628</v>
      </c>
      <c r="G1324" t="s">
        <v>4</v>
      </c>
      <c r="H1324" t="s">
        <v>10</v>
      </c>
      <c r="I1324" t="str">
        <f t="shared" si="41"/>
        <v/>
      </c>
    </row>
    <row r="1325" spans="1:9">
      <c r="A1325">
        <v>1306</v>
      </c>
      <c r="B1325" t="str">
        <f t="shared" si="40"/>
        <v>ron u del pozzo</v>
      </c>
      <c r="C1325" t="s">
        <v>2441</v>
      </c>
      <c r="D1325" t="s">
        <v>2442</v>
      </c>
      <c r="E1325" t="s">
        <v>2443</v>
      </c>
      <c r="F1325" t="s">
        <v>106</v>
      </c>
      <c r="G1325" t="s">
        <v>102</v>
      </c>
      <c r="H1325" t="s">
        <v>2444</v>
      </c>
      <c r="I1325" t="str">
        <f t="shared" si="41"/>
        <v/>
      </c>
    </row>
    <row r="1326" spans="1:9">
      <c r="A1326">
        <v>1307</v>
      </c>
      <c r="B1326" t="str">
        <f t="shared" si="40"/>
        <v>gail  dekreon</v>
      </c>
      <c r="C1326" t="s">
        <v>2445</v>
      </c>
      <c r="D1326" t="s">
        <v>710</v>
      </c>
      <c r="E1326" t="s">
        <v>4</v>
      </c>
      <c r="F1326" t="s">
        <v>2446</v>
      </c>
      <c r="G1326" t="s">
        <v>4</v>
      </c>
      <c r="H1326" t="s">
        <v>10</v>
      </c>
      <c r="I1326" t="str">
        <f t="shared" si="41"/>
        <v/>
      </c>
    </row>
    <row r="1327" spans="1:9">
      <c r="A1327">
        <v>1308</v>
      </c>
      <c r="B1327" t="str">
        <f t="shared" si="40"/>
        <v>peter c. deddeh</v>
      </c>
      <c r="C1327" t="s">
        <v>2447</v>
      </c>
      <c r="D1327" t="s">
        <v>336</v>
      </c>
      <c r="E1327" t="s">
        <v>332</v>
      </c>
      <c r="F1327" t="s">
        <v>101</v>
      </c>
      <c r="G1327" t="s">
        <v>102</v>
      </c>
      <c r="H1327" t="s">
        <v>103</v>
      </c>
      <c r="I1327" t="str">
        <f t="shared" si="41"/>
        <v/>
      </c>
    </row>
    <row r="1328" spans="1:9">
      <c r="A1328">
        <v>1309</v>
      </c>
      <c r="B1328" t="str">
        <f t="shared" si="40"/>
        <v>denise marie de bellefeuille</v>
      </c>
      <c r="C1328" t="s">
        <v>2448</v>
      </c>
      <c r="D1328" t="s">
        <v>178</v>
      </c>
      <c r="E1328" t="s">
        <v>43</v>
      </c>
      <c r="F1328" t="s">
        <v>492</v>
      </c>
      <c r="G1328" t="s">
        <v>2181</v>
      </c>
      <c r="H1328" t="s">
        <v>10</v>
      </c>
      <c r="I1328" t="str">
        <f t="shared" si="41"/>
        <v/>
      </c>
    </row>
    <row r="1329" spans="1:9">
      <c r="A1329">
        <v>1310</v>
      </c>
      <c r="B1329" t="str">
        <f t="shared" si="40"/>
        <v>david francisco de alba</v>
      </c>
      <c r="C1329" t="s">
        <v>2449</v>
      </c>
      <c r="D1329" t="s">
        <v>28</v>
      </c>
      <c r="E1329" t="s">
        <v>2264</v>
      </c>
      <c r="F1329" t="s">
        <v>184</v>
      </c>
      <c r="G1329" t="s">
        <v>4</v>
      </c>
      <c r="H1329" t="s">
        <v>10</v>
      </c>
      <c r="I1329" t="str">
        <f t="shared" si="41"/>
        <v/>
      </c>
    </row>
    <row r="1330" spans="1:9">
      <c r="A1330">
        <v>1311</v>
      </c>
      <c r="B1330" t="str">
        <f t="shared" si="40"/>
        <v>betty l. dawson</v>
      </c>
      <c r="C1330" t="s">
        <v>2450</v>
      </c>
      <c r="D1330" t="s">
        <v>930</v>
      </c>
      <c r="E1330" t="s">
        <v>257</v>
      </c>
      <c r="F1330" t="s">
        <v>19</v>
      </c>
      <c r="G1330" t="s">
        <v>2451</v>
      </c>
      <c r="H1330" t="s">
        <v>212</v>
      </c>
      <c r="I1330" t="str">
        <f t="shared" si="41"/>
        <v/>
      </c>
    </row>
    <row r="1331" spans="1:9">
      <c r="A1331">
        <v>1312</v>
      </c>
      <c r="B1331" t="str">
        <f t="shared" si="40"/>
        <v>william john davis</v>
      </c>
      <c r="C1331" t="s">
        <v>2452</v>
      </c>
      <c r="D1331" t="s">
        <v>155</v>
      </c>
      <c r="E1331" t="s">
        <v>7</v>
      </c>
      <c r="F1331" t="s">
        <v>49</v>
      </c>
      <c r="G1331" t="s">
        <v>4</v>
      </c>
      <c r="H1331" t="s">
        <v>10</v>
      </c>
      <c r="I1331" t="str">
        <f t="shared" si="41"/>
        <v/>
      </c>
    </row>
    <row r="1332" spans="1:9">
      <c r="A1332">
        <v>1313</v>
      </c>
      <c r="B1332" t="str">
        <f t="shared" si="40"/>
        <v>nancy l. davis</v>
      </c>
      <c r="C1332" t="s">
        <v>2452</v>
      </c>
      <c r="D1332" t="s">
        <v>542</v>
      </c>
      <c r="E1332" t="s">
        <v>257</v>
      </c>
      <c r="F1332" t="s">
        <v>2025</v>
      </c>
      <c r="G1332" t="s">
        <v>70</v>
      </c>
      <c r="H1332" t="s">
        <v>4</v>
      </c>
      <c r="I1332" t="str">
        <f t="shared" si="41"/>
        <v/>
      </c>
    </row>
    <row r="1333" spans="1:9">
      <c r="A1333">
        <v>1314</v>
      </c>
      <c r="B1333" t="str">
        <f t="shared" si="40"/>
        <v>lewis  davis</v>
      </c>
      <c r="C1333" t="s">
        <v>2452</v>
      </c>
      <c r="D1333" t="s">
        <v>1104</v>
      </c>
      <c r="E1333" t="s">
        <v>4</v>
      </c>
      <c r="F1333" t="s">
        <v>4145</v>
      </c>
      <c r="G1333" t="s">
        <v>4</v>
      </c>
      <c r="H1333" t="s">
        <v>4</v>
      </c>
      <c r="I1333" t="str">
        <f t="shared" si="41"/>
        <v/>
      </c>
    </row>
    <row r="1334" spans="1:9">
      <c r="A1334">
        <v>1315</v>
      </c>
      <c r="B1334" t="str">
        <f t="shared" si="40"/>
        <v>leland  davis iii</v>
      </c>
      <c r="C1334" t="s">
        <v>2453</v>
      </c>
      <c r="D1334" t="s">
        <v>424</v>
      </c>
      <c r="E1334" t="s">
        <v>4</v>
      </c>
      <c r="F1334" t="s">
        <v>231</v>
      </c>
      <c r="G1334" t="s">
        <v>4</v>
      </c>
      <c r="H1334" t="s">
        <v>10</v>
      </c>
      <c r="I1334" t="str">
        <f t="shared" si="41"/>
        <v/>
      </c>
    </row>
    <row r="1335" spans="1:9">
      <c r="A1335">
        <v>1316</v>
      </c>
      <c r="B1335" t="str">
        <f t="shared" si="40"/>
        <v>keith d. davis</v>
      </c>
      <c r="C1335" t="s">
        <v>2452</v>
      </c>
      <c r="D1335" t="s">
        <v>732</v>
      </c>
      <c r="E1335" t="s">
        <v>186</v>
      </c>
      <c r="F1335" t="s">
        <v>371</v>
      </c>
      <c r="G1335" t="s">
        <v>4</v>
      </c>
      <c r="H1335" t="s">
        <v>10</v>
      </c>
      <c r="I1335" t="str">
        <f t="shared" si="41"/>
        <v/>
      </c>
    </row>
    <row r="1336" spans="1:9">
      <c r="A1336">
        <v>1317</v>
      </c>
      <c r="B1336" t="str">
        <f t="shared" si="40"/>
        <v>john micheal davis</v>
      </c>
      <c r="C1336" t="s">
        <v>2452</v>
      </c>
      <c r="D1336" t="s">
        <v>7</v>
      </c>
      <c r="E1336" t="s">
        <v>2454</v>
      </c>
      <c r="F1336" t="s">
        <v>921</v>
      </c>
      <c r="G1336" t="s">
        <v>118</v>
      </c>
      <c r="H1336" t="s">
        <v>10</v>
      </c>
      <c r="I1336" t="str">
        <f t="shared" si="41"/>
        <v/>
      </c>
    </row>
    <row r="1337" spans="1:9">
      <c r="A1337">
        <v>1317</v>
      </c>
      <c r="B1337" t="str">
        <f t="shared" si="40"/>
        <v>john michael davis</v>
      </c>
      <c r="C1337" t="s">
        <v>2452</v>
      </c>
      <c r="D1337" t="s">
        <v>7</v>
      </c>
      <c r="E1337" t="s">
        <v>219</v>
      </c>
      <c r="F1337" t="s">
        <v>921</v>
      </c>
      <c r="G1337" t="s">
        <v>118</v>
      </c>
      <c r="H1337" t="s">
        <v>10</v>
      </c>
      <c r="I1337" t="str">
        <f t="shared" si="41"/>
        <v/>
      </c>
    </row>
    <row r="1338" spans="1:9">
      <c r="A1338">
        <v>1318</v>
      </c>
      <c r="B1338" t="str">
        <f t="shared" si="40"/>
        <v>rnyonod joseph davilla jr.</v>
      </c>
      <c r="C1338" t="s">
        <v>2455</v>
      </c>
      <c r="D1338" t="s">
        <v>2456</v>
      </c>
      <c r="E1338" t="s">
        <v>80</v>
      </c>
      <c r="F1338" t="s">
        <v>1575</v>
      </c>
      <c r="G1338" t="s">
        <v>49</v>
      </c>
      <c r="H1338" t="s">
        <v>2457</v>
      </c>
      <c r="I1338" t="str">
        <f t="shared" si="41"/>
        <v/>
      </c>
    </row>
    <row r="1339" spans="1:9">
      <c r="A1339">
        <v>1319</v>
      </c>
      <c r="B1339" t="str">
        <f t="shared" si="40"/>
        <v xml:space="preserve"> g. davidian</v>
      </c>
      <c r="C1339" t="s">
        <v>2458</v>
      </c>
      <c r="D1339" t="s">
        <v>4</v>
      </c>
      <c r="E1339" t="s">
        <v>156</v>
      </c>
      <c r="F1339" t="s">
        <v>8</v>
      </c>
      <c r="G1339" t="s">
        <v>132</v>
      </c>
      <c r="H1339" t="s">
        <v>36</v>
      </c>
      <c r="I1339" t="str">
        <f t="shared" si="41"/>
        <v/>
      </c>
    </row>
    <row r="1340" spans="1:9">
      <c r="A1340">
        <v>1320</v>
      </c>
      <c r="B1340" t="str">
        <f t="shared" si="40"/>
        <v>susan m dauphine</v>
      </c>
      <c r="C1340" t="s">
        <v>2459</v>
      </c>
      <c r="D1340" t="s">
        <v>676</v>
      </c>
      <c r="E1340" t="s">
        <v>410</v>
      </c>
      <c r="F1340" t="s">
        <v>2025</v>
      </c>
      <c r="G1340" t="s">
        <v>2460</v>
      </c>
      <c r="H1340" t="s">
        <v>4</v>
      </c>
      <c r="I1340" t="str">
        <f t="shared" si="41"/>
        <v/>
      </c>
    </row>
    <row r="1341" spans="1:9">
      <c r="A1341">
        <v>1321</v>
      </c>
      <c r="B1341" t="str">
        <f t="shared" si="40"/>
        <v>elliot lee daum</v>
      </c>
      <c r="C1341" t="s">
        <v>2461</v>
      </c>
      <c r="D1341" t="s">
        <v>2462</v>
      </c>
      <c r="E1341" t="s">
        <v>113</v>
      </c>
      <c r="F1341" t="s">
        <v>571</v>
      </c>
      <c r="G1341" t="s">
        <v>654</v>
      </c>
      <c r="H1341" t="s">
        <v>2463</v>
      </c>
      <c r="I1341" t="str">
        <f t="shared" si="41"/>
        <v/>
      </c>
    </row>
    <row r="1342" spans="1:9">
      <c r="A1342">
        <v>1322</v>
      </c>
      <c r="B1342" t="str">
        <f t="shared" si="40"/>
        <v>ralph w. dau</v>
      </c>
      <c r="C1342" t="s">
        <v>2464</v>
      </c>
      <c r="D1342" t="s">
        <v>124</v>
      </c>
      <c r="E1342" t="s">
        <v>65</v>
      </c>
      <c r="F1342" t="s">
        <v>46</v>
      </c>
      <c r="G1342" t="s">
        <v>4</v>
      </c>
      <c r="H1342" t="s">
        <v>10</v>
      </c>
      <c r="I1342" t="str">
        <f t="shared" si="41"/>
        <v/>
      </c>
    </row>
    <row r="1343" spans="1:9">
      <c r="A1343">
        <v>1323</v>
      </c>
      <c r="B1343" t="str">
        <f t="shared" si="40"/>
        <v>willaim s. dato</v>
      </c>
      <c r="C1343" t="s">
        <v>2465</v>
      </c>
      <c r="D1343" t="s">
        <v>2466</v>
      </c>
      <c r="E1343" t="s">
        <v>174</v>
      </c>
      <c r="F1343" t="s">
        <v>101</v>
      </c>
      <c r="G1343" t="s">
        <v>102</v>
      </c>
      <c r="H1343" t="s">
        <v>103</v>
      </c>
      <c r="I1343" t="str">
        <f t="shared" si="41"/>
        <v/>
      </c>
    </row>
    <row r="1344" spans="1:9">
      <c r="A1344">
        <v>1324</v>
      </c>
      <c r="B1344" t="str">
        <f t="shared" si="40"/>
        <v>david j. danielsen</v>
      </c>
      <c r="C1344" t="s">
        <v>2467</v>
      </c>
      <c r="D1344" t="s">
        <v>28</v>
      </c>
      <c r="E1344" t="s">
        <v>94</v>
      </c>
      <c r="F1344" t="s">
        <v>101</v>
      </c>
      <c r="G1344" t="s">
        <v>102</v>
      </c>
      <c r="H1344" t="s">
        <v>103</v>
      </c>
      <c r="I1344" t="str">
        <f t="shared" si="41"/>
        <v/>
      </c>
    </row>
    <row r="1345" spans="1:9">
      <c r="A1345">
        <v>1325</v>
      </c>
      <c r="B1345" t="str">
        <f t="shared" si="40"/>
        <v>david scott daniels</v>
      </c>
      <c r="C1345" t="s">
        <v>2468</v>
      </c>
      <c r="D1345" t="s">
        <v>28</v>
      </c>
      <c r="E1345" t="s">
        <v>436</v>
      </c>
      <c r="F1345" t="s">
        <v>567</v>
      </c>
      <c r="G1345" t="s">
        <v>420</v>
      </c>
      <c r="H1345" t="s">
        <v>36</v>
      </c>
      <c r="I1345" t="str">
        <f t="shared" si="41"/>
        <v/>
      </c>
    </row>
    <row r="1346" spans="1:9">
      <c r="A1346">
        <v>1326</v>
      </c>
      <c r="B1346" t="str">
        <f t="shared" si="40"/>
        <v>jean marie dandona</v>
      </c>
      <c r="C1346" t="s">
        <v>2469</v>
      </c>
      <c r="D1346" t="s">
        <v>1131</v>
      </c>
      <c r="E1346" t="s">
        <v>43</v>
      </c>
      <c r="F1346" t="s">
        <v>1177</v>
      </c>
      <c r="G1346" t="s">
        <v>4</v>
      </c>
      <c r="H1346" t="s">
        <v>10</v>
      </c>
      <c r="I1346" t="str">
        <f t="shared" si="41"/>
        <v/>
      </c>
    </row>
    <row r="1347" spans="1:9">
      <c r="A1347">
        <v>1327</v>
      </c>
      <c r="B1347" t="str">
        <f t="shared" ref="B1347:B1410" si="42">TRIM($D1347) &amp; " " &amp; TRIM($E1347) &amp; " " &amp; TRIM($C1347)</f>
        <v>gary e daigh</v>
      </c>
      <c r="C1347" t="s">
        <v>2470</v>
      </c>
      <c r="D1347" t="s">
        <v>123</v>
      </c>
      <c r="E1347" t="s">
        <v>134</v>
      </c>
      <c r="F1347" t="s">
        <v>1964</v>
      </c>
      <c r="G1347" t="s">
        <v>4</v>
      </c>
      <c r="H1347" t="s">
        <v>4</v>
      </c>
      <c r="I1347" t="str">
        <f t="shared" ref="I1347:I1410" si="43">IF(NOT(ISERROR(FIND("judge",F1347))),"judge","")</f>
        <v/>
      </c>
    </row>
    <row r="1348" spans="1:9">
      <c r="A1348">
        <v>1328</v>
      </c>
      <c r="B1348" t="str">
        <f t="shared" si="42"/>
        <v>robert p. dahlquist</v>
      </c>
      <c r="C1348" t="s">
        <v>2471</v>
      </c>
      <c r="D1348" t="s">
        <v>72</v>
      </c>
      <c r="E1348" t="s">
        <v>91</v>
      </c>
      <c r="F1348" t="s">
        <v>101</v>
      </c>
      <c r="G1348" t="s">
        <v>102</v>
      </c>
      <c r="H1348" t="s">
        <v>103</v>
      </c>
      <c r="I1348" t="str">
        <f t="shared" si="43"/>
        <v/>
      </c>
    </row>
    <row r="1349" spans="1:9">
      <c r="A1349">
        <v>1329</v>
      </c>
      <c r="B1349" t="str">
        <f t="shared" si="42"/>
        <v>james richard dabney</v>
      </c>
      <c r="C1349" t="s">
        <v>2472</v>
      </c>
      <c r="D1349" t="s">
        <v>90</v>
      </c>
      <c r="E1349" t="s">
        <v>173</v>
      </c>
      <c r="F1349" t="s">
        <v>25</v>
      </c>
      <c r="G1349" t="s">
        <v>4</v>
      </c>
      <c r="H1349" t="s">
        <v>10</v>
      </c>
      <c r="I1349" t="str">
        <f t="shared" si="43"/>
        <v/>
      </c>
    </row>
    <row r="1350" spans="1:9">
      <c r="A1350">
        <v>1330</v>
      </c>
      <c r="B1350" t="str">
        <f t="shared" si="42"/>
        <v>stephen  czuleger john</v>
      </c>
      <c r="C1350" t="s">
        <v>2473</v>
      </c>
      <c r="D1350" t="s">
        <v>183</v>
      </c>
      <c r="E1350" t="s">
        <v>4</v>
      </c>
      <c r="F1350" t="s">
        <v>1749</v>
      </c>
      <c r="G1350" t="s">
        <v>4</v>
      </c>
      <c r="H1350" t="s">
        <v>4</v>
      </c>
      <c r="I1350" t="str">
        <f t="shared" si="43"/>
        <v/>
      </c>
    </row>
    <row r="1351" spans="1:9">
      <c r="A1351">
        <v>1331</v>
      </c>
      <c r="B1351" t="str">
        <f t="shared" si="42"/>
        <v>mark steven curry</v>
      </c>
      <c r="C1351" t="s">
        <v>2474</v>
      </c>
      <c r="D1351" t="s">
        <v>45</v>
      </c>
      <c r="E1351" t="s">
        <v>339</v>
      </c>
      <c r="F1351" t="s">
        <v>4146</v>
      </c>
      <c r="G1351" t="s">
        <v>4</v>
      </c>
      <c r="H1351" t="s">
        <v>4</v>
      </c>
      <c r="I1351" t="str">
        <f t="shared" si="43"/>
        <v/>
      </c>
    </row>
    <row r="1352" spans="1:9">
      <c r="A1352">
        <v>1332</v>
      </c>
      <c r="B1352" t="str">
        <f t="shared" si="42"/>
        <v>donald joseph currier</v>
      </c>
      <c r="C1352" t="s">
        <v>2475</v>
      </c>
      <c r="D1352" t="s">
        <v>509</v>
      </c>
      <c r="E1352" t="s">
        <v>80</v>
      </c>
      <c r="F1352" t="s">
        <v>1304</v>
      </c>
      <c r="G1352" t="s">
        <v>2476</v>
      </c>
      <c r="H1352" t="s">
        <v>10</v>
      </c>
      <c r="I1352" t="str">
        <f t="shared" si="43"/>
        <v/>
      </c>
    </row>
    <row r="1353" spans="1:9">
      <c r="A1353">
        <v>1333</v>
      </c>
      <c r="B1353" t="str">
        <f t="shared" si="42"/>
        <v>gonzalo paul curiel</v>
      </c>
      <c r="C1353" t="s">
        <v>2477</v>
      </c>
      <c r="D1353" t="s">
        <v>2478</v>
      </c>
      <c r="E1353" t="s">
        <v>280</v>
      </c>
      <c r="F1353" t="s">
        <v>101</v>
      </c>
      <c r="G1353" t="s">
        <v>102</v>
      </c>
      <c r="H1353" t="s">
        <v>103</v>
      </c>
      <c r="I1353" t="str">
        <f t="shared" si="43"/>
        <v/>
      </c>
    </row>
    <row r="1354" spans="1:9">
      <c r="A1354">
        <v>1334</v>
      </c>
      <c r="B1354" t="str">
        <f t="shared" si="42"/>
        <v>david s.iii cunningham</v>
      </c>
      <c r="C1354" t="s">
        <v>2479</v>
      </c>
      <c r="D1354" t="s">
        <v>28</v>
      </c>
      <c r="E1354" t="s">
        <v>2480</v>
      </c>
      <c r="F1354" t="s">
        <v>8</v>
      </c>
      <c r="G1354" t="s">
        <v>135</v>
      </c>
      <c r="H1354" t="s">
        <v>10</v>
      </c>
      <c r="I1354" t="str">
        <f t="shared" si="43"/>
        <v/>
      </c>
    </row>
    <row r="1355" spans="1:9">
      <c r="A1355">
        <v>1335</v>
      </c>
      <c r="B1355" t="str">
        <f t="shared" si="42"/>
        <v>nancy ashley cummins</v>
      </c>
      <c r="C1355" t="s">
        <v>2481</v>
      </c>
      <c r="D1355" t="s">
        <v>542</v>
      </c>
      <c r="E1355" t="s">
        <v>2482</v>
      </c>
      <c r="F1355" t="s">
        <v>1964</v>
      </c>
      <c r="G1355" t="s">
        <v>2483</v>
      </c>
      <c r="H1355" t="s">
        <v>4</v>
      </c>
      <c r="I1355" t="str">
        <f t="shared" si="43"/>
        <v/>
      </c>
    </row>
    <row r="1356" spans="1:9">
      <c r="A1356">
        <v>1336</v>
      </c>
      <c r="B1356" t="str">
        <f t="shared" si="42"/>
        <v>julie r culver</v>
      </c>
      <c r="C1356" t="s">
        <v>1792</v>
      </c>
      <c r="D1356" t="s">
        <v>481</v>
      </c>
      <c r="E1356" t="s">
        <v>53</v>
      </c>
      <c r="F1356" t="s">
        <v>2484</v>
      </c>
      <c r="G1356" t="s">
        <v>2484</v>
      </c>
      <c r="H1356" t="s">
        <v>36</v>
      </c>
      <c r="I1356" t="str">
        <f t="shared" si="43"/>
        <v/>
      </c>
    </row>
    <row r="1357" spans="1:9">
      <c r="A1357">
        <v>1337</v>
      </c>
      <c r="B1357" t="str">
        <f t="shared" si="42"/>
        <v>kevin r. culhane</v>
      </c>
      <c r="C1357" t="s">
        <v>2485</v>
      </c>
      <c r="D1357" t="s">
        <v>1246</v>
      </c>
      <c r="E1357" t="s">
        <v>265</v>
      </c>
      <c r="F1357" t="s">
        <v>32</v>
      </c>
      <c r="G1357" t="s">
        <v>132</v>
      </c>
      <c r="H1357" t="s">
        <v>10</v>
      </c>
      <c r="I1357" t="str">
        <f t="shared" si="43"/>
        <v/>
      </c>
    </row>
    <row r="1358" spans="1:9">
      <c r="A1358">
        <v>1338</v>
      </c>
      <c r="B1358" t="str">
        <f t="shared" si="42"/>
        <v>armando gnecco cuellar</v>
      </c>
      <c r="C1358" t="s">
        <v>2486</v>
      </c>
      <c r="D1358" t="s">
        <v>2487</v>
      </c>
      <c r="E1358" t="s">
        <v>2488</v>
      </c>
      <c r="F1358" t="s">
        <v>4147</v>
      </c>
      <c r="G1358" t="s">
        <v>4</v>
      </c>
      <c r="H1358" t="s">
        <v>4</v>
      </c>
      <c r="I1358" t="str">
        <f t="shared" si="43"/>
        <v/>
      </c>
    </row>
    <row r="1359" spans="1:9">
      <c r="A1359">
        <v>1339</v>
      </c>
      <c r="B1359" t="str">
        <f t="shared" si="42"/>
        <v>h. walter croskey</v>
      </c>
      <c r="C1359" t="s">
        <v>2489</v>
      </c>
      <c r="D1359" t="s">
        <v>957</v>
      </c>
      <c r="E1359" t="s">
        <v>87</v>
      </c>
      <c r="F1359" t="s">
        <v>19</v>
      </c>
      <c r="G1359" t="s">
        <v>20</v>
      </c>
      <c r="H1359" t="s">
        <v>21</v>
      </c>
      <c r="I1359" t="str">
        <f t="shared" si="43"/>
        <v/>
      </c>
    </row>
    <row r="1360" spans="1:9">
      <c r="A1360">
        <v>1340</v>
      </c>
      <c r="B1360" t="str">
        <f t="shared" si="42"/>
        <v>janice c croft</v>
      </c>
      <c r="C1360" t="s">
        <v>2490</v>
      </c>
      <c r="D1360" t="s">
        <v>2491</v>
      </c>
      <c r="E1360" t="s">
        <v>770</v>
      </c>
      <c r="F1360" t="s">
        <v>25</v>
      </c>
      <c r="G1360" t="s">
        <v>4</v>
      </c>
      <c r="H1360" t="s">
        <v>10</v>
      </c>
      <c r="I1360" t="str">
        <f t="shared" si="43"/>
        <v/>
      </c>
    </row>
    <row r="1361" spans="1:9">
      <c r="A1361">
        <v>1341</v>
      </c>
      <c r="B1361" t="str">
        <f t="shared" si="42"/>
        <v>clifford vahan cretan</v>
      </c>
      <c r="C1361" t="s">
        <v>2492</v>
      </c>
      <c r="D1361" t="s">
        <v>1626</v>
      </c>
      <c r="E1361" t="s">
        <v>2493</v>
      </c>
      <c r="F1361" t="s">
        <v>4148</v>
      </c>
      <c r="G1361" t="s">
        <v>4</v>
      </c>
      <c r="H1361" t="s">
        <v>4</v>
      </c>
      <c r="I1361" t="str">
        <f t="shared" si="43"/>
        <v/>
      </c>
    </row>
    <row r="1362" spans="1:9">
      <c r="A1362">
        <v>1342</v>
      </c>
      <c r="B1362" t="str">
        <f t="shared" si="42"/>
        <v>jac a crawford</v>
      </c>
      <c r="C1362" t="s">
        <v>2099</v>
      </c>
      <c r="D1362" t="s">
        <v>2494</v>
      </c>
      <c r="E1362" t="s">
        <v>39</v>
      </c>
      <c r="F1362" t="s">
        <v>1964</v>
      </c>
      <c r="G1362" t="s">
        <v>2495</v>
      </c>
      <c r="H1362" t="s">
        <v>4</v>
      </c>
      <c r="I1362" t="str">
        <f t="shared" si="43"/>
        <v/>
      </c>
    </row>
    <row r="1363" spans="1:9">
      <c r="A1363">
        <v>1343</v>
      </c>
      <c r="B1363" t="str">
        <f t="shared" si="42"/>
        <v>charles stevens crandall</v>
      </c>
      <c r="C1363" t="s">
        <v>2496</v>
      </c>
      <c r="D1363" t="s">
        <v>35</v>
      </c>
      <c r="E1363" t="s">
        <v>2497</v>
      </c>
      <c r="F1363" t="s">
        <v>49</v>
      </c>
      <c r="G1363" t="s">
        <v>479</v>
      </c>
      <c r="H1363" t="s">
        <v>36</v>
      </c>
      <c r="I1363" t="str">
        <f t="shared" si="43"/>
        <v/>
      </c>
    </row>
    <row r="1364" spans="1:9">
      <c r="A1364">
        <v>1344</v>
      </c>
      <c r="B1364" t="str">
        <f t="shared" si="42"/>
        <v>corey scott cramin</v>
      </c>
      <c r="C1364" t="s">
        <v>2498</v>
      </c>
      <c r="D1364" t="s">
        <v>2499</v>
      </c>
      <c r="E1364" t="s">
        <v>436</v>
      </c>
      <c r="F1364" t="s">
        <v>137</v>
      </c>
      <c r="G1364" t="s">
        <v>4</v>
      </c>
      <c r="H1364" t="s">
        <v>36</v>
      </c>
      <c r="I1364" t="str">
        <f t="shared" si="43"/>
        <v/>
      </c>
    </row>
    <row r="1365" spans="1:9">
      <c r="A1365">
        <v>1345</v>
      </c>
      <c r="B1365" t="str">
        <f t="shared" si="42"/>
        <v>joyce marie cram</v>
      </c>
      <c r="C1365" t="s">
        <v>2500</v>
      </c>
      <c r="D1365" t="s">
        <v>1755</v>
      </c>
      <c r="E1365" t="s">
        <v>43</v>
      </c>
      <c r="F1365" t="s">
        <v>755</v>
      </c>
      <c r="G1365" t="s">
        <v>4</v>
      </c>
      <c r="H1365" t="s">
        <v>10</v>
      </c>
      <c r="I1365" t="str">
        <f t="shared" si="43"/>
        <v/>
      </c>
    </row>
    <row r="1366" spans="1:9">
      <c r="A1366">
        <v>1346</v>
      </c>
      <c r="B1366" t="str">
        <f t="shared" si="42"/>
        <v>judith sheryl craddick</v>
      </c>
      <c r="C1366" t="s">
        <v>2501</v>
      </c>
      <c r="D1366" t="s">
        <v>334</v>
      </c>
      <c r="E1366" t="s">
        <v>2502</v>
      </c>
      <c r="F1366" t="s">
        <v>49</v>
      </c>
      <c r="G1366" t="s">
        <v>512</v>
      </c>
      <c r="H1366" t="s">
        <v>2503</v>
      </c>
      <c r="I1366" t="str">
        <f t="shared" si="43"/>
        <v/>
      </c>
    </row>
    <row r="1367" spans="1:9">
      <c r="A1367">
        <v>1347</v>
      </c>
      <c r="B1367" t="str">
        <f t="shared" si="42"/>
        <v>james arlington cox</v>
      </c>
      <c r="C1367" t="s">
        <v>2504</v>
      </c>
      <c r="D1367" t="s">
        <v>90</v>
      </c>
      <c r="E1367" t="s">
        <v>2505</v>
      </c>
      <c r="F1367" t="s">
        <v>49</v>
      </c>
      <c r="G1367" t="s">
        <v>247</v>
      </c>
      <c r="H1367" t="s">
        <v>10</v>
      </c>
      <c r="I1367" t="str">
        <f t="shared" si="43"/>
        <v/>
      </c>
    </row>
    <row r="1368" spans="1:9">
      <c r="A1368">
        <v>1348</v>
      </c>
      <c r="B1368" t="str">
        <f t="shared" si="42"/>
        <v>michael a. cowell</v>
      </c>
      <c r="C1368" t="s">
        <v>2506</v>
      </c>
      <c r="D1368" t="s">
        <v>219</v>
      </c>
      <c r="E1368" t="s">
        <v>447</v>
      </c>
      <c r="F1368" t="s">
        <v>461</v>
      </c>
      <c r="G1368" t="s">
        <v>4</v>
      </c>
      <c r="H1368" t="s">
        <v>36</v>
      </c>
      <c r="I1368" t="str">
        <f t="shared" si="43"/>
        <v/>
      </c>
    </row>
    <row r="1369" spans="1:9">
      <c r="A1369">
        <v>1349</v>
      </c>
      <c r="B1369" t="str">
        <f t="shared" si="42"/>
        <v>manuel j covarrubias</v>
      </c>
      <c r="C1369" t="s">
        <v>2507</v>
      </c>
      <c r="D1369" t="s">
        <v>984</v>
      </c>
      <c r="E1369" t="s">
        <v>1296</v>
      </c>
      <c r="F1369" t="s">
        <v>2508</v>
      </c>
      <c r="G1369" t="s">
        <v>4</v>
      </c>
      <c r="H1369" t="s">
        <v>36</v>
      </c>
      <c r="I1369" t="str">
        <f t="shared" si="43"/>
        <v/>
      </c>
    </row>
    <row r="1370" spans="1:9">
      <c r="A1370">
        <v>1350</v>
      </c>
      <c r="B1370" t="str">
        <f t="shared" si="42"/>
        <v>steven g counelis</v>
      </c>
      <c r="C1370" t="s">
        <v>2509</v>
      </c>
      <c r="D1370" t="s">
        <v>339</v>
      </c>
      <c r="E1370" t="s">
        <v>1074</v>
      </c>
      <c r="F1370" t="s">
        <v>2510</v>
      </c>
      <c r="G1370" t="s">
        <v>4</v>
      </c>
      <c r="H1370" t="s">
        <v>36</v>
      </c>
      <c r="I1370" t="str">
        <f t="shared" si="43"/>
        <v/>
      </c>
    </row>
    <row r="1371" spans="1:9">
      <c r="A1371">
        <v>1351</v>
      </c>
      <c r="B1371" t="str">
        <f t="shared" si="42"/>
        <v>michael d. coughlan</v>
      </c>
      <c r="C1371" t="s">
        <v>2511</v>
      </c>
      <c r="D1371" t="s">
        <v>219</v>
      </c>
      <c r="E1371" t="s">
        <v>186</v>
      </c>
      <c r="F1371" t="s">
        <v>1200</v>
      </c>
      <c r="G1371" t="s">
        <v>4</v>
      </c>
      <c r="H1371" t="s">
        <v>36</v>
      </c>
      <c r="I1371" t="str">
        <f t="shared" si="43"/>
        <v/>
      </c>
    </row>
    <row r="1372" spans="1:9">
      <c r="A1372">
        <v>1352</v>
      </c>
      <c r="B1372" t="str">
        <f t="shared" si="42"/>
        <v>huey penton cotton</v>
      </c>
      <c r="C1372" t="s">
        <v>2512</v>
      </c>
      <c r="D1372" t="s">
        <v>2513</v>
      </c>
      <c r="E1372" t="s">
        <v>2514</v>
      </c>
      <c r="F1372" t="s">
        <v>49</v>
      </c>
      <c r="G1372" t="s">
        <v>461</v>
      </c>
      <c r="H1372" t="s">
        <v>10</v>
      </c>
      <c r="I1372" t="str">
        <f t="shared" si="43"/>
        <v/>
      </c>
    </row>
    <row r="1373" spans="1:9">
      <c r="A1373">
        <v>1353</v>
      </c>
      <c r="B1373" t="str">
        <f t="shared" si="42"/>
        <v>raymond ayala cota</v>
      </c>
      <c r="C1373" t="s">
        <v>2515</v>
      </c>
      <c r="D1373" t="s">
        <v>496</v>
      </c>
      <c r="E1373" t="s">
        <v>2516</v>
      </c>
      <c r="F1373" t="s">
        <v>49</v>
      </c>
      <c r="G1373" t="s">
        <v>102</v>
      </c>
      <c r="H1373" t="s">
        <v>10</v>
      </c>
      <c r="I1373" t="str">
        <f t="shared" si="43"/>
        <v/>
      </c>
    </row>
    <row r="1374" spans="1:9">
      <c r="A1374">
        <v>1354</v>
      </c>
      <c r="B1374" t="str">
        <f t="shared" si="42"/>
        <v>rodney alan cortez</v>
      </c>
      <c r="C1374" t="s">
        <v>2517</v>
      </c>
      <c r="D1374" t="s">
        <v>538</v>
      </c>
      <c r="E1374" t="s">
        <v>48</v>
      </c>
      <c r="F1374" t="s">
        <v>74</v>
      </c>
      <c r="G1374" t="s">
        <v>4</v>
      </c>
      <c r="H1374" t="s">
        <v>10</v>
      </c>
      <c r="I1374" t="str">
        <f t="shared" si="43"/>
        <v/>
      </c>
    </row>
    <row r="1375" spans="1:9">
      <c r="A1375">
        <v>1355</v>
      </c>
      <c r="B1375" t="str">
        <f t="shared" si="42"/>
        <v>carol a corrigan</v>
      </c>
      <c r="C1375" t="s">
        <v>2518</v>
      </c>
      <c r="D1375" t="s">
        <v>68</v>
      </c>
      <c r="E1375" t="s">
        <v>39</v>
      </c>
      <c r="F1375" t="s">
        <v>2519</v>
      </c>
      <c r="G1375" t="s">
        <v>4</v>
      </c>
      <c r="H1375" t="s">
        <v>4</v>
      </c>
      <c r="I1375" t="str">
        <f t="shared" si="43"/>
        <v/>
      </c>
    </row>
    <row r="1376" spans="1:9">
      <c r="A1376">
        <v>1356</v>
      </c>
      <c r="B1376" t="str">
        <f t="shared" si="42"/>
        <v>adolfo martinez corona</v>
      </c>
      <c r="C1376" t="s">
        <v>2520</v>
      </c>
      <c r="D1376" t="s">
        <v>2521</v>
      </c>
      <c r="E1376" t="s">
        <v>1466</v>
      </c>
      <c r="F1376" t="s">
        <v>4149</v>
      </c>
      <c r="G1376" t="s">
        <v>4</v>
      </c>
      <c r="H1376" t="s">
        <v>4</v>
      </c>
      <c r="I1376" t="str">
        <f t="shared" si="43"/>
        <v/>
      </c>
    </row>
    <row r="1377" spans="1:9">
      <c r="A1377">
        <v>1357</v>
      </c>
      <c r="B1377" t="str">
        <f t="shared" si="42"/>
        <v>dennis a. cornell</v>
      </c>
      <c r="C1377" t="s">
        <v>2522</v>
      </c>
      <c r="D1377" t="s">
        <v>1065</v>
      </c>
      <c r="E1377" t="s">
        <v>447</v>
      </c>
      <c r="F1377" t="s">
        <v>19</v>
      </c>
      <c r="G1377" t="s">
        <v>1026</v>
      </c>
      <c r="H1377" t="s">
        <v>212</v>
      </c>
      <c r="I1377" t="str">
        <f t="shared" si="43"/>
        <v/>
      </c>
    </row>
    <row r="1378" spans="1:9">
      <c r="A1378">
        <v>1358</v>
      </c>
      <c r="B1378" t="str">
        <f t="shared" si="42"/>
        <v>ricardo stanislaus county cordova</v>
      </c>
      <c r="C1378" t="s">
        <v>2523</v>
      </c>
      <c r="D1378" t="s">
        <v>1180</v>
      </c>
      <c r="E1378" t="s">
        <v>667</v>
      </c>
      <c r="F1378" t="s">
        <v>2524</v>
      </c>
      <c r="G1378" t="s">
        <v>4</v>
      </c>
      <c r="H1378" t="s">
        <v>10</v>
      </c>
      <c r="I1378" t="str">
        <f t="shared" si="43"/>
        <v/>
      </c>
    </row>
    <row r="1379" spans="1:9">
      <c r="A1379">
        <v>1359</v>
      </c>
      <c r="B1379" t="str">
        <f t="shared" si="42"/>
        <v>mark ashton cope</v>
      </c>
      <c r="C1379" t="s">
        <v>2525</v>
      </c>
      <c r="D1379" t="s">
        <v>45</v>
      </c>
      <c r="E1379" t="s">
        <v>2526</v>
      </c>
      <c r="F1379" t="s">
        <v>32</v>
      </c>
      <c r="G1379" t="s">
        <v>247</v>
      </c>
      <c r="H1379" t="s">
        <v>10</v>
      </c>
      <c r="I1379" t="str">
        <f t="shared" si="43"/>
        <v/>
      </c>
    </row>
    <row r="1380" spans="1:9">
      <c r="A1380">
        <v>1360</v>
      </c>
      <c r="B1380" t="str">
        <f t="shared" si="42"/>
        <v>patricia k cookson</v>
      </c>
      <c r="C1380" t="s">
        <v>2527</v>
      </c>
      <c r="D1380" t="s">
        <v>419</v>
      </c>
      <c r="E1380" t="s">
        <v>514</v>
      </c>
      <c r="F1380" t="s">
        <v>101</v>
      </c>
      <c r="G1380" t="s">
        <v>102</v>
      </c>
      <c r="H1380" t="s">
        <v>103</v>
      </c>
      <c r="I1380" t="str">
        <f t="shared" si="43"/>
        <v/>
      </c>
    </row>
    <row r="1381" spans="1:9">
      <c r="A1381">
        <v>1361</v>
      </c>
      <c r="B1381" t="str">
        <f t="shared" si="42"/>
        <v>michael john convey</v>
      </c>
      <c r="C1381" t="s">
        <v>2528</v>
      </c>
      <c r="D1381" t="s">
        <v>219</v>
      </c>
      <c r="E1381" t="s">
        <v>7</v>
      </c>
      <c r="F1381" t="s">
        <v>46</v>
      </c>
      <c r="G1381" t="s">
        <v>1586</v>
      </c>
      <c r="H1381" t="s">
        <v>36</v>
      </c>
      <c r="I1381" t="str">
        <f t="shared" si="43"/>
        <v/>
      </c>
    </row>
    <row r="1382" spans="1:9">
      <c r="A1382">
        <v>1362</v>
      </c>
      <c r="B1382" t="str">
        <f t="shared" si="42"/>
        <v>ellen gay conroy</v>
      </c>
      <c r="C1382" t="s">
        <v>2529</v>
      </c>
      <c r="D1382" t="s">
        <v>453</v>
      </c>
      <c r="E1382" t="s">
        <v>2530</v>
      </c>
      <c r="F1382" t="s">
        <v>83</v>
      </c>
      <c r="G1382" t="s">
        <v>4</v>
      </c>
      <c r="H1382" t="s">
        <v>36</v>
      </c>
      <c r="I1382" t="str">
        <f t="shared" si="43"/>
        <v/>
      </c>
    </row>
    <row r="1383" spans="1:9">
      <c r="A1383">
        <v>1363</v>
      </c>
      <c r="B1383" t="str">
        <f t="shared" si="42"/>
        <v>rebecca  connolly</v>
      </c>
      <c r="C1383" t="s">
        <v>2531</v>
      </c>
      <c r="D1383" t="s">
        <v>129</v>
      </c>
      <c r="E1383" t="s">
        <v>4</v>
      </c>
      <c r="F1383" t="s">
        <v>2532</v>
      </c>
      <c r="G1383" t="s">
        <v>4</v>
      </c>
      <c r="H1383" t="s">
        <v>36</v>
      </c>
      <c r="I1383" t="str">
        <f t="shared" si="43"/>
        <v/>
      </c>
    </row>
    <row r="1384" spans="1:9">
      <c r="A1384">
        <v>1364</v>
      </c>
      <c r="B1384" t="str">
        <f t="shared" si="42"/>
        <v>patrick emmet connolly</v>
      </c>
      <c r="C1384" t="s">
        <v>2531</v>
      </c>
      <c r="D1384" t="s">
        <v>6</v>
      </c>
      <c r="E1384" t="s">
        <v>2533</v>
      </c>
      <c r="F1384" t="s">
        <v>571</v>
      </c>
      <c r="G1384" t="s">
        <v>49</v>
      </c>
      <c r="H1384" t="s">
        <v>36</v>
      </c>
      <c r="I1384" t="str">
        <f t="shared" si="43"/>
        <v/>
      </c>
    </row>
    <row r="1385" spans="1:9">
      <c r="A1385">
        <v>1365</v>
      </c>
      <c r="B1385" t="str">
        <f t="shared" si="42"/>
        <v>lloyd g. connelly</v>
      </c>
      <c r="C1385" t="s">
        <v>2534</v>
      </c>
      <c r="D1385" t="s">
        <v>1230</v>
      </c>
      <c r="E1385" t="s">
        <v>156</v>
      </c>
      <c r="F1385" t="s">
        <v>32</v>
      </c>
      <c r="G1385" t="s">
        <v>132</v>
      </c>
      <c r="H1385" t="s">
        <v>10</v>
      </c>
      <c r="I1385" t="str">
        <f t="shared" si="43"/>
        <v/>
      </c>
    </row>
    <row r="1386" spans="1:9">
      <c r="A1386">
        <v>1366</v>
      </c>
      <c r="B1386" t="str">
        <f t="shared" si="42"/>
        <v xml:space="preserve"> bf conleyjohn dorsey</v>
      </c>
      <c r="C1386" t="s">
        <v>2535</v>
      </c>
      <c r="D1386" t="s">
        <v>4</v>
      </c>
      <c r="E1386" t="s">
        <v>767</v>
      </c>
      <c r="F1386" t="s">
        <v>4036</v>
      </c>
      <c r="G1386" t="s">
        <v>4</v>
      </c>
      <c r="H1386" t="s">
        <v>4</v>
      </c>
      <c r="I1386" t="str">
        <f t="shared" si="43"/>
        <v/>
      </c>
    </row>
    <row r="1387" spans="1:9">
      <c r="A1387">
        <v>1367</v>
      </c>
      <c r="B1387" t="str">
        <f t="shared" si="42"/>
        <v>jonathan butler conklin</v>
      </c>
      <c r="C1387" t="s">
        <v>2536</v>
      </c>
      <c r="D1387" t="s">
        <v>630</v>
      </c>
      <c r="E1387" t="s">
        <v>2537</v>
      </c>
      <c r="F1387" t="s">
        <v>633</v>
      </c>
      <c r="G1387" t="s">
        <v>4</v>
      </c>
      <c r="H1387" t="s">
        <v>10</v>
      </c>
      <c r="I1387" t="str">
        <f t="shared" si="43"/>
        <v/>
      </c>
    </row>
    <row r="1388" spans="1:9">
      <c r="A1388">
        <v>1368</v>
      </c>
      <c r="B1388" t="str">
        <f t="shared" si="42"/>
        <v>linda ruth condron</v>
      </c>
      <c r="C1388" t="s">
        <v>2538</v>
      </c>
      <c r="D1388" t="s">
        <v>989</v>
      </c>
      <c r="E1388" t="s">
        <v>1664</v>
      </c>
      <c r="F1388" t="s">
        <v>492</v>
      </c>
      <c r="G1388" t="s">
        <v>1034</v>
      </c>
      <c r="H1388" t="s">
        <v>10</v>
      </c>
      <c r="I1388" t="str">
        <f t="shared" si="43"/>
        <v/>
      </c>
    </row>
    <row r="1389" spans="1:9">
      <c r="A1389">
        <v>1369</v>
      </c>
      <c r="B1389" t="str">
        <f t="shared" si="42"/>
        <v>joan  comparet-cassani</v>
      </c>
      <c r="C1389" t="s">
        <v>2539</v>
      </c>
      <c r="D1389" t="s">
        <v>242</v>
      </c>
      <c r="E1389" t="s">
        <v>4</v>
      </c>
      <c r="F1389" t="s">
        <v>25</v>
      </c>
      <c r="G1389" t="s">
        <v>2540</v>
      </c>
      <c r="H1389" t="s">
        <v>10</v>
      </c>
      <c r="I1389" t="str">
        <f t="shared" si="43"/>
        <v/>
      </c>
    </row>
    <row r="1390" spans="1:9">
      <c r="A1390">
        <v>1370</v>
      </c>
      <c r="B1390" t="str">
        <f t="shared" si="42"/>
        <v>james barbara liem collins</v>
      </c>
      <c r="C1390" t="s">
        <v>2541</v>
      </c>
      <c r="D1390" t="s">
        <v>90</v>
      </c>
      <c r="E1390" t="s">
        <v>2542</v>
      </c>
      <c r="F1390" t="s">
        <v>4150</v>
      </c>
      <c r="G1390" t="s">
        <v>4</v>
      </c>
      <c r="H1390" t="s">
        <v>4</v>
      </c>
      <c r="I1390" t="str">
        <f t="shared" si="43"/>
        <v/>
      </c>
    </row>
    <row r="1391" spans="1:9">
      <c r="A1391">
        <v>1371</v>
      </c>
      <c r="B1391" t="str">
        <f t="shared" si="42"/>
        <v xml:space="preserve">  colfax linda h</v>
      </c>
      <c r="C1391" t="s">
        <v>2543</v>
      </c>
      <c r="D1391" t="s">
        <v>4</v>
      </c>
      <c r="E1391" t="s">
        <v>4</v>
      </c>
      <c r="F1391" t="s">
        <v>4151</v>
      </c>
      <c r="G1391" t="s">
        <v>4</v>
      </c>
      <c r="H1391" t="s">
        <v>4</v>
      </c>
      <c r="I1391" t="str">
        <f t="shared" si="43"/>
        <v/>
      </c>
    </row>
    <row r="1392" spans="1:9">
      <c r="A1392">
        <v>1372</v>
      </c>
      <c r="B1392" t="str">
        <f t="shared" si="42"/>
        <v>donald dean coleman</v>
      </c>
      <c r="C1392" t="s">
        <v>2544</v>
      </c>
      <c r="D1392" t="s">
        <v>509</v>
      </c>
      <c r="E1392" t="s">
        <v>535</v>
      </c>
      <c r="F1392" t="s">
        <v>32</v>
      </c>
      <c r="G1392" t="s">
        <v>81</v>
      </c>
      <c r="H1392" t="s">
        <v>36</v>
      </c>
      <c r="I1392" t="str">
        <f t="shared" si="43"/>
        <v/>
      </c>
    </row>
    <row r="1393" spans="1:9">
      <c r="A1393">
        <v>1373</v>
      </c>
      <c r="B1393" t="str">
        <f t="shared" si="42"/>
        <v>lisa hart cole</v>
      </c>
      <c r="C1393" t="s">
        <v>2545</v>
      </c>
      <c r="D1393" t="s">
        <v>753</v>
      </c>
      <c r="E1393" t="s">
        <v>2546</v>
      </c>
      <c r="F1393" t="s">
        <v>25</v>
      </c>
      <c r="G1393" t="s">
        <v>2547</v>
      </c>
      <c r="H1393" t="s">
        <v>4</v>
      </c>
      <c r="I1393" t="str">
        <f t="shared" si="43"/>
        <v/>
      </c>
    </row>
    <row r="1394" spans="1:9">
      <c r="A1394">
        <v>1374</v>
      </c>
      <c r="B1394" t="str">
        <f t="shared" si="42"/>
        <v>debra ann cole-hall</v>
      </c>
      <c r="C1394" t="s">
        <v>2548</v>
      </c>
      <c r="D1394" t="s">
        <v>1778</v>
      </c>
      <c r="E1394" t="s">
        <v>3</v>
      </c>
      <c r="F1394" t="s">
        <v>1749</v>
      </c>
      <c r="G1394" t="s">
        <v>4</v>
      </c>
      <c r="H1394" t="s">
        <v>4</v>
      </c>
      <c r="I1394" t="str">
        <f t="shared" si="43"/>
        <v/>
      </c>
    </row>
    <row r="1395" spans="1:9">
      <c r="A1395">
        <v>1375</v>
      </c>
      <c r="B1395" t="str">
        <f t="shared" si="42"/>
        <v>thierry patrick colaw</v>
      </c>
      <c r="C1395" t="s">
        <v>2549</v>
      </c>
      <c r="D1395" t="s">
        <v>2550</v>
      </c>
      <c r="E1395" t="s">
        <v>6</v>
      </c>
      <c r="F1395" t="s">
        <v>4152</v>
      </c>
      <c r="G1395" t="s">
        <v>4</v>
      </c>
      <c r="H1395" t="s">
        <v>4</v>
      </c>
      <c r="I1395" t="str">
        <f t="shared" si="43"/>
        <v/>
      </c>
    </row>
    <row r="1396" spans="1:9">
      <c r="A1396">
        <v>1376</v>
      </c>
      <c r="B1396" t="str">
        <f t="shared" si="42"/>
        <v>david samuel cohn</v>
      </c>
      <c r="C1396" t="s">
        <v>2551</v>
      </c>
      <c r="D1396" t="s">
        <v>28</v>
      </c>
      <c r="E1396" t="s">
        <v>1438</v>
      </c>
      <c r="F1396" t="s">
        <v>371</v>
      </c>
      <c r="G1396" t="s">
        <v>626</v>
      </c>
      <c r="H1396" t="s">
        <v>36</v>
      </c>
      <c r="I1396" t="str">
        <f t="shared" si="43"/>
        <v/>
      </c>
    </row>
    <row r="1397" spans="1:9">
      <c r="A1397">
        <v>1377</v>
      </c>
      <c r="B1397" t="str">
        <f t="shared" si="42"/>
        <v>paul h coffee</v>
      </c>
      <c r="C1397" t="s">
        <v>2552</v>
      </c>
      <c r="D1397" t="s">
        <v>280</v>
      </c>
      <c r="E1397" t="s">
        <v>250</v>
      </c>
      <c r="F1397" t="s">
        <v>19</v>
      </c>
      <c r="G1397" t="s">
        <v>62</v>
      </c>
      <c r="H1397" t="s">
        <v>21</v>
      </c>
      <c r="I1397" t="str">
        <f t="shared" si="43"/>
        <v/>
      </c>
    </row>
    <row r="1398" spans="1:9">
      <c r="A1398">
        <v>1378</v>
      </c>
      <c r="B1398" t="str">
        <f t="shared" si="42"/>
        <v>ronald s. coen</v>
      </c>
      <c r="C1398" t="s">
        <v>2553</v>
      </c>
      <c r="D1398" t="s">
        <v>413</v>
      </c>
      <c r="E1398" t="s">
        <v>174</v>
      </c>
      <c r="F1398" t="s">
        <v>1143</v>
      </c>
      <c r="G1398" t="s">
        <v>4</v>
      </c>
      <c r="H1398" t="s">
        <v>10</v>
      </c>
      <c r="I1398" t="str">
        <f t="shared" si="43"/>
        <v/>
      </c>
    </row>
    <row r="1399" spans="1:9">
      <c r="A1399">
        <v>1379</v>
      </c>
      <c r="B1399" t="str">
        <f t="shared" si="42"/>
        <v>tari lynn cody</v>
      </c>
      <c r="C1399" t="s">
        <v>2554</v>
      </c>
      <c r="D1399" t="s">
        <v>2555</v>
      </c>
      <c r="E1399" t="s">
        <v>197</v>
      </c>
      <c r="F1399" t="s">
        <v>83</v>
      </c>
      <c r="G1399" t="s">
        <v>4</v>
      </c>
      <c r="H1399" t="s">
        <v>10</v>
      </c>
      <c r="I1399" t="str">
        <f t="shared" si="43"/>
        <v/>
      </c>
    </row>
    <row r="1400" spans="1:9">
      <c r="A1400">
        <v>1380</v>
      </c>
      <c r="B1400" t="str">
        <f t="shared" si="42"/>
        <v>carol d. codrington</v>
      </c>
      <c r="C1400" t="s">
        <v>2556</v>
      </c>
      <c r="D1400" t="s">
        <v>68</v>
      </c>
      <c r="E1400" t="s">
        <v>186</v>
      </c>
      <c r="F1400" t="s">
        <v>674</v>
      </c>
      <c r="G1400" t="s">
        <v>985</v>
      </c>
      <c r="H1400" t="s">
        <v>212</v>
      </c>
      <c r="I1400" t="str">
        <f t="shared" si="43"/>
        <v/>
      </c>
    </row>
    <row r="1401" spans="1:9">
      <c r="A1401">
        <v>1381</v>
      </c>
      <c r="B1401" t="str">
        <f t="shared" si="42"/>
        <v>suzette  clover</v>
      </c>
      <c r="C1401" t="s">
        <v>2557</v>
      </c>
      <c r="D1401" t="s">
        <v>2558</v>
      </c>
      <c r="E1401" t="s">
        <v>4</v>
      </c>
      <c r="F1401" t="s">
        <v>46</v>
      </c>
      <c r="G1401" t="s">
        <v>4</v>
      </c>
      <c r="H1401" t="s">
        <v>10</v>
      </c>
      <c r="I1401" t="str">
        <f t="shared" si="43"/>
        <v/>
      </c>
    </row>
    <row r="1402" spans="1:9">
      <c r="A1402">
        <v>1382</v>
      </c>
      <c r="B1402" t="str">
        <f t="shared" si="42"/>
        <v>james p cloninger</v>
      </c>
      <c r="C1402" t="s">
        <v>2559</v>
      </c>
      <c r="D1402" t="s">
        <v>90</v>
      </c>
      <c r="E1402" t="s">
        <v>252</v>
      </c>
      <c r="F1402" t="s">
        <v>32</v>
      </c>
      <c r="G1402" t="s">
        <v>50</v>
      </c>
      <c r="H1402" t="s">
        <v>10</v>
      </c>
      <c r="I1402" t="str">
        <f t="shared" si="43"/>
        <v/>
      </c>
    </row>
    <row r="1403" spans="1:9">
      <c r="A1403">
        <v>1383</v>
      </c>
      <c r="B1403" t="str">
        <f t="shared" si="42"/>
        <v>richard g. cline</v>
      </c>
      <c r="C1403" t="s">
        <v>2560</v>
      </c>
      <c r="D1403" t="s">
        <v>173</v>
      </c>
      <c r="E1403" t="s">
        <v>156</v>
      </c>
      <c r="F1403" t="s">
        <v>101</v>
      </c>
      <c r="G1403" t="s">
        <v>102</v>
      </c>
      <c r="H1403" t="s">
        <v>103</v>
      </c>
      <c r="I1403" t="str">
        <f t="shared" si="43"/>
        <v/>
      </c>
    </row>
    <row r="1404" spans="1:9">
      <c r="A1404">
        <v>1384</v>
      </c>
      <c r="B1404" t="str">
        <f t="shared" si="42"/>
        <v>charles q clay</v>
      </c>
      <c r="C1404" t="s">
        <v>620</v>
      </c>
      <c r="D1404" t="s">
        <v>35</v>
      </c>
      <c r="E1404" t="s">
        <v>1592</v>
      </c>
      <c r="F1404" t="s">
        <v>4153</v>
      </c>
      <c r="G1404" t="s">
        <v>4</v>
      </c>
      <c r="H1404" t="s">
        <v>4</v>
      </c>
      <c r="I1404" t="str">
        <f t="shared" si="43"/>
        <v/>
      </c>
    </row>
    <row r="1405" spans="1:9">
      <c r="A1405">
        <v>259</v>
      </c>
      <c r="B1405" t="str">
        <f t="shared" si="42"/>
        <v>clarence don clay</v>
      </c>
      <c r="C1405" t="s">
        <v>620</v>
      </c>
      <c r="D1405" t="s">
        <v>4154</v>
      </c>
      <c r="E1405" t="s">
        <v>1083</v>
      </c>
      <c r="F1405" t="s">
        <v>387</v>
      </c>
      <c r="G1405" t="s">
        <v>4</v>
      </c>
      <c r="H1405" t="s">
        <v>10</v>
      </c>
      <c r="I1405" t="str">
        <f t="shared" si="43"/>
        <v/>
      </c>
    </row>
    <row r="1406" spans="1:9">
      <c r="A1406">
        <v>1385</v>
      </c>
      <c r="B1406" t="str">
        <f t="shared" si="42"/>
        <v>william d. claster</v>
      </c>
      <c r="C1406" t="s">
        <v>2561</v>
      </c>
      <c r="D1406" t="s">
        <v>155</v>
      </c>
      <c r="E1406" t="s">
        <v>186</v>
      </c>
      <c r="F1406" t="s">
        <v>4119</v>
      </c>
      <c r="G1406" t="s">
        <v>4</v>
      </c>
      <c r="H1406" t="s">
        <v>4</v>
      </c>
      <c r="I1406" t="str">
        <f t="shared" si="43"/>
        <v/>
      </c>
    </row>
    <row r="1407" spans="1:9">
      <c r="A1407">
        <v>1386</v>
      </c>
      <c r="B1407" t="str">
        <f t="shared" si="42"/>
        <v>george woodman clarke</v>
      </c>
      <c r="C1407" t="s">
        <v>2562</v>
      </c>
      <c r="D1407" t="s">
        <v>237</v>
      </c>
      <c r="E1407" t="s">
        <v>2563</v>
      </c>
      <c r="F1407" t="s">
        <v>101</v>
      </c>
      <c r="G1407" t="s">
        <v>102</v>
      </c>
      <c r="H1407" t="s">
        <v>103</v>
      </c>
      <c r="I1407" t="str">
        <f t="shared" si="43"/>
        <v/>
      </c>
    </row>
    <row r="1408" spans="1:9">
      <c r="A1408">
        <v>1387</v>
      </c>
      <c r="B1408" t="str">
        <f t="shared" si="42"/>
        <v>edmund willcox clarke jr</v>
      </c>
      <c r="C1408" t="s">
        <v>2564</v>
      </c>
      <c r="D1408" t="s">
        <v>2565</v>
      </c>
      <c r="E1408" t="s">
        <v>2566</v>
      </c>
      <c r="F1408" t="s">
        <v>2567</v>
      </c>
      <c r="G1408" t="s">
        <v>299</v>
      </c>
      <c r="H1408" t="s">
        <v>10</v>
      </c>
      <c r="I1408" t="str">
        <f t="shared" si="43"/>
        <v/>
      </c>
    </row>
    <row r="1409" spans="1:9">
      <c r="A1409">
        <v>1388</v>
      </c>
      <c r="B1409" t="str">
        <f t="shared" si="42"/>
        <v>thomas s. clark</v>
      </c>
      <c r="C1409" t="s">
        <v>2568</v>
      </c>
      <c r="D1409" t="s">
        <v>27</v>
      </c>
      <c r="E1409" t="s">
        <v>174</v>
      </c>
      <c r="F1409" t="s">
        <v>32</v>
      </c>
      <c r="G1409" t="s">
        <v>95</v>
      </c>
      <c r="H1409" t="s">
        <v>10</v>
      </c>
      <c r="I1409" t="str">
        <f t="shared" si="43"/>
        <v/>
      </c>
    </row>
    <row r="1410" spans="1:9">
      <c r="A1410">
        <v>26</v>
      </c>
      <c r="B1410" t="str">
        <f t="shared" si="42"/>
        <v>l.michael  clark</v>
      </c>
      <c r="C1410" t="s">
        <v>2568</v>
      </c>
      <c r="D1410" t="s">
        <v>2569</v>
      </c>
      <c r="E1410" t="s">
        <v>4</v>
      </c>
      <c r="F1410" t="s">
        <v>14</v>
      </c>
      <c r="G1410" t="s">
        <v>4</v>
      </c>
      <c r="H1410" t="s">
        <v>36</v>
      </c>
      <c r="I1410" t="str">
        <f t="shared" si="43"/>
        <v/>
      </c>
    </row>
    <row r="1411" spans="1:9">
      <c r="A1411">
        <v>1389</v>
      </c>
      <c r="B1411" t="str">
        <f t="shared" ref="B1411:B1474" si="44">TRIM($D1411) &amp; " " &amp; TRIM($E1411) &amp; " " &amp; TRIM($C1411)</f>
        <v>judith crandall clark</v>
      </c>
      <c r="C1411" t="s">
        <v>2568</v>
      </c>
      <c r="D1411" t="s">
        <v>334</v>
      </c>
      <c r="E1411" t="s">
        <v>2496</v>
      </c>
      <c r="F1411" t="s">
        <v>2570</v>
      </c>
      <c r="G1411" t="s">
        <v>2571</v>
      </c>
      <c r="H1411" t="s">
        <v>10</v>
      </c>
      <c r="I1411" t="str">
        <f t="shared" ref="I1411:I1474" si="45">IF(NOT(ISERROR(FIND("judge",F1411))),"judge","")</f>
        <v/>
      </c>
    </row>
    <row r="1412" spans="1:9">
      <c r="A1412">
        <v>1390</v>
      </c>
      <c r="B1412" t="str">
        <f t="shared" si="44"/>
        <v>timothy paul cissna</v>
      </c>
      <c r="C1412" t="s">
        <v>2572</v>
      </c>
      <c r="D1412" t="s">
        <v>264</v>
      </c>
      <c r="E1412" t="s">
        <v>280</v>
      </c>
      <c r="F1412" t="s">
        <v>2573</v>
      </c>
      <c r="G1412" t="s">
        <v>4</v>
      </c>
      <c r="H1412" t="s">
        <v>10</v>
      </c>
      <c r="I1412" t="str">
        <f t="shared" si="45"/>
        <v/>
      </c>
    </row>
    <row r="1413" spans="1:9">
      <c r="A1413">
        <v>1391</v>
      </c>
      <c r="B1413" t="str">
        <f t="shared" si="44"/>
        <v>lisa munger chung</v>
      </c>
      <c r="C1413" t="s">
        <v>826</v>
      </c>
      <c r="D1413" t="s">
        <v>753</v>
      </c>
      <c r="E1413" t="s">
        <v>2574</v>
      </c>
      <c r="F1413" t="s">
        <v>1749</v>
      </c>
      <c r="G1413" t="s">
        <v>4</v>
      </c>
      <c r="H1413" t="s">
        <v>4</v>
      </c>
      <c r="I1413" t="str">
        <f t="shared" si="45"/>
        <v/>
      </c>
    </row>
    <row r="1414" spans="1:9">
      <c r="A1414">
        <v>1392</v>
      </c>
      <c r="B1414" t="str">
        <f t="shared" si="44"/>
        <v>charles (carlos) a. chung</v>
      </c>
      <c r="C1414" t="s">
        <v>826</v>
      </c>
      <c r="D1414" t="s">
        <v>2575</v>
      </c>
      <c r="E1414" t="s">
        <v>447</v>
      </c>
      <c r="F1414" t="s">
        <v>25</v>
      </c>
      <c r="G1414" t="s">
        <v>4</v>
      </c>
      <c r="H1414" t="s">
        <v>36</v>
      </c>
      <c r="I1414" t="str">
        <f t="shared" si="45"/>
        <v/>
      </c>
    </row>
    <row r="1415" spans="1:9">
      <c r="A1415">
        <v>1393</v>
      </c>
      <c r="B1415" t="str">
        <f t="shared" si="44"/>
        <v>deborah jane chuang</v>
      </c>
      <c r="C1415" t="s">
        <v>2576</v>
      </c>
      <c r="D1415" t="s">
        <v>801</v>
      </c>
      <c r="E1415" t="s">
        <v>1823</v>
      </c>
      <c r="F1415" t="s">
        <v>2577</v>
      </c>
      <c r="G1415" t="s">
        <v>4</v>
      </c>
      <c r="H1415" t="s">
        <v>10</v>
      </c>
      <c r="I1415" t="str">
        <f t="shared" si="45"/>
        <v/>
      </c>
    </row>
    <row r="1416" spans="1:9">
      <c r="A1416">
        <v>1394</v>
      </c>
      <c r="B1416" t="str">
        <f t="shared" si="44"/>
        <v>ronald michael christianson</v>
      </c>
      <c r="C1416" t="s">
        <v>2578</v>
      </c>
      <c r="D1416" t="s">
        <v>413</v>
      </c>
      <c r="E1416" t="s">
        <v>219</v>
      </c>
      <c r="F1416" t="s">
        <v>2579</v>
      </c>
      <c r="G1416" t="s">
        <v>4</v>
      </c>
      <c r="H1416" t="s">
        <v>36</v>
      </c>
      <c r="I1416" t="str">
        <f t="shared" si="45"/>
        <v/>
      </c>
    </row>
    <row r="1417" spans="1:9">
      <c r="A1417">
        <v>1395</v>
      </c>
      <c r="B1417" t="str">
        <f t="shared" si="44"/>
        <v>sarah adams christian</v>
      </c>
      <c r="C1417" t="s">
        <v>455</v>
      </c>
      <c r="D1417" t="s">
        <v>2580</v>
      </c>
      <c r="E1417" t="s">
        <v>2581</v>
      </c>
      <c r="F1417" t="s">
        <v>32</v>
      </c>
      <c r="G1417" t="s">
        <v>2582</v>
      </c>
      <c r="H1417" t="s">
        <v>36</v>
      </c>
      <c r="I1417" t="str">
        <f t="shared" si="45"/>
        <v/>
      </c>
    </row>
    <row r="1418" spans="1:9">
      <c r="A1418">
        <v>1396</v>
      </c>
      <c r="B1418" t="str">
        <f t="shared" si="44"/>
        <v>l  christian deborah</v>
      </c>
      <c r="C1418" t="s">
        <v>2583</v>
      </c>
      <c r="D1418" t="s">
        <v>77</v>
      </c>
      <c r="E1418" t="s">
        <v>4</v>
      </c>
      <c r="F1418" t="s">
        <v>49</v>
      </c>
      <c r="G1418" t="s">
        <v>40</v>
      </c>
      <c r="H1418" t="s">
        <v>10</v>
      </c>
      <c r="I1418" t="str">
        <f t="shared" si="45"/>
        <v/>
      </c>
    </row>
    <row r="1419" spans="1:9">
      <c r="A1419">
        <v>1397</v>
      </c>
      <c r="B1419" t="str">
        <f t="shared" si="44"/>
        <v>rene auguste chouteau</v>
      </c>
      <c r="C1419" t="s">
        <v>2584</v>
      </c>
      <c r="D1419" t="s">
        <v>305</v>
      </c>
      <c r="E1419" t="s">
        <v>2585</v>
      </c>
      <c r="F1419" t="s">
        <v>654</v>
      </c>
      <c r="G1419" t="s">
        <v>4</v>
      </c>
      <c r="H1419" t="s">
        <v>10</v>
      </c>
      <c r="I1419" t="str">
        <f t="shared" si="45"/>
        <v/>
      </c>
    </row>
    <row r="1420" spans="1:9">
      <c r="A1420">
        <v>1398</v>
      </c>
      <c r="B1420" t="str">
        <f t="shared" si="44"/>
        <v>james tsaiming chou</v>
      </c>
      <c r="C1420" t="s">
        <v>2586</v>
      </c>
      <c r="D1420" t="s">
        <v>90</v>
      </c>
      <c r="E1420" t="s">
        <v>2587</v>
      </c>
      <c r="F1420" t="s">
        <v>2588</v>
      </c>
      <c r="G1420" t="s">
        <v>4</v>
      </c>
      <c r="H1420" t="s">
        <v>10</v>
      </c>
      <c r="I1420" t="str">
        <f t="shared" si="45"/>
        <v/>
      </c>
    </row>
    <row r="1421" spans="1:9">
      <c r="A1421">
        <v>1399</v>
      </c>
      <c r="B1421" t="str">
        <f t="shared" si="44"/>
        <v>lawrence h cho</v>
      </c>
      <c r="C1421" t="s">
        <v>2589</v>
      </c>
      <c r="D1421" t="s">
        <v>1316</v>
      </c>
      <c r="E1421" t="s">
        <v>250</v>
      </c>
      <c r="F1421" t="s">
        <v>46</v>
      </c>
      <c r="G1421" t="s">
        <v>2590</v>
      </c>
      <c r="H1421" t="s">
        <v>10</v>
      </c>
      <c r="I1421" t="str">
        <f t="shared" si="45"/>
        <v/>
      </c>
    </row>
    <row r="1422" spans="1:9">
      <c r="A1422">
        <v>1400</v>
      </c>
      <c r="B1422" t="str">
        <f t="shared" si="44"/>
        <v>hilary ann chittick</v>
      </c>
      <c r="C1422" t="s">
        <v>2591</v>
      </c>
      <c r="D1422" t="s">
        <v>2592</v>
      </c>
      <c r="E1422" t="s">
        <v>3</v>
      </c>
      <c r="F1422" t="s">
        <v>1061</v>
      </c>
      <c r="G1422" t="s">
        <v>4</v>
      </c>
      <c r="H1422" t="s">
        <v>36</v>
      </c>
      <c r="I1422" t="str">
        <f t="shared" si="45"/>
        <v/>
      </c>
    </row>
    <row r="1423" spans="1:9">
      <c r="A1423">
        <v>1401</v>
      </c>
      <c r="B1423" t="str">
        <f t="shared" si="44"/>
        <v>ming w chin</v>
      </c>
      <c r="C1423" t="s">
        <v>2593</v>
      </c>
      <c r="D1423" t="s">
        <v>2594</v>
      </c>
      <c r="E1423" t="s">
        <v>583</v>
      </c>
      <c r="F1423" t="s">
        <v>211</v>
      </c>
      <c r="G1423" t="s">
        <v>571</v>
      </c>
      <c r="H1423" t="s">
        <v>651</v>
      </c>
      <c r="I1423" t="str">
        <f t="shared" si="45"/>
        <v/>
      </c>
    </row>
    <row r="1424" spans="1:9">
      <c r="A1424">
        <v>1402</v>
      </c>
      <c r="B1424" t="str">
        <f t="shared" si="44"/>
        <v>vincent j. chiarello</v>
      </c>
      <c r="C1424" t="s">
        <v>2595</v>
      </c>
      <c r="D1424" t="s">
        <v>1138</v>
      </c>
      <c r="E1424" t="s">
        <v>94</v>
      </c>
      <c r="F1424" t="s">
        <v>54</v>
      </c>
      <c r="G1424" t="s">
        <v>15</v>
      </c>
      <c r="H1424" t="s">
        <v>36</v>
      </c>
      <c r="I1424" t="str">
        <f t="shared" si="45"/>
        <v/>
      </c>
    </row>
    <row r="1425" spans="1:9">
      <c r="A1425">
        <v>1403</v>
      </c>
      <c r="B1425" t="str">
        <f t="shared" si="44"/>
        <v>john joseph cheroske</v>
      </c>
      <c r="C1425" t="s">
        <v>2596</v>
      </c>
      <c r="D1425" t="s">
        <v>7</v>
      </c>
      <c r="E1425" t="s">
        <v>80</v>
      </c>
      <c r="F1425" t="s">
        <v>25</v>
      </c>
      <c r="G1425" t="s">
        <v>2597</v>
      </c>
      <c r="H1425" t="s">
        <v>36</v>
      </c>
      <c r="I1425" t="str">
        <f t="shared" si="45"/>
        <v/>
      </c>
    </row>
    <row r="1426" spans="1:9">
      <c r="A1426">
        <v>1404</v>
      </c>
      <c r="B1426" t="str">
        <f t="shared" si="44"/>
        <v>roy owen chernus</v>
      </c>
      <c r="C1426" t="s">
        <v>2598</v>
      </c>
      <c r="D1426" t="s">
        <v>869</v>
      </c>
      <c r="E1426" t="s">
        <v>1998</v>
      </c>
      <c r="F1426" t="s">
        <v>32</v>
      </c>
      <c r="G1426" t="s">
        <v>2360</v>
      </c>
      <c r="H1426" t="s">
        <v>10</v>
      </c>
      <c r="I1426" t="str">
        <f t="shared" si="45"/>
        <v/>
      </c>
    </row>
    <row r="1427" spans="1:9">
      <c r="A1427">
        <v>1405</v>
      </c>
      <c r="B1427" t="str">
        <f t="shared" si="44"/>
        <v>andrew y.s. cheng</v>
      </c>
      <c r="C1427" t="s">
        <v>2599</v>
      </c>
      <c r="D1427" t="s">
        <v>170</v>
      </c>
      <c r="E1427" t="s">
        <v>2600</v>
      </c>
      <c r="F1427" t="s">
        <v>4025</v>
      </c>
      <c r="G1427" t="s">
        <v>4</v>
      </c>
      <c r="H1427" t="s">
        <v>4</v>
      </c>
      <c r="I1427" t="str">
        <f t="shared" si="45"/>
        <v/>
      </c>
    </row>
    <row r="1428" spans="1:9">
      <c r="A1428">
        <v>1406</v>
      </c>
      <c r="B1428" t="str">
        <f t="shared" si="44"/>
        <v>victoria m. chavez</v>
      </c>
      <c r="C1428" t="s">
        <v>2601</v>
      </c>
      <c r="D1428" t="s">
        <v>1706</v>
      </c>
      <c r="E1428" t="s">
        <v>189</v>
      </c>
      <c r="F1428" t="s">
        <v>19</v>
      </c>
      <c r="G1428" t="s">
        <v>20</v>
      </c>
      <c r="H1428" t="s">
        <v>21</v>
      </c>
      <c r="I1428" t="str">
        <f t="shared" si="45"/>
        <v/>
      </c>
    </row>
    <row r="1429" spans="1:9">
      <c r="A1429">
        <v>1407</v>
      </c>
      <c r="B1429" t="str">
        <f t="shared" si="44"/>
        <v>victor e chevez</v>
      </c>
      <c r="C1429" t="s">
        <v>2602</v>
      </c>
      <c r="D1429" t="s">
        <v>76</v>
      </c>
      <c r="E1429" t="s">
        <v>134</v>
      </c>
      <c r="F1429" t="s">
        <v>4155</v>
      </c>
      <c r="G1429" t="s">
        <v>4</v>
      </c>
      <c r="H1429" t="s">
        <v>4</v>
      </c>
      <c r="I1429" t="str">
        <f t="shared" si="45"/>
        <v/>
      </c>
    </row>
    <row r="1430" spans="1:9">
      <c r="A1430">
        <v>1408</v>
      </c>
      <c r="B1430" t="str">
        <f t="shared" si="44"/>
        <v>sharon ann chatman</v>
      </c>
      <c r="C1430" t="s">
        <v>2603</v>
      </c>
      <c r="D1430" t="s">
        <v>246</v>
      </c>
      <c r="E1430" t="s">
        <v>3</v>
      </c>
      <c r="F1430" t="s">
        <v>1506</v>
      </c>
      <c r="G1430" t="s">
        <v>2604</v>
      </c>
      <c r="H1430" t="s">
        <v>10</v>
      </c>
      <c r="I1430" t="str">
        <f t="shared" si="45"/>
        <v/>
      </c>
    </row>
    <row r="1431" spans="1:9">
      <c r="A1431">
        <v>1409</v>
      </c>
      <c r="B1431" t="str">
        <f t="shared" si="44"/>
        <v>sidney p. chapin</v>
      </c>
      <c r="C1431" t="s">
        <v>2605</v>
      </c>
      <c r="D1431" t="s">
        <v>2606</v>
      </c>
      <c r="E1431" t="s">
        <v>91</v>
      </c>
      <c r="F1431" t="s">
        <v>32</v>
      </c>
      <c r="G1431" t="s">
        <v>95</v>
      </c>
      <c r="H1431" t="s">
        <v>10</v>
      </c>
      <c r="I1431" t="str">
        <f t="shared" si="45"/>
        <v/>
      </c>
    </row>
    <row r="1432" spans="1:9">
      <c r="A1432">
        <v>1410</v>
      </c>
      <c r="B1432" t="str">
        <f t="shared" si="44"/>
        <v>shelleyanne wai ling chang</v>
      </c>
      <c r="C1432" t="s">
        <v>4156</v>
      </c>
      <c r="D1432" t="s">
        <v>2607</v>
      </c>
      <c r="E1432" t="s">
        <v>2608</v>
      </c>
      <c r="F1432" t="s">
        <v>32</v>
      </c>
      <c r="G1432" t="s">
        <v>377</v>
      </c>
      <c r="H1432" t="s">
        <v>10</v>
      </c>
      <c r="I1432" t="str">
        <f t="shared" si="45"/>
        <v/>
      </c>
    </row>
    <row r="1433" spans="1:9">
      <c r="A1433">
        <v>1411</v>
      </c>
      <c r="B1433" t="str">
        <f t="shared" si="44"/>
        <v>victoria gerrard chaney</v>
      </c>
      <c r="C1433" t="s">
        <v>2609</v>
      </c>
      <c r="D1433" t="s">
        <v>1706</v>
      </c>
      <c r="E1433" t="s">
        <v>2610</v>
      </c>
      <c r="F1433" t="s">
        <v>19</v>
      </c>
      <c r="G1433" t="s">
        <v>20</v>
      </c>
      <c r="H1433" t="s">
        <v>21</v>
      </c>
      <c r="I1433" t="str">
        <f t="shared" si="45"/>
        <v/>
      </c>
    </row>
    <row r="1434" spans="1:9">
      <c r="A1434">
        <v>1412</v>
      </c>
      <c r="B1434" t="str">
        <f t="shared" si="44"/>
        <v>christopher ray chandler</v>
      </c>
      <c r="C1434" t="s">
        <v>2611</v>
      </c>
      <c r="D1434" t="s">
        <v>64</v>
      </c>
      <c r="E1434" t="s">
        <v>776</v>
      </c>
      <c r="F1434" t="s">
        <v>32</v>
      </c>
      <c r="G1434" t="s">
        <v>2098</v>
      </c>
      <c r="H1434" t="s">
        <v>10</v>
      </c>
      <c r="I1434" t="str">
        <f t="shared" si="45"/>
        <v/>
      </c>
    </row>
    <row r="1435" spans="1:9">
      <c r="A1435">
        <v>1413</v>
      </c>
      <c r="B1435" t="str">
        <f t="shared" si="44"/>
        <v>bruce elliot chan</v>
      </c>
      <c r="C1435" t="s">
        <v>2612</v>
      </c>
      <c r="D1435" t="s">
        <v>47</v>
      </c>
      <c r="E1435" t="s">
        <v>2462</v>
      </c>
      <c r="F1435" t="s">
        <v>4025</v>
      </c>
      <c r="G1435" t="s">
        <v>4</v>
      </c>
      <c r="H1435" t="s">
        <v>4</v>
      </c>
      <c r="I1435" t="str">
        <f t="shared" si="45"/>
        <v/>
      </c>
    </row>
    <row r="1436" spans="1:9">
      <c r="A1436">
        <v>1414</v>
      </c>
      <c r="B1436" t="str">
        <f t="shared" si="44"/>
        <v>james c.  chalfant james c.</v>
      </c>
      <c r="C1436" t="s">
        <v>2613</v>
      </c>
      <c r="D1436" t="s">
        <v>2614</v>
      </c>
      <c r="E1436" t="s">
        <v>4</v>
      </c>
      <c r="F1436" t="s">
        <v>2615</v>
      </c>
      <c r="G1436" t="s">
        <v>135</v>
      </c>
      <c r="H1436" t="s">
        <v>10</v>
      </c>
      <c r="I1436" t="str">
        <f t="shared" si="45"/>
        <v/>
      </c>
    </row>
    <row r="1437" spans="1:9">
      <c r="A1437">
        <v>1415</v>
      </c>
      <c r="B1437" t="str">
        <f t="shared" si="44"/>
        <v>ellen barbara limp chaitin</v>
      </c>
      <c r="C1437" t="s">
        <v>2616</v>
      </c>
      <c r="D1437" t="s">
        <v>453</v>
      </c>
      <c r="E1437" t="s">
        <v>2617</v>
      </c>
      <c r="F1437" t="s">
        <v>4157</v>
      </c>
      <c r="G1437" t="s">
        <v>4</v>
      </c>
      <c r="H1437" t="s">
        <v>4</v>
      </c>
      <c r="I1437" t="str">
        <f t="shared" si="45"/>
        <v/>
      </c>
    </row>
    <row r="1438" spans="1:9">
      <c r="A1438">
        <v>1416</v>
      </c>
      <c r="B1438" t="str">
        <f t="shared" si="44"/>
        <v>david r. chaffee</v>
      </c>
      <c r="C1438" t="s">
        <v>2618</v>
      </c>
      <c r="D1438" t="s">
        <v>28</v>
      </c>
      <c r="E1438" t="s">
        <v>265</v>
      </c>
      <c r="F1438" t="s">
        <v>1302</v>
      </c>
      <c r="G1438" t="s">
        <v>4</v>
      </c>
      <c r="H1438" t="s">
        <v>10</v>
      </c>
      <c r="I1438" t="str">
        <f t="shared" si="45"/>
        <v/>
      </c>
    </row>
    <row r="1439" spans="1:9">
      <c r="A1439">
        <v>1417</v>
      </c>
      <c r="B1439" t="str">
        <f t="shared" si="44"/>
        <v>david a cena</v>
      </c>
      <c r="C1439" t="s">
        <v>2619</v>
      </c>
      <c r="D1439" t="s">
        <v>28</v>
      </c>
      <c r="E1439" t="s">
        <v>39</v>
      </c>
      <c r="F1439" t="s">
        <v>32</v>
      </c>
      <c r="G1439" t="s">
        <v>15</v>
      </c>
      <c r="H1439" t="s">
        <v>10</v>
      </c>
      <c r="I1439" t="str">
        <f t="shared" si="45"/>
        <v/>
      </c>
    </row>
    <row r="1440" spans="1:9">
      <c r="A1440">
        <v>1418</v>
      </c>
      <c r="B1440" t="str">
        <f t="shared" si="44"/>
        <v>cecilia atricia castellanos</v>
      </c>
      <c r="C1440" t="s">
        <v>2620</v>
      </c>
      <c r="D1440" t="s">
        <v>2621</v>
      </c>
      <c r="E1440" t="s">
        <v>2622</v>
      </c>
      <c r="F1440" t="s">
        <v>387</v>
      </c>
      <c r="G1440" t="s">
        <v>4</v>
      </c>
      <c r="H1440" t="s">
        <v>103</v>
      </c>
      <c r="I1440" t="str">
        <f t="shared" si="45"/>
        <v/>
      </c>
    </row>
    <row r="1441" spans="1:9">
      <c r="A1441">
        <v>1419</v>
      </c>
      <c r="B1441" t="str">
        <f t="shared" si="44"/>
        <v>michael joseph cassidy</v>
      </c>
      <c r="C1441" t="s">
        <v>2623</v>
      </c>
      <c r="D1441" t="s">
        <v>219</v>
      </c>
      <c r="E1441" t="s">
        <v>80</v>
      </c>
      <c r="F1441" t="s">
        <v>137</v>
      </c>
      <c r="G1441" t="s">
        <v>4</v>
      </c>
      <c r="H1441" t="s">
        <v>36</v>
      </c>
      <c r="I1441" t="str">
        <f t="shared" si="45"/>
        <v/>
      </c>
    </row>
    <row r="1442" spans="1:9">
      <c r="A1442">
        <v>1420</v>
      </c>
      <c r="B1442" t="str">
        <f t="shared" si="44"/>
        <v>timothy m. casserly</v>
      </c>
      <c r="C1442" t="s">
        <v>2624</v>
      </c>
      <c r="D1442" t="s">
        <v>264</v>
      </c>
      <c r="E1442" t="s">
        <v>189</v>
      </c>
      <c r="F1442" t="s">
        <v>101</v>
      </c>
      <c r="G1442" t="s">
        <v>102</v>
      </c>
      <c r="H1442" t="s">
        <v>103</v>
      </c>
      <c r="I1442" t="str">
        <f t="shared" si="45"/>
        <v/>
      </c>
    </row>
    <row r="1443" spans="1:9">
      <c r="A1443">
        <v>1421</v>
      </c>
      <c r="B1443" t="str">
        <f t="shared" si="44"/>
        <v>wynne s carvill</v>
      </c>
      <c r="C1443" t="s">
        <v>2625</v>
      </c>
      <c r="D1443" t="s">
        <v>2626</v>
      </c>
      <c r="E1443" t="s">
        <v>182</v>
      </c>
      <c r="F1443" t="s">
        <v>4158</v>
      </c>
      <c r="G1443" t="s">
        <v>4</v>
      </c>
      <c r="H1443" t="s">
        <v>4</v>
      </c>
      <c r="I1443" t="str">
        <f t="shared" si="45"/>
        <v/>
      </c>
    </row>
    <row r="1444" spans="1:9">
      <c r="A1444">
        <v>1422</v>
      </c>
      <c r="B1444" t="str">
        <f t="shared" si="44"/>
        <v>joan s castwright</v>
      </c>
      <c r="C1444" t="s">
        <v>2627</v>
      </c>
      <c r="D1444" t="s">
        <v>242</v>
      </c>
      <c r="E1444" t="s">
        <v>182</v>
      </c>
      <c r="F1444" t="s">
        <v>4027</v>
      </c>
      <c r="G1444" t="s">
        <v>4</v>
      </c>
      <c r="H1444" t="s">
        <v>4</v>
      </c>
      <c r="I1444" t="str">
        <f t="shared" si="45"/>
        <v/>
      </c>
    </row>
    <row r="1445" spans="1:9">
      <c r="A1445">
        <v>1423</v>
      </c>
      <c r="B1445" t="str">
        <f t="shared" si="44"/>
        <v>michael douglas carter</v>
      </c>
      <c r="C1445" t="s">
        <v>2628</v>
      </c>
      <c r="D1445" t="s">
        <v>219</v>
      </c>
      <c r="E1445" t="s">
        <v>593</v>
      </c>
      <c r="F1445" t="s">
        <v>46</v>
      </c>
      <c r="G1445" t="s">
        <v>2629</v>
      </c>
      <c r="H1445" t="s">
        <v>10</v>
      </c>
      <c r="I1445" t="str">
        <f t="shared" si="45"/>
        <v/>
      </c>
    </row>
    <row r="1446" spans="1:9">
      <c r="A1446">
        <v>1424</v>
      </c>
      <c r="B1446" t="str">
        <f t="shared" si="44"/>
        <v>marjorie laird carter</v>
      </c>
      <c r="C1446" t="s">
        <v>2628</v>
      </c>
      <c r="D1446" t="s">
        <v>561</v>
      </c>
      <c r="E1446" t="s">
        <v>2630</v>
      </c>
      <c r="F1446" t="s">
        <v>1302</v>
      </c>
      <c r="G1446" t="s">
        <v>4</v>
      </c>
      <c r="H1446" t="s">
        <v>36</v>
      </c>
      <c r="I1446" t="str">
        <f t="shared" si="45"/>
        <v/>
      </c>
    </row>
    <row r="1447" spans="1:9">
      <c r="A1447">
        <v>1425</v>
      </c>
      <c r="B1447" t="str">
        <f t="shared" si="44"/>
        <v>debra dee carrillo</v>
      </c>
      <c r="C1447" t="s">
        <v>2631</v>
      </c>
      <c r="D1447" t="s">
        <v>1778</v>
      </c>
      <c r="E1447" t="s">
        <v>18</v>
      </c>
      <c r="F1447" t="s">
        <v>890</v>
      </c>
      <c r="G1447" t="s">
        <v>4</v>
      </c>
      <c r="H1447" t="s">
        <v>10</v>
      </c>
      <c r="I1447" t="str">
        <f t="shared" si="45"/>
        <v/>
      </c>
    </row>
    <row r="1448" spans="1:9">
      <c r="A1448">
        <v>1426</v>
      </c>
      <c r="B1448" t="str">
        <f t="shared" si="44"/>
        <v>jane  cardoza</v>
      </c>
      <c r="C1448" t="s">
        <v>2632</v>
      </c>
      <c r="D1448" t="s">
        <v>1823</v>
      </c>
      <c r="E1448" t="s">
        <v>4</v>
      </c>
      <c r="F1448" t="s">
        <v>633</v>
      </c>
      <c r="G1448" t="s">
        <v>4</v>
      </c>
      <c r="H1448" t="s">
        <v>36</v>
      </c>
      <c r="I1448" t="str">
        <f t="shared" si="45"/>
        <v/>
      </c>
    </row>
    <row r="1449" spans="1:9">
      <c r="A1449">
        <v>1427</v>
      </c>
      <c r="B1449" t="str">
        <f t="shared" si="44"/>
        <v>tani  cantil-sakauye</v>
      </c>
      <c r="C1449" t="s">
        <v>2633</v>
      </c>
      <c r="D1449" t="s">
        <v>2634</v>
      </c>
      <c r="E1449" t="s">
        <v>4</v>
      </c>
      <c r="F1449" t="s">
        <v>211</v>
      </c>
      <c r="G1449" t="s">
        <v>4</v>
      </c>
      <c r="H1449" t="s">
        <v>4</v>
      </c>
      <c r="I1449" t="str">
        <f t="shared" si="45"/>
        <v/>
      </c>
    </row>
    <row r="1450" spans="1:9">
      <c r="A1450">
        <v>1427</v>
      </c>
      <c r="B1450" t="str">
        <f t="shared" si="44"/>
        <v>tani gorre cantil-sakauye</v>
      </c>
      <c r="C1450" t="s">
        <v>2633</v>
      </c>
      <c r="D1450" t="s">
        <v>2634</v>
      </c>
      <c r="E1450" t="s">
        <v>2635</v>
      </c>
      <c r="F1450" t="s">
        <v>211</v>
      </c>
      <c r="G1450" t="s">
        <v>4</v>
      </c>
      <c r="H1450" t="s">
        <v>4</v>
      </c>
      <c r="I1450" t="str">
        <f t="shared" si="45"/>
        <v/>
      </c>
    </row>
    <row r="1451" spans="1:9">
      <c r="A1451">
        <v>1428</v>
      </c>
      <c r="B1451" t="str">
        <f t="shared" si="44"/>
        <v>william s cannon</v>
      </c>
      <c r="C1451" t="s">
        <v>2636</v>
      </c>
      <c r="D1451" t="s">
        <v>155</v>
      </c>
      <c r="E1451" t="s">
        <v>182</v>
      </c>
      <c r="F1451" t="s">
        <v>101</v>
      </c>
      <c r="G1451" t="s">
        <v>102</v>
      </c>
      <c r="H1451" t="s">
        <v>103</v>
      </c>
      <c r="I1451" t="str">
        <f t="shared" si="45"/>
        <v/>
      </c>
    </row>
    <row r="1452" spans="1:9">
      <c r="A1452">
        <v>1429</v>
      </c>
      <c r="B1452" t="str">
        <f t="shared" si="44"/>
        <v>theresa jo canepa</v>
      </c>
      <c r="C1452" t="s">
        <v>2637</v>
      </c>
      <c r="D1452" t="s">
        <v>1462</v>
      </c>
      <c r="E1452" t="s">
        <v>1391</v>
      </c>
      <c r="F1452" t="s">
        <v>32</v>
      </c>
      <c r="G1452" t="s">
        <v>512</v>
      </c>
      <c r="H1452" t="s">
        <v>36</v>
      </c>
      <c r="I1452" t="str">
        <f t="shared" si="45"/>
        <v/>
      </c>
    </row>
    <row r="1453" spans="1:9">
      <c r="A1453">
        <v>1430</v>
      </c>
      <c r="B1453" t="str">
        <f t="shared" si="44"/>
        <v>michaela p. candela</v>
      </c>
      <c r="C1453" t="s">
        <v>2638</v>
      </c>
      <c r="D1453" t="s">
        <v>2639</v>
      </c>
      <c r="E1453" t="s">
        <v>91</v>
      </c>
      <c r="F1453" t="s">
        <v>2640</v>
      </c>
      <c r="G1453" t="s">
        <v>2641</v>
      </c>
      <c r="H1453" t="s">
        <v>10</v>
      </c>
      <c r="I1453" t="str">
        <f t="shared" si="45"/>
        <v/>
      </c>
    </row>
    <row r="1454" spans="1:9">
      <c r="A1454">
        <v>1431</v>
      </c>
      <c r="B1454" t="str">
        <f t="shared" si="44"/>
        <v>roland linton candee</v>
      </c>
      <c r="C1454" t="s">
        <v>2642</v>
      </c>
      <c r="D1454" t="s">
        <v>2643</v>
      </c>
      <c r="E1454" t="s">
        <v>2644</v>
      </c>
      <c r="F1454" t="s">
        <v>32</v>
      </c>
      <c r="G1454" t="s">
        <v>377</v>
      </c>
      <c r="H1454" t="s">
        <v>36</v>
      </c>
      <c r="I1454" t="str">
        <f t="shared" si="45"/>
        <v/>
      </c>
    </row>
    <row r="1455" spans="1:9">
      <c r="A1455">
        <v>1432</v>
      </c>
      <c r="B1455" t="str">
        <f t="shared" si="44"/>
        <v>yvonne esperanza campos</v>
      </c>
      <c r="C1455" t="s">
        <v>786</v>
      </c>
      <c r="D1455" t="s">
        <v>2645</v>
      </c>
      <c r="E1455" t="s">
        <v>2646</v>
      </c>
      <c r="F1455" t="s">
        <v>101</v>
      </c>
      <c r="G1455" t="s">
        <v>102</v>
      </c>
      <c r="H1455" t="s">
        <v>103</v>
      </c>
      <c r="I1455" t="str">
        <f t="shared" si="45"/>
        <v/>
      </c>
    </row>
    <row r="1456" spans="1:9">
      <c r="A1456">
        <v>1433</v>
      </c>
      <c r="B1456" t="str">
        <f t="shared" si="44"/>
        <v>victoria elizabeth cameron</v>
      </c>
      <c r="C1456" t="s">
        <v>2647</v>
      </c>
      <c r="D1456" t="s">
        <v>1706</v>
      </c>
      <c r="E1456" t="s">
        <v>191</v>
      </c>
      <c r="F1456" t="s">
        <v>216</v>
      </c>
      <c r="G1456" t="s">
        <v>306</v>
      </c>
      <c r="H1456" t="s">
        <v>103</v>
      </c>
      <c r="I1456" t="str">
        <f t="shared" si="45"/>
        <v/>
      </c>
    </row>
    <row r="1457" spans="1:9">
      <c r="A1457">
        <v>1434</v>
      </c>
      <c r="B1457" t="str">
        <f t="shared" si="44"/>
        <v>mike  camacha</v>
      </c>
      <c r="C1457" t="s">
        <v>2648</v>
      </c>
      <c r="D1457" t="s">
        <v>2649</v>
      </c>
      <c r="E1457" t="s">
        <v>4</v>
      </c>
      <c r="F1457" t="s">
        <v>4000</v>
      </c>
      <c r="G1457" t="s">
        <v>4</v>
      </c>
      <c r="H1457" t="s">
        <v>10</v>
      </c>
      <c r="I1457" t="str">
        <f t="shared" si="45"/>
        <v/>
      </c>
    </row>
    <row r="1458" spans="1:9">
      <c r="A1458">
        <v>1435</v>
      </c>
      <c r="B1458" t="str">
        <f t="shared" si="44"/>
        <v>thomas willian cain</v>
      </c>
      <c r="C1458" t="s">
        <v>2650</v>
      </c>
      <c r="D1458" t="s">
        <v>27</v>
      </c>
      <c r="E1458" t="s">
        <v>2651</v>
      </c>
      <c r="F1458" t="s">
        <v>106</v>
      </c>
      <c r="G1458" t="s">
        <v>4</v>
      </c>
      <c r="H1458" t="s">
        <v>10</v>
      </c>
      <c r="I1458" t="str">
        <f t="shared" si="45"/>
        <v/>
      </c>
    </row>
    <row r="1459" spans="1:9">
      <c r="A1459">
        <v>1436</v>
      </c>
      <c r="B1459" t="str">
        <f t="shared" si="44"/>
        <v>carolyn m caietti</v>
      </c>
      <c r="C1459" t="s">
        <v>2652</v>
      </c>
      <c r="D1459" t="s">
        <v>1680</v>
      </c>
      <c r="E1459" t="s">
        <v>410</v>
      </c>
      <c r="F1459" t="s">
        <v>101</v>
      </c>
      <c r="G1459" t="s">
        <v>102</v>
      </c>
      <c r="H1459" t="s">
        <v>2325</v>
      </c>
      <c r="I1459" t="str">
        <f t="shared" si="45"/>
        <v/>
      </c>
    </row>
    <row r="1460" spans="1:9">
      <c r="A1460">
        <v>1437</v>
      </c>
      <c r="B1460" t="str">
        <f t="shared" si="44"/>
        <v>thomas harry cahraman</v>
      </c>
      <c r="C1460" t="s">
        <v>2653</v>
      </c>
      <c r="D1460" t="s">
        <v>27</v>
      </c>
      <c r="E1460" t="s">
        <v>1024</v>
      </c>
      <c r="F1460" t="s">
        <v>2654</v>
      </c>
      <c r="G1460" t="s">
        <v>2655</v>
      </c>
      <c r="H1460" t="s">
        <v>10</v>
      </c>
      <c r="I1460" t="str">
        <f t="shared" si="45"/>
        <v/>
      </c>
    </row>
    <row r="1461" spans="1:9">
      <c r="A1461">
        <v>1438</v>
      </c>
      <c r="B1461" t="str">
        <f t="shared" si="44"/>
        <v>raymond michael cadei</v>
      </c>
      <c r="C1461" t="s">
        <v>2656</v>
      </c>
      <c r="D1461" t="s">
        <v>496</v>
      </c>
      <c r="E1461" t="s">
        <v>219</v>
      </c>
      <c r="F1461" t="s">
        <v>32</v>
      </c>
      <c r="G1461" t="s">
        <v>2657</v>
      </c>
      <c r="H1461" t="s">
        <v>10</v>
      </c>
      <c r="I1461" t="str">
        <f t="shared" si="45"/>
        <v/>
      </c>
    </row>
    <row r="1462" spans="1:9">
      <c r="A1462">
        <v>1439</v>
      </c>
      <c r="B1462" t="str">
        <f t="shared" si="44"/>
        <v>neal anthony cabrinha</v>
      </c>
      <c r="C1462" t="s">
        <v>2658</v>
      </c>
      <c r="D1462" t="s">
        <v>2659</v>
      </c>
      <c r="E1462" t="s">
        <v>150</v>
      </c>
      <c r="F1462" t="s">
        <v>14</v>
      </c>
      <c r="G1462" t="s">
        <v>4</v>
      </c>
      <c r="H1462" t="s">
        <v>10</v>
      </c>
      <c r="I1462" t="str">
        <f t="shared" si="45"/>
        <v/>
      </c>
    </row>
    <row r="1463" spans="1:9">
      <c r="A1463">
        <v>1440</v>
      </c>
      <c r="B1463" t="str">
        <f t="shared" si="44"/>
        <v>carlos a. cabrera</v>
      </c>
      <c r="C1463" t="s">
        <v>2660</v>
      </c>
      <c r="D1463" t="s">
        <v>325</v>
      </c>
      <c r="E1463" t="s">
        <v>447</v>
      </c>
      <c r="F1463" t="s">
        <v>633</v>
      </c>
      <c r="G1463" t="s">
        <v>4</v>
      </c>
      <c r="H1463" t="s">
        <v>10</v>
      </c>
      <c r="I1463" t="str">
        <f t="shared" si="45"/>
        <v/>
      </c>
    </row>
    <row r="1464" spans="1:9">
      <c r="A1464">
        <v>1441</v>
      </c>
      <c r="B1464" t="str">
        <f t="shared" si="44"/>
        <v>frederick h. bysshe</v>
      </c>
      <c r="C1464" t="s">
        <v>2661</v>
      </c>
      <c r="D1464" t="s">
        <v>254</v>
      </c>
      <c r="E1464" t="s">
        <v>957</v>
      </c>
      <c r="F1464" t="s">
        <v>32</v>
      </c>
      <c r="G1464" t="s">
        <v>81</v>
      </c>
      <c r="H1464" t="s">
        <v>10</v>
      </c>
      <c r="I1464" t="str">
        <f t="shared" si="45"/>
        <v/>
      </c>
    </row>
    <row r="1465" spans="1:9">
      <c r="A1465">
        <v>1442</v>
      </c>
      <c r="B1465" t="str">
        <f t="shared" si="44"/>
        <v>donald c byrd</v>
      </c>
      <c r="C1465" t="s">
        <v>2662</v>
      </c>
      <c r="D1465" t="s">
        <v>509</v>
      </c>
      <c r="E1465" t="s">
        <v>770</v>
      </c>
      <c r="F1465" t="s">
        <v>379</v>
      </c>
      <c r="G1465" t="s">
        <v>4</v>
      </c>
      <c r="H1465" t="s">
        <v>10</v>
      </c>
      <c r="I1465" t="str">
        <f t="shared" si="45"/>
        <v/>
      </c>
    </row>
    <row r="1466" spans="1:9">
      <c r="A1466">
        <v>1443</v>
      </c>
      <c r="B1466" t="str">
        <f t="shared" si="44"/>
        <v>christine  byrd</v>
      </c>
      <c r="C1466" t="s">
        <v>2662</v>
      </c>
      <c r="D1466" t="s">
        <v>1260</v>
      </c>
      <c r="E1466" t="s">
        <v>4</v>
      </c>
      <c r="F1466" t="s">
        <v>1749</v>
      </c>
      <c r="G1466" t="s">
        <v>4</v>
      </c>
      <c r="H1466" t="s">
        <v>4</v>
      </c>
      <c r="I1466" t="str">
        <f t="shared" si="45"/>
        <v/>
      </c>
    </row>
    <row r="1467" spans="1:9">
      <c r="A1467">
        <v>247</v>
      </c>
      <c r="B1467" t="str">
        <f t="shared" si="44"/>
        <v>m. kathleen butz</v>
      </c>
      <c r="C1467" t="s">
        <v>2663</v>
      </c>
      <c r="D1467" t="s">
        <v>189</v>
      </c>
      <c r="E1467" t="s">
        <v>188</v>
      </c>
      <c r="F1467" t="s">
        <v>19</v>
      </c>
      <c r="G1467" t="s">
        <v>1209</v>
      </c>
      <c r="H1467" t="s">
        <v>212</v>
      </c>
      <c r="I1467" t="str">
        <f t="shared" si="45"/>
        <v/>
      </c>
    </row>
    <row r="1468" spans="1:9">
      <c r="A1468">
        <v>1444</v>
      </c>
      <c r="B1468" t="str">
        <f t="shared" si="44"/>
        <v>pamela l. butler</v>
      </c>
      <c r="C1468" t="s">
        <v>2537</v>
      </c>
      <c r="D1468" t="s">
        <v>907</v>
      </c>
      <c r="E1468" t="s">
        <v>257</v>
      </c>
      <c r="F1468" t="s">
        <v>2664</v>
      </c>
      <c r="G1468" t="s">
        <v>2665</v>
      </c>
      <c r="H1468" t="s">
        <v>4</v>
      </c>
      <c r="I1468" t="str">
        <f t="shared" si="45"/>
        <v/>
      </c>
    </row>
    <row r="1469" spans="1:9">
      <c r="A1469">
        <v>1445</v>
      </c>
      <c r="B1469" t="str">
        <f t="shared" si="44"/>
        <v>michael g. bush</v>
      </c>
      <c r="C1469" t="s">
        <v>2666</v>
      </c>
      <c r="D1469" t="s">
        <v>219</v>
      </c>
      <c r="E1469" t="s">
        <v>156</v>
      </c>
      <c r="F1469" t="s">
        <v>32</v>
      </c>
      <c r="G1469" t="s">
        <v>95</v>
      </c>
      <c r="H1469" t="s">
        <v>10</v>
      </c>
      <c r="I1469" t="str">
        <f t="shared" si="45"/>
        <v/>
      </c>
    </row>
    <row r="1470" spans="1:9">
      <c r="A1470">
        <v>1446</v>
      </c>
      <c r="B1470" t="str">
        <f t="shared" si="44"/>
        <v>peter  busch</v>
      </c>
      <c r="C1470" t="s">
        <v>2667</v>
      </c>
      <c r="D1470" t="s">
        <v>336</v>
      </c>
      <c r="E1470" t="s">
        <v>4</v>
      </c>
      <c r="F1470" t="s">
        <v>88</v>
      </c>
      <c r="G1470" t="s">
        <v>4</v>
      </c>
      <c r="H1470" t="s">
        <v>10</v>
      </c>
      <c r="I1470" t="str">
        <f t="shared" si="45"/>
        <v/>
      </c>
    </row>
    <row r="1471" spans="1:9">
      <c r="A1471">
        <v>1447</v>
      </c>
      <c r="B1471" t="str">
        <f t="shared" si="44"/>
        <v>kenneth mark burr</v>
      </c>
      <c r="C1471" t="s">
        <v>2668</v>
      </c>
      <c r="D1471" t="s">
        <v>60</v>
      </c>
      <c r="E1471" t="s">
        <v>45</v>
      </c>
      <c r="F1471" t="s">
        <v>492</v>
      </c>
      <c r="G1471" t="s">
        <v>9</v>
      </c>
      <c r="H1471" t="s">
        <v>10</v>
      </c>
      <c r="I1471" t="str">
        <f t="shared" si="45"/>
        <v/>
      </c>
    </row>
    <row r="1472" spans="1:9">
      <c r="A1472">
        <v>1448</v>
      </c>
      <c r="B1472" t="str">
        <f t="shared" si="44"/>
        <v>shane  burns robert</v>
      </c>
      <c r="C1472" t="s">
        <v>2669</v>
      </c>
      <c r="D1472" t="s">
        <v>2670</v>
      </c>
      <c r="E1472" t="s">
        <v>4</v>
      </c>
      <c r="F1472" t="s">
        <v>1678</v>
      </c>
      <c r="G1472" t="s">
        <v>2671</v>
      </c>
      <c r="H1472" t="s">
        <v>10</v>
      </c>
      <c r="I1472" t="str">
        <f t="shared" si="45"/>
        <v/>
      </c>
    </row>
    <row r="1473" spans="1:9">
      <c r="A1473">
        <v>1449</v>
      </c>
      <c r="B1473" t="str">
        <f t="shared" si="44"/>
        <v>raymonda k. burnham marquez</v>
      </c>
      <c r="C1473" t="s">
        <v>2672</v>
      </c>
      <c r="D1473" t="s">
        <v>2673</v>
      </c>
      <c r="E1473" t="s">
        <v>576</v>
      </c>
      <c r="F1473" t="s">
        <v>32</v>
      </c>
      <c r="G1473" t="s">
        <v>95</v>
      </c>
      <c r="H1473" t="s">
        <v>10</v>
      </c>
      <c r="I1473" t="str">
        <f t="shared" si="45"/>
        <v/>
      </c>
    </row>
    <row r="1474" spans="1:9">
      <c r="A1474">
        <v>1450</v>
      </c>
      <c r="B1474" t="str">
        <f t="shared" si="44"/>
        <v>robert alan burlison</v>
      </c>
      <c r="C1474" t="s">
        <v>2674</v>
      </c>
      <c r="D1474" t="s">
        <v>72</v>
      </c>
      <c r="E1474" t="s">
        <v>48</v>
      </c>
      <c r="F1474" t="s">
        <v>4159</v>
      </c>
      <c r="G1474" t="s">
        <v>4</v>
      </c>
      <c r="H1474" t="s">
        <v>4</v>
      </c>
      <c r="I1474" t="str">
        <f t="shared" si="45"/>
        <v/>
      </c>
    </row>
    <row r="1475" spans="1:9">
      <c r="A1475">
        <v>1451</v>
      </c>
      <c r="B1475" t="str">
        <f t="shared" ref="B1475:B1538" si="46">TRIM($D1475) &amp; " " &amp; TRIM($E1475) &amp; " " &amp; TRIM($C1475)</f>
        <v>earle jeffrey burke</v>
      </c>
      <c r="C1475" t="s">
        <v>2675</v>
      </c>
      <c r="D1475" t="s">
        <v>2676</v>
      </c>
      <c r="E1475" t="s">
        <v>446</v>
      </c>
      <c r="F1475" t="s">
        <v>8</v>
      </c>
      <c r="G1475" t="s">
        <v>2677</v>
      </c>
      <c r="H1475" t="s">
        <v>10</v>
      </c>
      <c r="I1475" t="str">
        <f t="shared" ref="I1475:I1538" si="47">IF(NOT(ISERROR(FIND("judge",F1475))),"judge","")</f>
        <v/>
      </c>
    </row>
    <row r="1476" spans="1:9">
      <c r="A1476">
        <v>1452</v>
      </c>
      <c r="B1476" t="str">
        <f t="shared" si="46"/>
        <v>rhonda noveese burgess</v>
      </c>
      <c r="C1476" t="s">
        <v>2678</v>
      </c>
      <c r="D1476" t="s">
        <v>2679</v>
      </c>
      <c r="E1476" t="s">
        <v>2680</v>
      </c>
      <c r="F1476" t="s">
        <v>4053</v>
      </c>
      <c r="G1476" t="s">
        <v>4</v>
      </c>
      <c r="H1476" t="s">
        <v>4</v>
      </c>
      <c r="I1476" t="str">
        <f t="shared" si="47"/>
        <v/>
      </c>
    </row>
    <row r="1477" spans="1:9">
      <c r="A1477">
        <v>1453</v>
      </c>
      <c r="B1477" t="str">
        <f t="shared" si="46"/>
        <v>trena h. burger-plavan</v>
      </c>
      <c r="C1477" t="s">
        <v>2681</v>
      </c>
      <c r="D1477" t="s">
        <v>2682</v>
      </c>
      <c r="E1477" t="s">
        <v>957</v>
      </c>
      <c r="F1477" t="s">
        <v>184</v>
      </c>
      <c r="G1477" t="s">
        <v>4</v>
      </c>
      <c r="H1477" t="s">
        <v>10</v>
      </c>
      <c r="I1477" t="str">
        <f t="shared" si="47"/>
        <v/>
      </c>
    </row>
    <row r="1478" spans="1:9">
      <c r="A1478">
        <v>1454</v>
      </c>
      <c r="B1478" t="str">
        <f t="shared" si="46"/>
        <v>paul powers burdick</v>
      </c>
      <c r="C1478" t="s">
        <v>2683</v>
      </c>
      <c r="D1478" t="s">
        <v>280</v>
      </c>
      <c r="E1478" t="s">
        <v>1015</v>
      </c>
      <c r="F1478" t="s">
        <v>2684</v>
      </c>
      <c r="G1478" t="s">
        <v>4</v>
      </c>
      <c r="H1478" t="s">
        <v>36</v>
      </c>
      <c r="I1478" t="str">
        <f t="shared" si="47"/>
        <v/>
      </c>
    </row>
    <row r="1479" spans="1:9">
      <c r="A1479">
        <v>1455</v>
      </c>
      <c r="B1479" t="str">
        <f t="shared" si="46"/>
        <v>charles b. burch</v>
      </c>
      <c r="C1479" t="s">
        <v>2685</v>
      </c>
      <c r="D1479" t="s">
        <v>35</v>
      </c>
      <c r="E1479" t="s">
        <v>400</v>
      </c>
      <c r="F1479" t="s">
        <v>2686</v>
      </c>
      <c r="G1479" t="s">
        <v>4</v>
      </c>
      <c r="H1479" t="s">
        <v>36</v>
      </c>
      <c r="I1479" t="str">
        <f t="shared" si="47"/>
        <v/>
      </c>
    </row>
    <row r="1480" spans="1:9">
      <c r="A1480">
        <v>1455</v>
      </c>
      <c r="B1480" t="str">
        <f t="shared" si="46"/>
        <v>charles b. burch</v>
      </c>
      <c r="C1480" t="s">
        <v>2685</v>
      </c>
      <c r="D1480" t="s">
        <v>35</v>
      </c>
      <c r="E1480" t="s">
        <v>400</v>
      </c>
      <c r="F1480" t="s">
        <v>2686</v>
      </c>
      <c r="G1480" t="s">
        <v>4</v>
      </c>
      <c r="H1480" t="s">
        <v>36</v>
      </c>
      <c r="I1480" t="str">
        <f t="shared" si="47"/>
        <v/>
      </c>
    </row>
    <row r="1481" spans="1:9">
      <c r="A1481">
        <v>1455</v>
      </c>
      <c r="B1481" t="str">
        <f t="shared" si="46"/>
        <v>charles b. burch</v>
      </c>
      <c r="C1481" t="s">
        <v>2685</v>
      </c>
      <c r="D1481" t="s">
        <v>35</v>
      </c>
      <c r="E1481" t="s">
        <v>400</v>
      </c>
      <c r="F1481" t="s">
        <v>2686</v>
      </c>
      <c r="G1481" t="s">
        <v>4</v>
      </c>
      <c r="H1481" t="s">
        <v>36</v>
      </c>
      <c r="I1481" t="str">
        <f t="shared" si="47"/>
        <v/>
      </c>
    </row>
    <row r="1482" spans="1:9">
      <c r="A1482">
        <v>1456</v>
      </c>
      <c r="B1482" t="str">
        <f t="shared" si="46"/>
        <v>edward henry bullard</v>
      </c>
      <c r="C1482" t="s">
        <v>2687</v>
      </c>
      <c r="D1482" t="s">
        <v>236</v>
      </c>
      <c r="E1482" t="s">
        <v>266</v>
      </c>
      <c r="F1482" t="s">
        <v>2688</v>
      </c>
      <c r="G1482" t="s">
        <v>1762</v>
      </c>
      <c r="H1482" t="s">
        <v>10</v>
      </c>
      <c r="I1482" t="str">
        <f t="shared" si="47"/>
        <v/>
      </c>
    </row>
    <row r="1483" spans="1:9">
      <c r="A1483">
        <v>1457</v>
      </c>
      <c r="B1483" t="str">
        <f t="shared" si="46"/>
        <v>dennis j. buckley</v>
      </c>
      <c r="C1483" t="s">
        <v>2689</v>
      </c>
      <c r="D1483" t="s">
        <v>1065</v>
      </c>
      <c r="E1483" t="s">
        <v>94</v>
      </c>
      <c r="F1483" t="s">
        <v>1171</v>
      </c>
      <c r="G1483" t="s">
        <v>4</v>
      </c>
      <c r="H1483" t="s">
        <v>10</v>
      </c>
      <c r="I1483" t="str">
        <f t="shared" si="47"/>
        <v/>
      </c>
    </row>
    <row r="1484" spans="1:9">
      <c r="A1484">
        <v>1458</v>
      </c>
      <c r="B1484" t="str">
        <f t="shared" si="46"/>
        <v>daniel j buckley</v>
      </c>
      <c r="C1484" t="s">
        <v>2689</v>
      </c>
      <c r="D1484" t="s">
        <v>23</v>
      </c>
      <c r="E1484" t="s">
        <v>1296</v>
      </c>
      <c r="F1484" t="s">
        <v>49</v>
      </c>
      <c r="G1484" t="s">
        <v>135</v>
      </c>
      <c r="H1484" t="s">
        <v>10</v>
      </c>
      <c r="I1484" t="str">
        <f t="shared" si="47"/>
        <v/>
      </c>
    </row>
    <row r="1485" spans="1:9">
      <c r="A1485">
        <v>1459</v>
      </c>
      <c r="B1485" t="str">
        <f t="shared" si="46"/>
        <v>gerald j. buchwald</v>
      </c>
      <c r="C1485" t="s">
        <v>2690</v>
      </c>
      <c r="D1485" t="s">
        <v>703</v>
      </c>
      <c r="E1485" t="s">
        <v>94</v>
      </c>
      <c r="F1485" t="s">
        <v>231</v>
      </c>
      <c r="G1485" t="s">
        <v>4</v>
      </c>
      <c r="H1485" t="s">
        <v>10</v>
      </c>
      <c r="I1485" t="str">
        <f t="shared" si="47"/>
        <v/>
      </c>
    </row>
    <row r="1486" spans="1:9">
      <c r="A1486">
        <v>1460</v>
      </c>
      <c r="B1486" t="str">
        <f t="shared" si="46"/>
        <v>barbara a. buchholz</v>
      </c>
      <c r="C1486" t="s">
        <v>2691</v>
      </c>
      <c r="D1486" t="s">
        <v>2</v>
      </c>
      <c r="E1486" t="s">
        <v>447</v>
      </c>
      <c r="F1486" t="s">
        <v>32</v>
      </c>
      <c r="G1486" t="s">
        <v>411</v>
      </c>
      <c r="H1486" t="s">
        <v>36</v>
      </c>
      <c r="I1486" t="str">
        <f t="shared" si="47"/>
        <v/>
      </c>
    </row>
    <row r="1487" spans="1:9">
      <c r="A1487">
        <v>1461</v>
      </c>
      <c r="B1487" t="str">
        <f t="shared" si="46"/>
        <v>gary michael bubis</v>
      </c>
      <c r="C1487" t="s">
        <v>2692</v>
      </c>
      <c r="D1487" t="s">
        <v>123</v>
      </c>
      <c r="E1487" t="s">
        <v>219</v>
      </c>
      <c r="F1487" t="s">
        <v>101</v>
      </c>
      <c r="G1487" t="s">
        <v>102</v>
      </c>
      <c r="H1487" t="s">
        <v>103</v>
      </c>
      <c r="I1487" t="str">
        <f t="shared" si="47"/>
        <v/>
      </c>
    </row>
    <row r="1488" spans="1:9">
      <c r="A1488">
        <v>1462</v>
      </c>
      <c r="B1488" t="str">
        <f t="shared" si="46"/>
        <v>susan  bryant-deason</v>
      </c>
      <c r="C1488" t="s">
        <v>2693</v>
      </c>
      <c r="D1488" t="s">
        <v>676</v>
      </c>
      <c r="E1488" t="s">
        <v>4</v>
      </c>
      <c r="F1488" t="s">
        <v>25</v>
      </c>
      <c r="G1488">
        <v>52</v>
      </c>
      <c r="H1488" t="s">
        <v>10</v>
      </c>
      <c r="I1488" t="str">
        <f t="shared" si="47"/>
        <v/>
      </c>
    </row>
    <row r="1489" spans="1:9">
      <c r="A1489">
        <v>1463</v>
      </c>
      <c r="B1489" t="str">
        <f t="shared" si="46"/>
        <v>andrea yvette bryan</v>
      </c>
      <c r="C1489" t="s">
        <v>575</v>
      </c>
      <c r="D1489" t="s">
        <v>1931</v>
      </c>
      <c r="E1489" t="s">
        <v>316</v>
      </c>
      <c r="F1489" t="s">
        <v>32</v>
      </c>
      <c r="G1489" t="s">
        <v>1034</v>
      </c>
      <c r="H1489" t="s">
        <v>10</v>
      </c>
      <c r="I1489" t="str">
        <f t="shared" si="47"/>
        <v/>
      </c>
    </row>
    <row r="1490" spans="1:9">
      <c r="A1490">
        <v>1464</v>
      </c>
      <c r="B1490" t="str">
        <f t="shared" si="46"/>
        <v>lorna h brumfield</v>
      </c>
      <c r="C1490" t="s">
        <v>2694</v>
      </c>
      <c r="D1490" t="s">
        <v>2695</v>
      </c>
      <c r="E1490" t="s">
        <v>250</v>
      </c>
      <c r="F1490" t="s">
        <v>32</v>
      </c>
      <c r="G1490" t="s">
        <v>95</v>
      </c>
      <c r="H1490" t="s">
        <v>10</v>
      </c>
      <c r="I1490" t="str">
        <f t="shared" si="47"/>
        <v/>
      </c>
    </row>
    <row r="1491" spans="1:9">
      <c r="A1491">
        <v>1465</v>
      </c>
      <c r="B1491" t="str">
        <f t="shared" si="46"/>
        <v>terence l. bruiniers l. bruiniers</v>
      </c>
      <c r="C1491" t="s">
        <v>2696</v>
      </c>
      <c r="D1491" t="s">
        <v>2697</v>
      </c>
      <c r="E1491" t="s">
        <v>257</v>
      </c>
      <c r="F1491" t="s">
        <v>19</v>
      </c>
      <c r="G1491" t="s">
        <v>2698</v>
      </c>
      <c r="H1491" t="s">
        <v>212</v>
      </c>
      <c r="I1491" t="str">
        <f t="shared" si="47"/>
        <v/>
      </c>
    </row>
    <row r="1492" spans="1:9">
      <c r="A1492">
        <v>1466</v>
      </c>
      <c r="B1492" t="str">
        <f t="shared" si="46"/>
        <v>soussan suzanne bruguera</v>
      </c>
      <c r="C1492" t="s">
        <v>2699</v>
      </c>
      <c r="D1492" t="s">
        <v>2700</v>
      </c>
      <c r="E1492" t="s">
        <v>1590</v>
      </c>
      <c r="F1492" t="s">
        <v>32</v>
      </c>
      <c r="G1492" t="s">
        <v>40</v>
      </c>
      <c r="H1492" t="s">
        <v>461</v>
      </c>
      <c r="I1492" t="str">
        <f t="shared" si="47"/>
        <v/>
      </c>
    </row>
    <row r="1493" spans="1:9">
      <c r="A1493">
        <v>1467</v>
      </c>
      <c r="B1493" t="str">
        <f t="shared" si="46"/>
        <v>desiree alexandra bruce-lyle</v>
      </c>
      <c r="C1493" t="s">
        <v>2701</v>
      </c>
      <c r="D1493" t="s">
        <v>2702</v>
      </c>
      <c r="E1493" t="s">
        <v>2703</v>
      </c>
      <c r="F1493" t="s">
        <v>101</v>
      </c>
      <c r="G1493" t="s">
        <v>102</v>
      </c>
      <c r="H1493" t="s">
        <v>103</v>
      </c>
      <c r="I1493" t="str">
        <f t="shared" si="47"/>
        <v/>
      </c>
    </row>
    <row r="1494" spans="1:9">
      <c r="A1494">
        <v>1468</v>
      </c>
      <c r="B1494" t="str">
        <f t="shared" si="46"/>
        <v>john r brownlee</v>
      </c>
      <c r="C1494" t="s">
        <v>2704</v>
      </c>
      <c r="D1494" t="s">
        <v>7</v>
      </c>
      <c r="E1494" t="s">
        <v>53</v>
      </c>
      <c r="F1494" t="s">
        <v>32</v>
      </c>
      <c r="G1494" t="s">
        <v>95</v>
      </c>
      <c r="H1494" t="s">
        <v>10</v>
      </c>
      <c r="I1494" t="str">
        <f t="shared" si="47"/>
        <v/>
      </c>
    </row>
    <row r="1495" spans="1:9">
      <c r="A1495">
        <v>1469</v>
      </c>
      <c r="B1495" t="str">
        <f t="shared" si="46"/>
        <v>leslie emil brown</v>
      </c>
      <c r="C1495" t="s">
        <v>2705</v>
      </c>
      <c r="D1495" t="s">
        <v>501</v>
      </c>
      <c r="E1495" t="s">
        <v>959</v>
      </c>
      <c r="F1495" t="s">
        <v>4160</v>
      </c>
      <c r="G1495" t="s">
        <v>4</v>
      </c>
      <c r="H1495" t="s">
        <v>4</v>
      </c>
      <c r="I1495" t="str">
        <f t="shared" si="47"/>
        <v/>
      </c>
    </row>
    <row r="1496" spans="1:9">
      <c r="A1496">
        <v>1470</v>
      </c>
      <c r="B1496" t="str">
        <f t="shared" si="46"/>
        <v>lawrence george brown</v>
      </c>
      <c r="C1496" t="s">
        <v>2705</v>
      </c>
      <c r="D1496" t="s">
        <v>1316</v>
      </c>
      <c r="E1496" t="s">
        <v>237</v>
      </c>
      <c r="F1496" t="s">
        <v>1304</v>
      </c>
      <c r="G1496" t="s">
        <v>4</v>
      </c>
      <c r="H1496" t="s">
        <v>10</v>
      </c>
      <c r="I1496" t="str">
        <f t="shared" si="47"/>
        <v/>
      </c>
    </row>
    <row r="1497" spans="1:9">
      <c r="A1497">
        <v>1471</v>
      </c>
      <c r="B1497" t="str">
        <f t="shared" si="46"/>
        <v>kevin lamont brown</v>
      </c>
      <c r="C1497" t="s">
        <v>2705</v>
      </c>
      <c r="D1497" t="s">
        <v>1246</v>
      </c>
      <c r="E1497" t="s">
        <v>2706</v>
      </c>
      <c r="F1497" t="s">
        <v>1749</v>
      </c>
      <c r="G1497" t="s">
        <v>4</v>
      </c>
      <c r="H1497" t="s">
        <v>4</v>
      </c>
      <c r="I1497" t="str">
        <f t="shared" si="47"/>
        <v/>
      </c>
    </row>
    <row r="1498" spans="1:9">
      <c r="A1498">
        <v>1472</v>
      </c>
      <c r="B1498" t="str">
        <f t="shared" si="46"/>
        <v>jacki carol brown</v>
      </c>
      <c r="C1498" t="s">
        <v>2705</v>
      </c>
      <c r="D1498" t="s">
        <v>2707</v>
      </c>
      <c r="E1498" t="s">
        <v>68</v>
      </c>
      <c r="F1498" t="s">
        <v>1964</v>
      </c>
      <c r="G1498" t="s">
        <v>4</v>
      </c>
      <c r="H1498" t="s">
        <v>4</v>
      </c>
      <c r="I1498" t="str">
        <f t="shared" si="47"/>
        <v/>
      </c>
    </row>
    <row r="1499" spans="1:9">
      <c r="A1499">
        <v>1473</v>
      </c>
      <c r="B1499" t="str">
        <f t="shared" si="46"/>
        <v>irma j. brown</v>
      </c>
      <c r="C1499" t="s">
        <v>2705</v>
      </c>
      <c r="D1499" t="s">
        <v>2708</v>
      </c>
      <c r="E1499" t="s">
        <v>94</v>
      </c>
      <c r="F1499" t="s">
        <v>2709</v>
      </c>
      <c r="G1499" t="s">
        <v>4</v>
      </c>
      <c r="H1499" t="s">
        <v>10</v>
      </c>
      <c r="I1499" t="str">
        <f t="shared" si="47"/>
        <v/>
      </c>
    </row>
    <row r="1500" spans="1:9">
      <c r="A1500">
        <v>1474</v>
      </c>
      <c r="B1500" t="str">
        <f t="shared" si="46"/>
        <v>gilbert thomas brown</v>
      </c>
      <c r="C1500" t="s">
        <v>2705</v>
      </c>
      <c r="D1500" t="s">
        <v>1176</v>
      </c>
      <c r="E1500" t="s">
        <v>27</v>
      </c>
      <c r="F1500" t="s">
        <v>106</v>
      </c>
      <c r="G1500" t="s">
        <v>4</v>
      </c>
      <c r="H1500" t="s">
        <v>10</v>
      </c>
      <c r="I1500" t="str">
        <f t="shared" si="47"/>
        <v/>
      </c>
    </row>
    <row r="1501" spans="1:9">
      <c r="A1501">
        <v>1475</v>
      </c>
      <c r="B1501" t="str">
        <f t="shared" si="46"/>
        <v>gerard s. brown</v>
      </c>
      <c r="C1501" t="s">
        <v>2705</v>
      </c>
      <c r="D1501" t="s">
        <v>2711</v>
      </c>
      <c r="E1501" t="s">
        <v>174</v>
      </c>
      <c r="F1501" t="s">
        <v>49</v>
      </c>
      <c r="G1501" t="s">
        <v>2712</v>
      </c>
      <c r="H1501" t="s">
        <v>10</v>
      </c>
      <c r="I1501" t="str">
        <f t="shared" si="47"/>
        <v/>
      </c>
    </row>
    <row r="1502" spans="1:9">
      <c r="A1502">
        <v>1476</v>
      </c>
      <c r="B1502" t="str">
        <f t="shared" si="46"/>
        <v xml:space="preserve">  brown frank a.</v>
      </c>
      <c r="C1502" t="s">
        <v>2713</v>
      </c>
      <c r="D1502" t="s">
        <v>4</v>
      </c>
      <c r="E1502" t="s">
        <v>4</v>
      </c>
      <c r="F1502" t="s">
        <v>101</v>
      </c>
      <c r="G1502" t="s">
        <v>102</v>
      </c>
      <c r="H1502" t="s">
        <v>103</v>
      </c>
      <c r="I1502" t="str">
        <f t="shared" si="47"/>
        <v/>
      </c>
    </row>
    <row r="1503" spans="1:9">
      <c r="A1503">
        <v>1477</v>
      </c>
      <c r="B1503" t="str">
        <f t="shared" si="46"/>
        <v>david ira brown</v>
      </c>
      <c r="C1503" t="s">
        <v>2705</v>
      </c>
      <c r="D1503" t="s">
        <v>28</v>
      </c>
      <c r="E1503" t="s">
        <v>1783</v>
      </c>
      <c r="F1503" t="s">
        <v>184</v>
      </c>
      <c r="G1503" t="s">
        <v>4</v>
      </c>
      <c r="H1503" t="s">
        <v>10</v>
      </c>
      <c r="I1503" t="str">
        <f t="shared" si="47"/>
        <v/>
      </c>
    </row>
    <row r="1504" spans="1:9">
      <c r="A1504">
        <v>1477</v>
      </c>
      <c r="B1504" t="str">
        <f t="shared" si="46"/>
        <v>david geoffrey brown</v>
      </c>
      <c r="C1504" t="s">
        <v>2705</v>
      </c>
      <c r="D1504" t="s">
        <v>28</v>
      </c>
      <c r="E1504" t="s">
        <v>2122</v>
      </c>
      <c r="F1504" t="s">
        <v>101</v>
      </c>
      <c r="G1504" t="s">
        <v>102</v>
      </c>
      <c r="H1504" t="s">
        <v>103</v>
      </c>
      <c r="I1504" t="str">
        <f t="shared" si="47"/>
        <v/>
      </c>
    </row>
    <row r="1505" spans="1:9">
      <c r="A1505">
        <v>1478</v>
      </c>
      <c r="B1505" t="str">
        <f t="shared" si="46"/>
        <v>david c brougham</v>
      </c>
      <c r="C1505" t="s">
        <v>2714</v>
      </c>
      <c r="D1505" t="s">
        <v>28</v>
      </c>
      <c r="E1505" t="s">
        <v>770</v>
      </c>
      <c r="F1505" t="s">
        <v>25</v>
      </c>
      <c r="G1505" t="s">
        <v>4</v>
      </c>
      <c r="H1505" t="s">
        <v>10</v>
      </c>
      <c r="I1505" t="str">
        <f t="shared" si="47"/>
        <v/>
      </c>
    </row>
    <row r="1506" spans="1:9">
      <c r="A1506">
        <v>1479</v>
      </c>
      <c r="B1506" t="str">
        <f t="shared" si="46"/>
        <v>cathryn franco brougham</v>
      </c>
      <c r="C1506" t="s">
        <v>2714</v>
      </c>
      <c r="D1506" t="s">
        <v>2715</v>
      </c>
      <c r="E1506" t="s">
        <v>2716</v>
      </c>
      <c r="F1506" t="s">
        <v>4110</v>
      </c>
      <c r="G1506" t="s">
        <v>4</v>
      </c>
      <c r="H1506" t="s">
        <v>4</v>
      </c>
      <c r="I1506" t="str">
        <f t="shared" si="47"/>
        <v/>
      </c>
    </row>
    <row r="1507" spans="1:9">
      <c r="A1507">
        <v>1480</v>
      </c>
      <c r="B1507" t="str">
        <f t="shared" si="46"/>
        <v>carol  brosnhan</v>
      </c>
      <c r="C1507" t="s">
        <v>2717</v>
      </c>
      <c r="D1507" t="s">
        <v>68</v>
      </c>
      <c r="E1507" t="s">
        <v>4</v>
      </c>
      <c r="F1507" t="s">
        <v>2718</v>
      </c>
      <c r="G1507" t="s">
        <v>4</v>
      </c>
      <c r="H1507" t="s">
        <v>10</v>
      </c>
      <c r="I1507" t="str">
        <f t="shared" si="47"/>
        <v/>
      </c>
    </row>
    <row r="1508" spans="1:9">
      <c r="A1508">
        <v>1481</v>
      </c>
      <c r="B1508" t="str">
        <f t="shared" si="46"/>
        <v>nelson keith brooks</v>
      </c>
      <c r="C1508" t="s">
        <v>2719</v>
      </c>
      <c r="D1508" t="s">
        <v>1221</v>
      </c>
      <c r="E1508" t="s">
        <v>732</v>
      </c>
      <c r="F1508" t="s">
        <v>1052</v>
      </c>
      <c r="G1508" t="s">
        <v>1093</v>
      </c>
      <c r="H1508" t="s">
        <v>36</v>
      </c>
      <c r="I1508" t="str">
        <f t="shared" si="47"/>
        <v/>
      </c>
    </row>
    <row r="1509" spans="1:9">
      <c r="A1509">
        <v>1482</v>
      </c>
      <c r="B1509" t="str">
        <f t="shared" si="46"/>
        <v>steven d. bromberg</v>
      </c>
      <c r="C1509" t="s">
        <v>2720</v>
      </c>
      <c r="D1509" t="s">
        <v>339</v>
      </c>
      <c r="E1509" t="s">
        <v>186</v>
      </c>
      <c r="F1509" t="s">
        <v>4106</v>
      </c>
      <c r="G1509" t="s">
        <v>4</v>
      </c>
      <c r="H1509" t="s">
        <v>4</v>
      </c>
      <c r="I1509" t="str">
        <f t="shared" si="47"/>
        <v/>
      </c>
    </row>
    <row r="1510" spans="1:9">
      <c r="A1510">
        <v>1483</v>
      </c>
      <c r="B1510" t="str">
        <f t="shared" si="46"/>
        <v>kyle s. brodie</v>
      </c>
      <c r="C1510" t="s">
        <v>2721</v>
      </c>
      <c r="D1510" t="s">
        <v>2722</v>
      </c>
      <c r="E1510" t="s">
        <v>174</v>
      </c>
      <c r="F1510" t="s">
        <v>8</v>
      </c>
      <c r="G1510" t="s">
        <v>411</v>
      </c>
      <c r="H1510" t="s">
        <v>36</v>
      </c>
      <c r="I1510" t="str">
        <f t="shared" si="47"/>
        <v/>
      </c>
    </row>
    <row r="1511" spans="1:9">
      <c r="A1511">
        <v>1484</v>
      </c>
      <c r="B1511" t="str">
        <f t="shared" si="46"/>
        <v>patrick michael broderick</v>
      </c>
      <c r="C1511" t="s">
        <v>2723</v>
      </c>
      <c r="D1511" t="s">
        <v>6</v>
      </c>
      <c r="E1511" t="s">
        <v>219</v>
      </c>
      <c r="F1511" t="s">
        <v>4161</v>
      </c>
      <c r="G1511" t="s">
        <v>4</v>
      </c>
      <c r="H1511" t="s">
        <v>4</v>
      </c>
      <c r="I1511" t="str">
        <f t="shared" si="47"/>
        <v/>
      </c>
    </row>
    <row r="1512" spans="1:9">
      <c r="A1512">
        <v>1485</v>
      </c>
      <c r="B1512" t="str">
        <f t="shared" si="46"/>
        <v>jerome edison brock</v>
      </c>
      <c r="C1512" t="s">
        <v>2724</v>
      </c>
      <c r="D1512" t="s">
        <v>1242</v>
      </c>
      <c r="E1512" t="s">
        <v>2725</v>
      </c>
      <c r="F1512" t="s">
        <v>2726</v>
      </c>
      <c r="G1512" t="s">
        <v>4</v>
      </c>
      <c r="H1512" t="s">
        <v>10</v>
      </c>
      <c r="I1512" t="str">
        <f t="shared" si="47"/>
        <v/>
      </c>
    </row>
    <row r="1513" spans="1:9">
      <c r="A1513">
        <v>1486</v>
      </c>
      <c r="B1513" t="str">
        <f t="shared" si="46"/>
        <v>francisco pedro briseno</v>
      </c>
      <c r="C1513" t="s">
        <v>2727</v>
      </c>
      <c r="D1513" t="s">
        <v>2264</v>
      </c>
      <c r="E1513" t="s">
        <v>2728</v>
      </c>
      <c r="F1513" t="s">
        <v>137</v>
      </c>
      <c r="G1513" t="s">
        <v>4</v>
      </c>
      <c r="H1513" t="s">
        <v>10</v>
      </c>
      <c r="I1513" t="str">
        <f t="shared" si="47"/>
        <v/>
      </c>
    </row>
    <row r="1514" spans="1:9">
      <c r="A1514">
        <v>1487</v>
      </c>
      <c r="B1514" t="str">
        <f t="shared" si="46"/>
        <v>joseph roy brisco</v>
      </c>
      <c r="C1514" t="s">
        <v>2729</v>
      </c>
      <c r="D1514" t="s">
        <v>80</v>
      </c>
      <c r="E1514" t="s">
        <v>869</v>
      </c>
      <c r="F1514" t="s">
        <v>822</v>
      </c>
      <c r="G1514" t="s">
        <v>823</v>
      </c>
      <c r="H1514" t="s">
        <v>10</v>
      </c>
      <c r="I1514" t="str">
        <f t="shared" si="47"/>
        <v/>
      </c>
    </row>
    <row r="1515" spans="1:9">
      <c r="A1515">
        <v>1488</v>
      </c>
      <c r="B1515" t="str">
        <f t="shared" si="46"/>
        <v>kimberly briggs giuntini</v>
      </c>
      <c r="C1515" t="s">
        <v>2730</v>
      </c>
      <c r="D1515" t="s">
        <v>1187</v>
      </c>
      <c r="E1515" t="s">
        <v>2731</v>
      </c>
      <c r="F1515" t="s">
        <v>4162</v>
      </c>
      <c r="G1515" t="s">
        <v>4</v>
      </c>
      <c r="H1515" t="s">
        <v>4</v>
      </c>
      <c r="I1515" t="str">
        <f t="shared" si="47"/>
        <v/>
      </c>
    </row>
    <row r="1516" spans="1:9">
      <c r="A1516">
        <v>1489</v>
      </c>
      <c r="B1516" t="str">
        <f t="shared" si="46"/>
        <v>steven a. brick</v>
      </c>
      <c r="C1516" t="s">
        <v>2732</v>
      </c>
      <c r="D1516" t="s">
        <v>339</v>
      </c>
      <c r="E1516" t="s">
        <v>447</v>
      </c>
      <c r="F1516" t="s">
        <v>49</v>
      </c>
      <c r="G1516" t="s">
        <v>176</v>
      </c>
      <c r="H1516" t="s">
        <v>10</v>
      </c>
      <c r="I1516" t="str">
        <f t="shared" si="47"/>
        <v/>
      </c>
    </row>
    <row r="1517" spans="1:9">
      <c r="A1517">
        <v>1490</v>
      </c>
      <c r="B1517" t="str">
        <f t="shared" si="46"/>
        <v>clayton lane brennan</v>
      </c>
      <c r="C1517" t="s">
        <v>2733</v>
      </c>
      <c r="D1517" t="s">
        <v>2734</v>
      </c>
      <c r="E1517" t="s">
        <v>1634</v>
      </c>
      <c r="F1517" t="s">
        <v>2735</v>
      </c>
      <c r="G1517" t="s">
        <v>2736</v>
      </c>
      <c r="H1517" t="s">
        <v>36</v>
      </c>
      <c r="I1517" t="str">
        <f t="shared" si="47"/>
        <v/>
      </c>
    </row>
    <row r="1518" spans="1:9">
      <c r="A1518">
        <v>1491</v>
      </c>
      <c r="B1518" t="str">
        <f t="shared" si="46"/>
        <v>charles robert brehmer</v>
      </c>
      <c r="C1518" t="s">
        <v>2737</v>
      </c>
      <c r="D1518" t="s">
        <v>35</v>
      </c>
      <c r="E1518" t="s">
        <v>72</v>
      </c>
      <c r="F1518" t="s">
        <v>32</v>
      </c>
      <c r="G1518" t="s">
        <v>95</v>
      </c>
      <c r="H1518" t="s">
        <v>10</v>
      </c>
      <c r="I1518" t="str">
        <f t="shared" si="47"/>
        <v/>
      </c>
    </row>
    <row r="1519" spans="1:9">
      <c r="A1519">
        <v>1492</v>
      </c>
      <c r="B1519" t="str">
        <f t="shared" si="46"/>
        <v>susan barbara camp breall</v>
      </c>
      <c r="C1519" t="s">
        <v>2738</v>
      </c>
      <c r="D1519" t="s">
        <v>676</v>
      </c>
      <c r="E1519" t="s">
        <v>2739</v>
      </c>
      <c r="F1519" t="s">
        <v>54</v>
      </c>
      <c r="G1519" t="s">
        <v>2740</v>
      </c>
      <c r="H1519" t="s">
        <v>36</v>
      </c>
      <c r="I1519" t="str">
        <f t="shared" si="47"/>
        <v/>
      </c>
    </row>
    <row r="1520" spans="1:9">
      <c r="A1520">
        <v>1493</v>
      </c>
      <c r="B1520" t="str">
        <f t="shared" si="46"/>
        <v>kevin c brazile</v>
      </c>
      <c r="C1520" t="s">
        <v>2741</v>
      </c>
      <c r="D1520" t="s">
        <v>1246</v>
      </c>
      <c r="E1520" t="s">
        <v>770</v>
      </c>
      <c r="F1520" t="s">
        <v>2742</v>
      </c>
      <c r="G1520" t="s">
        <v>2743</v>
      </c>
      <c r="H1520" t="s">
        <v>2744</v>
      </c>
      <c r="I1520" t="str">
        <f t="shared" si="47"/>
        <v/>
      </c>
    </row>
    <row r="1521" spans="1:9">
      <c r="A1521">
        <v>1494</v>
      </c>
      <c r="B1521" t="str">
        <f t="shared" si="46"/>
        <v>joseph p brannigan</v>
      </c>
      <c r="C1521" t="s">
        <v>2745</v>
      </c>
      <c r="D1521" t="s">
        <v>80</v>
      </c>
      <c r="E1521" t="s">
        <v>252</v>
      </c>
      <c r="F1521" t="s">
        <v>101</v>
      </c>
      <c r="G1521" t="s">
        <v>102</v>
      </c>
      <c r="H1521" t="s">
        <v>103</v>
      </c>
      <c r="I1521" t="str">
        <f t="shared" si="47"/>
        <v/>
      </c>
    </row>
    <row r="1522" spans="1:9">
      <c r="A1522">
        <v>1495</v>
      </c>
      <c r="B1522" t="str">
        <f t="shared" si="46"/>
        <v>anthony  brandolino joseph</v>
      </c>
      <c r="C1522" t="s">
        <v>2746</v>
      </c>
      <c r="D1522" t="s">
        <v>150</v>
      </c>
      <c r="E1522" t="s">
        <v>4</v>
      </c>
      <c r="F1522" t="s">
        <v>1749</v>
      </c>
      <c r="G1522" t="s">
        <v>4</v>
      </c>
      <c r="H1522" t="s">
        <v>4</v>
      </c>
      <c r="I1522" t="str">
        <f t="shared" si="47"/>
        <v/>
      </c>
    </row>
    <row r="1523" spans="1:9">
      <c r="A1523">
        <v>1496</v>
      </c>
      <c r="B1523" t="str">
        <f t="shared" si="46"/>
        <v>james robert brandlin</v>
      </c>
      <c r="C1523" t="s">
        <v>2747</v>
      </c>
      <c r="D1523" t="s">
        <v>90</v>
      </c>
      <c r="E1523" t="s">
        <v>72</v>
      </c>
      <c r="F1523" t="s">
        <v>4163</v>
      </c>
      <c r="G1523" t="s">
        <v>135</v>
      </c>
      <c r="H1523" t="s">
        <v>4</v>
      </c>
      <c r="I1523" t="str">
        <f t="shared" si="47"/>
        <v/>
      </c>
    </row>
    <row r="1524" spans="1:9">
      <c r="A1524">
        <v>1497</v>
      </c>
      <c r="B1524" t="str">
        <f t="shared" si="46"/>
        <v>laurel s brady</v>
      </c>
      <c r="C1524" t="s">
        <v>2748</v>
      </c>
      <c r="D1524" t="s">
        <v>2749</v>
      </c>
      <c r="E1524" t="s">
        <v>182</v>
      </c>
      <c r="F1524" t="s">
        <v>2750</v>
      </c>
      <c r="G1524" t="s">
        <v>4</v>
      </c>
      <c r="H1524" t="s">
        <v>36</v>
      </c>
      <c r="I1524" t="str">
        <f t="shared" si="47"/>
        <v/>
      </c>
    </row>
    <row r="1525" spans="1:9">
      <c r="A1525">
        <v>1498</v>
      </c>
      <c r="B1525" t="str">
        <f t="shared" si="46"/>
        <v>angela mary brads treet</v>
      </c>
      <c r="C1525" t="s">
        <v>2751</v>
      </c>
      <c r="D1525" t="s">
        <v>2752</v>
      </c>
      <c r="E1525" t="s">
        <v>126</v>
      </c>
      <c r="F1525" t="s">
        <v>2753</v>
      </c>
      <c r="G1525" t="s">
        <v>4</v>
      </c>
      <c r="H1525" t="s">
        <v>10</v>
      </c>
      <c r="I1525" t="str">
        <f t="shared" si="47"/>
        <v/>
      </c>
    </row>
    <row r="1526" spans="1:9">
      <c r="A1526">
        <v>1499</v>
      </c>
      <c r="B1526" t="str">
        <f t="shared" si="46"/>
        <v>james eric bradshaw</v>
      </c>
      <c r="C1526" t="s">
        <v>2754</v>
      </c>
      <c r="D1526" t="s">
        <v>90</v>
      </c>
      <c r="E1526" t="s">
        <v>463</v>
      </c>
      <c r="F1526" t="s">
        <v>32</v>
      </c>
      <c r="G1526" t="s">
        <v>95</v>
      </c>
      <c r="H1526" t="s">
        <v>10</v>
      </c>
      <c r="I1526" t="str">
        <f t="shared" si="47"/>
        <v/>
      </c>
    </row>
    <row r="1527" spans="1:9">
      <c r="A1527">
        <v>1500</v>
      </c>
      <c r="B1527" t="str">
        <f t="shared" si="46"/>
        <v>robert s boyd</v>
      </c>
      <c r="C1527" t="s">
        <v>892</v>
      </c>
      <c r="D1527" t="s">
        <v>72</v>
      </c>
      <c r="E1527" t="s">
        <v>182</v>
      </c>
      <c r="F1527" t="s">
        <v>654</v>
      </c>
      <c r="G1527" t="s">
        <v>4</v>
      </c>
      <c r="H1527" t="s">
        <v>10</v>
      </c>
      <c r="I1527" t="str">
        <f t="shared" si="47"/>
        <v/>
      </c>
    </row>
    <row r="1528" spans="1:9">
      <c r="A1528">
        <v>1501</v>
      </c>
      <c r="B1528" t="str">
        <f t="shared" si="46"/>
        <v>blaine kenyon bowman</v>
      </c>
      <c r="C1528" t="s">
        <v>2755</v>
      </c>
      <c r="D1528" t="s">
        <v>2756</v>
      </c>
      <c r="E1528" t="s">
        <v>2757</v>
      </c>
      <c r="F1528" t="s">
        <v>101</v>
      </c>
      <c r="G1528" t="s">
        <v>102</v>
      </c>
      <c r="H1528" t="s">
        <v>103</v>
      </c>
      <c r="I1528" t="str">
        <f t="shared" si="47"/>
        <v/>
      </c>
    </row>
    <row r="1529" spans="1:9">
      <c r="A1529">
        <v>1502</v>
      </c>
      <c r="B1529" t="str">
        <f t="shared" si="46"/>
        <v>stephan a11:07 bowick</v>
      </c>
      <c r="C1529" t="s">
        <v>2758</v>
      </c>
      <c r="D1529" t="s">
        <v>811</v>
      </c>
      <c r="E1529" t="s">
        <v>2759</v>
      </c>
      <c r="F1529" t="s">
        <v>1182</v>
      </c>
      <c r="G1529" t="s">
        <v>40</v>
      </c>
      <c r="H1529" t="s">
        <v>10</v>
      </c>
      <c r="I1529" t="str">
        <f t="shared" si="47"/>
        <v/>
      </c>
    </row>
    <row r="1530" spans="1:9">
      <c r="A1530">
        <v>1503</v>
      </c>
      <c r="B1530" t="str">
        <f t="shared" si="46"/>
        <v>robert s bowers</v>
      </c>
      <c r="C1530" t="s">
        <v>2760</v>
      </c>
      <c r="D1530" t="s">
        <v>72</v>
      </c>
      <c r="E1530" t="s">
        <v>182</v>
      </c>
      <c r="F1530" t="s">
        <v>567</v>
      </c>
      <c r="G1530" t="s">
        <v>2761</v>
      </c>
      <c r="H1530" t="s">
        <v>36</v>
      </c>
      <c r="I1530" t="str">
        <f t="shared" si="47"/>
        <v/>
      </c>
    </row>
    <row r="1531" spans="1:9">
      <c r="A1531">
        <v>1504</v>
      </c>
      <c r="B1531" t="str">
        <f t="shared" si="46"/>
        <v>bob s. bowers jr.</v>
      </c>
      <c r="C1531" t="s">
        <v>2762</v>
      </c>
      <c r="D1531" t="s">
        <v>2763</v>
      </c>
      <c r="E1531" t="s">
        <v>174</v>
      </c>
      <c r="F1531" t="s">
        <v>25</v>
      </c>
      <c r="G1531" t="s">
        <v>4</v>
      </c>
      <c r="H1531" t="s">
        <v>10</v>
      </c>
      <c r="I1531" t="str">
        <f t="shared" si="47"/>
        <v/>
      </c>
    </row>
    <row r="1532" spans="1:9">
      <c r="A1532">
        <v>1505</v>
      </c>
      <c r="B1532" t="str">
        <f t="shared" si="46"/>
        <v>christopher richard bowen</v>
      </c>
      <c r="C1532" t="s">
        <v>2764</v>
      </c>
      <c r="D1532" t="s">
        <v>64</v>
      </c>
      <c r="E1532" t="s">
        <v>173</v>
      </c>
      <c r="F1532" t="s">
        <v>755</v>
      </c>
      <c r="G1532" t="s">
        <v>4</v>
      </c>
      <c r="H1532" t="s">
        <v>36</v>
      </c>
      <c r="I1532" t="str">
        <f t="shared" si="47"/>
        <v/>
      </c>
    </row>
    <row r="1533" spans="1:9">
      <c r="A1533">
        <v>1506</v>
      </c>
      <c r="B1533" t="str">
        <f t="shared" si="46"/>
        <v>elaine  boulware eurie</v>
      </c>
      <c r="C1533" t="s">
        <v>2765</v>
      </c>
      <c r="D1533" t="s">
        <v>525</v>
      </c>
      <c r="E1533" t="s">
        <v>4</v>
      </c>
      <c r="F1533" t="s">
        <v>32</v>
      </c>
      <c r="G1533" t="s">
        <v>4</v>
      </c>
      <c r="H1533" t="s">
        <v>10</v>
      </c>
      <c r="I1533" t="str">
        <f t="shared" si="47"/>
        <v/>
      </c>
    </row>
    <row r="1534" spans="1:9">
      <c r="A1534">
        <v>259</v>
      </c>
      <c r="B1534" t="str">
        <f t="shared" si="46"/>
        <v>c. todd bottke</v>
      </c>
      <c r="C1534" t="s">
        <v>2766</v>
      </c>
      <c r="D1534" t="s">
        <v>332</v>
      </c>
      <c r="E1534" t="s">
        <v>2767</v>
      </c>
      <c r="F1534" t="s">
        <v>2184</v>
      </c>
      <c r="G1534" t="s">
        <v>4</v>
      </c>
      <c r="H1534" t="s">
        <v>36</v>
      </c>
      <c r="I1534" t="str">
        <f t="shared" si="47"/>
        <v/>
      </c>
    </row>
    <row r="1535" spans="1:9">
      <c r="A1535">
        <v>1507</v>
      </c>
      <c r="B1535" t="str">
        <f t="shared" si="46"/>
        <v>jeffrey stanley bostwick</v>
      </c>
      <c r="C1535" t="s">
        <v>2768</v>
      </c>
      <c r="D1535" t="s">
        <v>446</v>
      </c>
      <c r="E1535" t="s">
        <v>597</v>
      </c>
      <c r="F1535" t="s">
        <v>101</v>
      </c>
      <c r="G1535" t="s">
        <v>102</v>
      </c>
      <c r="H1535" t="s">
        <v>103</v>
      </c>
      <c r="I1535" t="str">
        <f t="shared" si="47"/>
        <v/>
      </c>
    </row>
    <row r="1536" spans="1:9">
      <c r="A1536">
        <v>1508</v>
      </c>
      <c r="B1536" t="str">
        <f t="shared" si="46"/>
        <v>james anthony boscoe</v>
      </c>
      <c r="C1536" t="s">
        <v>2769</v>
      </c>
      <c r="D1536" t="s">
        <v>90</v>
      </c>
      <c r="E1536" t="s">
        <v>150</v>
      </c>
      <c r="F1536" t="s">
        <v>2770</v>
      </c>
      <c r="G1536" t="s">
        <v>4</v>
      </c>
      <c r="H1536" t="s">
        <v>36</v>
      </c>
      <c r="I1536" t="str">
        <f t="shared" si="47"/>
        <v/>
      </c>
    </row>
    <row r="1537" spans="1:9">
      <c r="A1537">
        <v>1509</v>
      </c>
      <c r="B1537" t="str">
        <f t="shared" si="46"/>
        <v>thomas james borris</v>
      </c>
      <c r="C1537" t="s">
        <v>2771</v>
      </c>
      <c r="D1537" t="s">
        <v>27</v>
      </c>
      <c r="E1537" t="s">
        <v>90</v>
      </c>
      <c r="F1537" t="s">
        <v>2772</v>
      </c>
      <c r="G1537" t="s">
        <v>4</v>
      </c>
      <c r="H1537" t="s">
        <v>36</v>
      </c>
      <c r="I1537" t="str">
        <f t="shared" si="47"/>
        <v/>
      </c>
    </row>
    <row r="1538" spans="1:9">
      <c r="A1538">
        <v>1510</v>
      </c>
      <c r="B1538" t="str">
        <f t="shared" si="46"/>
        <v>mark steven borrell</v>
      </c>
      <c r="C1538" t="s">
        <v>2773</v>
      </c>
      <c r="D1538" t="s">
        <v>45</v>
      </c>
      <c r="E1538" t="s">
        <v>339</v>
      </c>
      <c r="F1538" t="s">
        <v>1139</v>
      </c>
      <c r="G1538" t="s">
        <v>4</v>
      </c>
      <c r="H1538" t="s">
        <v>103</v>
      </c>
      <c r="I1538" t="str">
        <f t="shared" si="47"/>
        <v/>
      </c>
    </row>
    <row r="1539" spans="1:9">
      <c r="A1539">
        <v>1511</v>
      </c>
      <c r="B1539" t="str">
        <f t="shared" ref="B1539:B1602" si="48">TRIM($D1539) &amp; " " &amp; TRIM($E1539) &amp; " " &amp; TRIM($C1539)</f>
        <v>terry a. bork</v>
      </c>
      <c r="C1539" t="s">
        <v>2774</v>
      </c>
      <c r="D1539" t="s">
        <v>623</v>
      </c>
      <c r="E1539" t="s">
        <v>447</v>
      </c>
      <c r="F1539" t="s">
        <v>2025</v>
      </c>
      <c r="G1539" t="s">
        <v>40</v>
      </c>
      <c r="H1539" t="s">
        <v>4</v>
      </c>
      <c r="I1539" t="str">
        <f t="shared" ref="I1539:I1602" si="49">IF(NOT(ISERROR(FIND("judge",F1539))),"judge","")</f>
        <v/>
      </c>
    </row>
    <row r="1540" spans="1:9">
      <c r="A1540">
        <v>1512</v>
      </c>
      <c r="B1540" t="str">
        <f t="shared" si="48"/>
        <v>mark alan borenstein</v>
      </c>
      <c r="C1540" t="s">
        <v>2775</v>
      </c>
      <c r="D1540" t="s">
        <v>45</v>
      </c>
      <c r="E1540" t="s">
        <v>48</v>
      </c>
      <c r="F1540" t="s">
        <v>25</v>
      </c>
      <c r="G1540" t="s">
        <v>4</v>
      </c>
      <c r="H1540" t="s">
        <v>4</v>
      </c>
      <c r="I1540" t="str">
        <f t="shared" si="49"/>
        <v/>
      </c>
    </row>
    <row r="1541" spans="1:9">
      <c r="A1541">
        <v>1513</v>
      </c>
      <c r="B1541" t="str">
        <f t="shared" si="48"/>
        <v>terrence r boren</v>
      </c>
      <c r="C1541" t="s">
        <v>2776</v>
      </c>
      <c r="D1541" t="s">
        <v>342</v>
      </c>
      <c r="E1541" t="s">
        <v>53</v>
      </c>
      <c r="F1541" t="s">
        <v>54</v>
      </c>
      <c r="G1541" t="s">
        <v>658</v>
      </c>
      <c r="H1541" t="s">
        <v>10</v>
      </c>
      <c r="I1541" t="str">
        <f t="shared" si="49"/>
        <v/>
      </c>
    </row>
    <row r="1542" spans="1:9">
      <c r="A1542">
        <v>1514</v>
      </c>
      <c r="B1542" t="str">
        <f t="shared" si="48"/>
        <v>joseph cerk boren roger w.</v>
      </c>
      <c r="C1542" t="s">
        <v>2777</v>
      </c>
      <c r="D1542" t="s">
        <v>80</v>
      </c>
      <c r="E1542" t="s">
        <v>2778</v>
      </c>
      <c r="F1542" t="s">
        <v>19</v>
      </c>
      <c r="G1542" t="s">
        <v>20</v>
      </c>
      <c r="H1542" t="s">
        <v>21</v>
      </c>
      <c r="I1542" t="str">
        <f t="shared" si="49"/>
        <v/>
      </c>
    </row>
    <row r="1543" spans="1:9">
      <c r="A1543">
        <v>1515</v>
      </c>
      <c r="B1543" t="str">
        <f t="shared" si="48"/>
        <v>jerilyn louise borack</v>
      </c>
      <c r="C1543" t="s">
        <v>2779</v>
      </c>
      <c r="D1543" t="s">
        <v>2780</v>
      </c>
      <c r="E1543" t="s">
        <v>899</v>
      </c>
      <c r="F1543" t="s">
        <v>49</v>
      </c>
      <c r="G1543" t="s">
        <v>434</v>
      </c>
      <c r="H1543" t="s">
        <v>10</v>
      </c>
      <c r="I1543" t="str">
        <f t="shared" si="49"/>
        <v/>
      </c>
    </row>
    <row r="1544" spans="1:9">
      <c r="A1544">
        <v>1516</v>
      </c>
      <c r="B1544" t="str">
        <f t="shared" si="48"/>
        <v>griffin michael jude bonini</v>
      </c>
      <c r="C1544" t="s">
        <v>2781</v>
      </c>
      <c r="D1544" t="s">
        <v>2091</v>
      </c>
      <c r="E1544" t="s">
        <v>2782</v>
      </c>
      <c r="F1544" t="s">
        <v>106</v>
      </c>
      <c r="G1544" t="s">
        <v>4</v>
      </c>
      <c r="H1544" t="s">
        <v>36</v>
      </c>
      <c r="I1544" t="str">
        <f t="shared" si="49"/>
        <v/>
      </c>
    </row>
    <row r="1545" spans="1:9">
      <c r="A1545">
        <v>1517</v>
      </c>
      <c r="B1545" t="str">
        <f t="shared" si="48"/>
        <v>franklin e bondonno</v>
      </c>
      <c r="C1545" t="s">
        <v>2783</v>
      </c>
      <c r="D1545" t="s">
        <v>555</v>
      </c>
      <c r="E1545" t="s">
        <v>134</v>
      </c>
      <c r="F1545" t="s">
        <v>1964</v>
      </c>
      <c r="G1545" t="s">
        <v>4</v>
      </c>
      <c r="H1545" t="s">
        <v>4</v>
      </c>
      <c r="I1545" t="str">
        <f t="shared" si="49"/>
        <v/>
      </c>
    </row>
    <row r="1546" spans="1:9">
      <c r="A1546">
        <v>1518</v>
      </c>
      <c r="B1546" t="str">
        <f t="shared" si="48"/>
        <v>suzanne ramos bolanos</v>
      </c>
      <c r="C1546" t="s">
        <v>2784</v>
      </c>
      <c r="D1546" t="s">
        <v>1590</v>
      </c>
      <c r="E1546" t="s">
        <v>2785</v>
      </c>
      <c r="F1546" t="s">
        <v>88</v>
      </c>
      <c r="G1546" t="s">
        <v>2786</v>
      </c>
      <c r="H1546" t="s">
        <v>10</v>
      </c>
      <c r="I1546" t="str">
        <f t="shared" si="49"/>
        <v/>
      </c>
    </row>
    <row r="1547" spans="1:9">
      <c r="A1547">
        <v>1519</v>
      </c>
      <c r="B1547" t="str">
        <f t="shared" si="48"/>
        <v>tami rose bogert</v>
      </c>
      <c r="C1547" t="s">
        <v>2787</v>
      </c>
      <c r="D1547" t="s">
        <v>2788</v>
      </c>
      <c r="E1547" t="s">
        <v>863</v>
      </c>
      <c r="F1547" t="s">
        <v>184</v>
      </c>
      <c r="G1547" t="s">
        <v>4</v>
      </c>
      <c r="H1547" t="s">
        <v>10</v>
      </c>
      <c r="I1547" t="str">
        <f t="shared" si="49"/>
        <v/>
      </c>
    </row>
    <row r="1548" spans="1:9">
      <c r="A1548">
        <v>1520</v>
      </c>
      <c r="B1548" t="str">
        <f t="shared" si="48"/>
        <v>mark stephen boessenecker</v>
      </c>
      <c r="C1548" t="s">
        <v>2789</v>
      </c>
      <c r="D1548" t="s">
        <v>45</v>
      </c>
      <c r="E1548" t="s">
        <v>183</v>
      </c>
      <c r="F1548" t="s">
        <v>422</v>
      </c>
      <c r="G1548" t="s">
        <v>4</v>
      </c>
      <c r="H1548" t="s">
        <v>10</v>
      </c>
      <c r="I1548" t="str">
        <f t="shared" si="49"/>
        <v/>
      </c>
    </row>
    <row r="1549" spans="1:9">
      <c r="A1549">
        <v>1521</v>
      </c>
      <c r="B1549" t="str">
        <f t="shared" si="48"/>
        <v>bradley l boeckman</v>
      </c>
      <c r="C1549" t="s">
        <v>2790</v>
      </c>
      <c r="D1549" t="s">
        <v>1224</v>
      </c>
      <c r="E1549" t="s">
        <v>77</v>
      </c>
      <c r="F1549" t="s">
        <v>2245</v>
      </c>
      <c r="G1549" t="s">
        <v>2791</v>
      </c>
      <c r="H1549" t="s">
        <v>103</v>
      </c>
      <c r="I1549" t="str">
        <f t="shared" si="49"/>
        <v/>
      </c>
    </row>
    <row r="1550" spans="1:9">
      <c r="A1550">
        <v>1522</v>
      </c>
      <c r="B1550" t="str">
        <f t="shared" si="48"/>
        <v>juliet l boccone-gallo</v>
      </c>
      <c r="C1550" t="s">
        <v>2792</v>
      </c>
      <c r="D1550" t="s">
        <v>2793</v>
      </c>
      <c r="E1550" t="s">
        <v>77</v>
      </c>
      <c r="F1550" t="s">
        <v>4164</v>
      </c>
      <c r="G1550" t="s">
        <v>4</v>
      </c>
      <c r="H1550" t="s">
        <v>4</v>
      </c>
      <c r="I1550" t="str">
        <f t="shared" si="49"/>
        <v/>
      </c>
    </row>
    <row r="1551" spans="1:9">
      <c r="A1551">
        <v>1523</v>
      </c>
      <c r="B1551" t="str">
        <f t="shared" si="48"/>
        <v>arthur  bocanegra</v>
      </c>
      <c r="C1551" t="s">
        <v>2794</v>
      </c>
      <c r="D1551" t="s">
        <v>169</v>
      </c>
      <c r="E1551" t="s">
        <v>4</v>
      </c>
      <c r="F1551" t="s">
        <v>32</v>
      </c>
      <c r="G1551" t="s">
        <v>4</v>
      </c>
      <c r="H1551" t="s">
        <v>36</v>
      </c>
      <c r="I1551" t="str">
        <f t="shared" si="49"/>
        <v/>
      </c>
    </row>
    <row r="1552" spans="1:9">
      <c r="A1552">
        <v>1524</v>
      </c>
      <c r="B1552" t="str">
        <f t="shared" si="48"/>
        <v>stan  blumenfeld</v>
      </c>
      <c r="C1552" t="s">
        <v>2795</v>
      </c>
      <c r="D1552" t="s">
        <v>2345</v>
      </c>
      <c r="E1552" t="s">
        <v>4</v>
      </c>
      <c r="F1552" t="s">
        <v>808</v>
      </c>
      <c r="G1552" t="s">
        <v>2796</v>
      </c>
      <c r="H1552" t="s">
        <v>10</v>
      </c>
      <c r="I1552" t="str">
        <f t="shared" si="49"/>
        <v/>
      </c>
    </row>
    <row r="1553" spans="1:9">
      <c r="A1553">
        <v>1525</v>
      </c>
      <c r="B1553" t="str">
        <f t="shared" si="48"/>
        <v>andrew spotts blum</v>
      </c>
      <c r="C1553" t="s">
        <v>2797</v>
      </c>
      <c r="D1553" t="s">
        <v>170</v>
      </c>
      <c r="E1553" t="s">
        <v>2798</v>
      </c>
      <c r="F1553" t="s">
        <v>1976</v>
      </c>
      <c r="G1553" t="s">
        <v>4</v>
      </c>
      <c r="H1553" t="s">
        <v>36</v>
      </c>
      <c r="I1553" t="str">
        <f t="shared" si="49"/>
        <v/>
      </c>
    </row>
    <row r="1554" spans="1:9">
      <c r="A1554">
        <v>1526</v>
      </c>
      <c r="B1554" t="str">
        <f t="shared" si="48"/>
        <v>jay m bloom</v>
      </c>
      <c r="C1554" t="s">
        <v>2799</v>
      </c>
      <c r="D1554" t="s">
        <v>1717</v>
      </c>
      <c r="E1554" t="s">
        <v>410</v>
      </c>
      <c r="F1554" t="s">
        <v>101</v>
      </c>
      <c r="G1554" t="s">
        <v>102</v>
      </c>
      <c r="H1554" t="s">
        <v>103</v>
      </c>
      <c r="I1554" t="str">
        <f t="shared" si="49"/>
        <v/>
      </c>
    </row>
    <row r="1555" spans="1:9">
      <c r="A1555">
        <v>1527</v>
      </c>
      <c r="B1555" t="str">
        <f t="shared" si="48"/>
        <v>thadd allan blizzard</v>
      </c>
      <c r="C1555" t="s">
        <v>2800</v>
      </c>
      <c r="D1555" t="s">
        <v>2801</v>
      </c>
      <c r="E1555" t="s">
        <v>1013</v>
      </c>
      <c r="F1555" t="s">
        <v>1964</v>
      </c>
      <c r="G1555" t="s">
        <v>434</v>
      </c>
      <c r="H1555" t="s">
        <v>4</v>
      </c>
      <c r="I1555" t="str">
        <f t="shared" si="49"/>
        <v/>
      </c>
    </row>
    <row r="1556" spans="1:9">
      <c r="A1556">
        <v>1528</v>
      </c>
      <c r="B1556" t="str">
        <f t="shared" si="48"/>
        <v>coleman arthur blease</v>
      </c>
      <c r="C1556" t="s">
        <v>2802</v>
      </c>
      <c r="D1556" t="s">
        <v>2544</v>
      </c>
      <c r="E1556" t="s">
        <v>169</v>
      </c>
      <c r="F1556" t="s">
        <v>1416</v>
      </c>
      <c r="G1556" t="s">
        <v>893</v>
      </c>
      <c r="H1556" t="s">
        <v>212</v>
      </c>
      <c r="I1556" t="str">
        <f t="shared" si="49"/>
        <v/>
      </c>
    </row>
    <row r="1557" spans="1:9">
      <c r="A1557">
        <v>1529</v>
      </c>
      <c r="B1557" t="str">
        <f t="shared" si="48"/>
        <v>jacob  blea iii</v>
      </c>
      <c r="C1557" t="s">
        <v>2803</v>
      </c>
      <c r="D1557" t="s">
        <v>1701</v>
      </c>
      <c r="E1557" t="s">
        <v>4</v>
      </c>
      <c r="F1557" t="s">
        <v>387</v>
      </c>
      <c r="G1557" t="s">
        <v>4</v>
      </c>
      <c r="H1557" t="s">
        <v>10</v>
      </c>
      <c r="I1557" t="str">
        <f t="shared" si="49"/>
        <v/>
      </c>
    </row>
    <row r="1558" spans="1:9">
      <c r="A1558">
        <v>1530</v>
      </c>
      <c r="B1558" t="str">
        <f t="shared" si="48"/>
        <v>dale j. blea</v>
      </c>
      <c r="C1558" t="s">
        <v>2804</v>
      </c>
      <c r="D1558" t="s">
        <v>215</v>
      </c>
      <c r="E1558" t="s">
        <v>94</v>
      </c>
      <c r="F1558" t="s">
        <v>32</v>
      </c>
      <c r="G1558" t="s">
        <v>4</v>
      </c>
      <c r="H1558" t="s">
        <v>10</v>
      </c>
      <c r="I1558" t="str">
        <f t="shared" si="49"/>
        <v/>
      </c>
    </row>
    <row r="1559" spans="1:9">
      <c r="A1559">
        <v>156</v>
      </c>
      <c r="B1559" t="str">
        <f t="shared" si="48"/>
        <v>b. kathleen blanchard</v>
      </c>
      <c r="C1559" t="s">
        <v>2805</v>
      </c>
      <c r="D1559" t="s">
        <v>400</v>
      </c>
      <c r="E1559" t="s">
        <v>188</v>
      </c>
      <c r="F1559" t="s">
        <v>49</v>
      </c>
      <c r="G1559" t="s">
        <v>135</v>
      </c>
      <c r="H1559" t="s">
        <v>10</v>
      </c>
      <c r="I1559" t="str">
        <f t="shared" si="49"/>
        <v/>
      </c>
    </row>
    <row r="1560" spans="1:9">
      <c r="A1560">
        <v>1531</v>
      </c>
      <c r="B1560" t="str">
        <f t="shared" si="48"/>
        <v>steven david blades</v>
      </c>
      <c r="C1560" t="s">
        <v>2806</v>
      </c>
      <c r="D1560" t="s">
        <v>339</v>
      </c>
      <c r="E1560" t="s">
        <v>28</v>
      </c>
      <c r="F1560" t="s">
        <v>1749</v>
      </c>
      <c r="G1560" t="s">
        <v>4</v>
      </c>
      <c r="H1560" t="s">
        <v>4</v>
      </c>
      <c r="I1560" t="str">
        <f t="shared" si="49"/>
        <v/>
      </c>
    </row>
    <row r="1561" spans="1:9">
      <c r="A1561">
        <v>1532</v>
      </c>
      <c r="B1561" t="str">
        <f t="shared" si="48"/>
        <v>donald scot black</v>
      </c>
      <c r="C1561" t="s">
        <v>2807</v>
      </c>
      <c r="D1561" t="s">
        <v>509</v>
      </c>
      <c r="E1561" t="s">
        <v>2808</v>
      </c>
      <c r="F1561" t="s">
        <v>49</v>
      </c>
      <c r="G1561" t="s">
        <v>2809</v>
      </c>
      <c r="H1561" t="s">
        <v>10</v>
      </c>
      <c r="I1561" t="str">
        <f t="shared" si="49"/>
        <v/>
      </c>
    </row>
    <row r="1562" spans="1:9">
      <c r="A1562">
        <v>1533</v>
      </c>
      <c r="B1562" t="str">
        <f t="shared" si="48"/>
        <v>lauren weis birnstein</v>
      </c>
      <c r="C1562" t="s">
        <v>2810</v>
      </c>
      <c r="D1562" t="s">
        <v>451</v>
      </c>
      <c r="E1562" t="s">
        <v>2811</v>
      </c>
      <c r="F1562" t="s">
        <v>25</v>
      </c>
      <c r="G1562" t="s">
        <v>1734</v>
      </c>
      <c r="H1562" t="s">
        <v>10</v>
      </c>
      <c r="I1562" t="str">
        <f t="shared" si="49"/>
        <v/>
      </c>
    </row>
    <row r="1563" spans="1:9">
      <c r="A1563">
        <v>1534</v>
      </c>
      <c r="B1563" t="str">
        <f t="shared" si="48"/>
        <v>laura j birkmeyer</v>
      </c>
      <c r="C1563" t="s">
        <v>2812</v>
      </c>
      <c r="D1563" t="s">
        <v>259</v>
      </c>
      <c r="E1563" t="s">
        <v>1296</v>
      </c>
      <c r="F1563" t="s">
        <v>101</v>
      </c>
      <c r="G1563" t="s">
        <v>102</v>
      </c>
      <c r="H1563" t="s">
        <v>103</v>
      </c>
      <c r="I1563" t="str">
        <f t="shared" si="49"/>
        <v/>
      </c>
    </row>
    <row r="1564" spans="1:9">
      <c r="A1564">
        <v>1535</v>
      </c>
      <c r="B1564" t="str">
        <f t="shared" si="48"/>
        <v>colin joseph bilash</v>
      </c>
      <c r="C1564" t="s">
        <v>2813</v>
      </c>
      <c r="D1564" t="s">
        <v>2814</v>
      </c>
      <c r="E1564" t="s">
        <v>80</v>
      </c>
      <c r="F1564" t="s">
        <v>74</v>
      </c>
      <c r="G1564" t="s">
        <v>823</v>
      </c>
      <c r="H1564" t="s">
        <v>36</v>
      </c>
      <c r="I1564" t="str">
        <f t="shared" si="49"/>
        <v/>
      </c>
    </row>
    <row r="1565" spans="1:9">
      <c r="A1565">
        <v>1536</v>
      </c>
      <c r="B1565" t="str">
        <f t="shared" si="48"/>
        <v>carlton p biggs</v>
      </c>
      <c r="C1565" t="s">
        <v>2815</v>
      </c>
      <c r="D1565" t="s">
        <v>712</v>
      </c>
      <c r="E1565" t="s">
        <v>252</v>
      </c>
      <c r="F1565" t="s">
        <v>137</v>
      </c>
      <c r="G1565" t="s">
        <v>4</v>
      </c>
      <c r="H1565" t="s">
        <v>36</v>
      </c>
      <c r="I1565" t="str">
        <f t="shared" si="49"/>
        <v/>
      </c>
    </row>
    <row r="1566" spans="1:9">
      <c r="A1566">
        <v>1537</v>
      </c>
      <c r="B1566" t="str">
        <f t="shared" si="48"/>
        <v>patricia ann bigelow</v>
      </c>
      <c r="C1566" t="s">
        <v>2816</v>
      </c>
      <c r="D1566" t="s">
        <v>419</v>
      </c>
      <c r="E1566" t="s">
        <v>3</v>
      </c>
      <c r="F1566" t="s">
        <v>19</v>
      </c>
      <c r="G1566" t="s">
        <v>20</v>
      </c>
      <c r="H1566" t="s">
        <v>21</v>
      </c>
      <c r="I1566" t="str">
        <f t="shared" si="49"/>
        <v/>
      </c>
    </row>
    <row r="1567" spans="1:9">
      <c r="A1567">
        <v>1538</v>
      </c>
      <c r="B1567" t="str">
        <f t="shared" si="48"/>
        <v>molly anne bigelow</v>
      </c>
      <c r="C1567" t="s">
        <v>2816</v>
      </c>
      <c r="D1567" t="s">
        <v>2817</v>
      </c>
      <c r="E1567" t="s">
        <v>1452</v>
      </c>
      <c r="F1567" t="s">
        <v>2189</v>
      </c>
      <c r="G1567" t="s">
        <v>4</v>
      </c>
      <c r="H1567" t="s">
        <v>103</v>
      </c>
      <c r="I1567" t="str">
        <f t="shared" si="49"/>
        <v/>
      </c>
    </row>
    <row r="1568" spans="1:9">
      <c r="A1568">
        <v>1539</v>
      </c>
      <c r="B1568" t="str">
        <f t="shared" si="48"/>
        <v>s. biderman joseph</v>
      </c>
      <c r="C1568" t="s">
        <v>80</v>
      </c>
      <c r="D1568" t="s">
        <v>174</v>
      </c>
      <c r="E1568" t="s">
        <v>2818</v>
      </c>
      <c r="F1568" t="s">
        <v>25</v>
      </c>
      <c r="G1568" t="s">
        <v>2819</v>
      </c>
      <c r="H1568" t="s">
        <v>10</v>
      </c>
      <c r="I1568" t="str">
        <f t="shared" si="49"/>
        <v/>
      </c>
    </row>
    <row r="1569" spans="1:9">
      <c r="A1569">
        <v>1539</v>
      </c>
      <c r="B1569" t="str">
        <f t="shared" si="48"/>
        <v>joseph shiro biderman</v>
      </c>
      <c r="C1569" t="s">
        <v>2818</v>
      </c>
      <c r="D1569" t="s">
        <v>80</v>
      </c>
      <c r="E1569" t="s">
        <v>2820</v>
      </c>
      <c r="F1569" t="s">
        <v>25</v>
      </c>
      <c r="G1569" t="s">
        <v>2819</v>
      </c>
      <c r="H1569" t="s">
        <v>10</v>
      </c>
      <c r="I1569" t="str">
        <f t="shared" si="49"/>
        <v/>
      </c>
    </row>
    <row r="1570" spans="1:9">
      <c r="A1570">
        <v>1540</v>
      </c>
      <c r="B1570" t="str">
        <f t="shared" si="48"/>
        <v>james n. bianco</v>
      </c>
      <c r="C1570" t="s">
        <v>2821</v>
      </c>
      <c r="D1570" t="s">
        <v>90</v>
      </c>
      <c r="E1570" t="s">
        <v>1471</v>
      </c>
      <c r="F1570" t="s">
        <v>25</v>
      </c>
      <c r="G1570" t="s">
        <v>4</v>
      </c>
      <c r="H1570" t="s">
        <v>10</v>
      </c>
      <c r="I1570" t="str">
        <f t="shared" si="49"/>
        <v/>
      </c>
    </row>
    <row r="1571" spans="1:9">
      <c r="A1571">
        <v>1541</v>
      </c>
      <c r="B1571" t="str">
        <f t="shared" si="48"/>
        <v>shawn delayne bessey</v>
      </c>
      <c r="C1571" t="s">
        <v>2822</v>
      </c>
      <c r="D1571" t="s">
        <v>1251</v>
      </c>
      <c r="E1571" t="s">
        <v>2823</v>
      </c>
      <c r="F1571" t="s">
        <v>32</v>
      </c>
      <c r="G1571" t="s">
        <v>667</v>
      </c>
      <c r="H1571" t="s">
        <v>10</v>
      </c>
      <c r="I1571" t="str">
        <f t="shared" si="49"/>
        <v/>
      </c>
    </row>
    <row r="1572" spans="1:9">
      <c r="A1572">
        <v>1542</v>
      </c>
      <c r="B1572" t="str">
        <f t="shared" si="48"/>
        <v>james g bertoli</v>
      </c>
      <c r="C1572" t="s">
        <v>2824</v>
      </c>
      <c r="D1572" t="s">
        <v>90</v>
      </c>
      <c r="E1572" t="s">
        <v>1074</v>
      </c>
      <c r="F1572" t="s">
        <v>32</v>
      </c>
      <c r="G1572" t="s">
        <v>2037</v>
      </c>
      <c r="H1572" t="s">
        <v>36</v>
      </c>
      <c r="I1572" t="str">
        <f t="shared" si="49"/>
        <v/>
      </c>
    </row>
    <row r="1573" spans="1:9">
      <c r="A1573">
        <v>1543</v>
      </c>
      <c r="B1573" t="str">
        <f t="shared" si="48"/>
        <v>stephen wolfgang berrier</v>
      </c>
      <c r="C1573" t="s">
        <v>2825</v>
      </c>
      <c r="D1573" t="s">
        <v>183</v>
      </c>
      <c r="E1573" t="s">
        <v>2826</v>
      </c>
      <c r="F1573" t="s">
        <v>2827</v>
      </c>
      <c r="G1573" t="s">
        <v>4</v>
      </c>
      <c r="H1573" t="s">
        <v>103</v>
      </c>
      <c r="I1573" t="str">
        <f t="shared" si="49"/>
        <v/>
      </c>
    </row>
    <row r="1574" spans="1:9">
      <c r="A1574">
        <v>1544</v>
      </c>
      <c r="B1574" t="str">
        <f t="shared" si="48"/>
        <v>susan r bernardini</v>
      </c>
      <c r="C1574" t="s">
        <v>2828</v>
      </c>
      <c r="D1574" t="s">
        <v>676</v>
      </c>
      <c r="E1574" t="s">
        <v>53</v>
      </c>
      <c r="F1574" t="s">
        <v>2710</v>
      </c>
      <c r="G1574" t="s">
        <v>4</v>
      </c>
      <c r="H1574" t="s">
        <v>4</v>
      </c>
      <c r="I1574" t="str">
        <f t="shared" si="49"/>
        <v/>
      </c>
    </row>
    <row r="1575" spans="1:9">
      <c r="A1575">
        <v>1545</v>
      </c>
      <c r="B1575" t="str">
        <f t="shared" si="48"/>
        <v>paul r bernal</v>
      </c>
      <c r="C1575" t="s">
        <v>2829</v>
      </c>
      <c r="D1575" t="s">
        <v>280</v>
      </c>
      <c r="E1575" t="s">
        <v>53</v>
      </c>
      <c r="F1575" t="s">
        <v>1182</v>
      </c>
      <c r="G1575" t="s">
        <v>4</v>
      </c>
      <c r="H1575" t="s">
        <v>10</v>
      </c>
      <c r="I1575" t="str">
        <f t="shared" si="49"/>
        <v/>
      </c>
    </row>
    <row r="1576" spans="1:9">
      <c r="A1576">
        <v>1546</v>
      </c>
      <c r="B1576" t="str">
        <f t="shared" si="48"/>
        <v>margaret miller bernal</v>
      </c>
      <c r="C1576" t="s">
        <v>2829</v>
      </c>
      <c r="D1576" t="s">
        <v>1016</v>
      </c>
      <c r="E1576" t="s">
        <v>1331</v>
      </c>
      <c r="F1576" t="s">
        <v>1182</v>
      </c>
      <c r="G1576" t="s">
        <v>135</v>
      </c>
      <c r="H1576" t="s">
        <v>10</v>
      </c>
      <c r="I1576" t="str">
        <f t="shared" si="49"/>
        <v/>
      </c>
    </row>
    <row r="1577" spans="1:9">
      <c r="A1577">
        <v>1547</v>
      </c>
      <c r="B1577" t="str">
        <f t="shared" si="48"/>
        <v>angel manuel bermudez</v>
      </c>
      <c r="C1577" t="s">
        <v>2830</v>
      </c>
      <c r="D1577" t="s">
        <v>2831</v>
      </c>
      <c r="E1577" t="s">
        <v>984</v>
      </c>
      <c r="F1577" t="s">
        <v>921</v>
      </c>
      <c r="G1577" t="s">
        <v>118</v>
      </c>
      <c r="H1577" t="s">
        <v>10</v>
      </c>
      <c r="I1577" t="str">
        <f t="shared" si="49"/>
        <v/>
      </c>
    </row>
    <row r="1578" spans="1:9">
      <c r="A1578">
        <v>1548</v>
      </c>
      <c r="B1578" t="str">
        <f t="shared" si="48"/>
        <v>elihu m berle</v>
      </c>
      <c r="C1578" t="s">
        <v>2832</v>
      </c>
      <c r="D1578" t="s">
        <v>2833</v>
      </c>
      <c r="E1578" t="s">
        <v>410</v>
      </c>
      <c r="F1578" t="s">
        <v>49</v>
      </c>
      <c r="G1578" t="s">
        <v>40</v>
      </c>
      <c r="H1578" t="s">
        <v>10</v>
      </c>
      <c r="I1578" t="str">
        <f t="shared" si="49"/>
        <v/>
      </c>
    </row>
    <row r="1579" spans="1:9">
      <c r="A1579">
        <v>1549</v>
      </c>
      <c r="B1579" t="str">
        <f t="shared" si="48"/>
        <v>joseph eugene bergeron</v>
      </c>
      <c r="C1579" t="s">
        <v>2834</v>
      </c>
      <c r="D1579" t="s">
        <v>80</v>
      </c>
      <c r="E1579" t="s">
        <v>407</v>
      </c>
      <c r="F1579" t="s">
        <v>4165</v>
      </c>
      <c r="G1579" t="s">
        <v>4</v>
      </c>
      <c r="H1579" t="s">
        <v>10</v>
      </c>
      <c r="I1579" t="str">
        <f t="shared" si="49"/>
        <v/>
      </c>
    </row>
    <row r="1580" spans="1:9">
      <c r="A1580">
        <v>1550</v>
      </c>
      <c r="B1580" t="str">
        <f t="shared" si="48"/>
        <v>gail brewster bereola</v>
      </c>
      <c r="C1580" t="s">
        <v>2835</v>
      </c>
      <c r="D1580" t="s">
        <v>710</v>
      </c>
      <c r="E1580" t="s">
        <v>2836</v>
      </c>
      <c r="F1580" t="s">
        <v>4166</v>
      </c>
      <c r="G1580" t="s">
        <v>4</v>
      </c>
      <c r="H1580" t="s">
        <v>4</v>
      </c>
      <c r="I1580" t="str">
        <f t="shared" si="49"/>
        <v/>
      </c>
    </row>
    <row r="1581" spans="1:9">
      <c r="A1581">
        <v>1551</v>
      </c>
      <c r="B1581" t="str">
        <f t="shared" si="48"/>
        <v>stephen e. benson</v>
      </c>
      <c r="C1581" t="s">
        <v>2837</v>
      </c>
      <c r="D1581" t="s">
        <v>183</v>
      </c>
      <c r="E1581" t="s">
        <v>127</v>
      </c>
      <c r="F1581" t="s">
        <v>1964</v>
      </c>
      <c r="G1581" t="s">
        <v>2838</v>
      </c>
      <c r="H1581" t="s">
        <v>4</v>
      </c>
      <c r="I1581" t="str">
        <f t="shared" si="49"/>
        <v/>
      </c>
    </row>
    <row r="1582" spans="1:9">
      <c r="A1582">
        <v>1552</v>
      </c>
      <c r="B1582" t="str">
        <f t="shared" si="48"/>
        <v>jerome t. benson</v>
      </c>
      <c r="C1582" t="s">
        <v>2837</v>
      </c>
      <c r="D1582" t="s">
        <v>1242</v>
      </c>
      <c r="E1582" t="s">
        <v>636</v>
      </c>
      <c r="F1582" t="s">
        <v>1333</v>
      </c>
      <c r="G1582" t="s">
        <v>4</v>
      </c>
      <c r="H1582" t="s">
        <v>10</v>
      </c>
      <c r="I1582" t="str">
        <f t="shared" si="49"/>
        <v/>
      </c>
    </row>
    <row r="1583" spans="1:9">
      <c r="A1583">
        <v>1553</v>
      </c>
      <c r="B1583" t="str">
        <f t="shared" si="48"/>
        <v>teresa s. bennett</v>
      </c>
      <c r="C1583" t="s">
        <v>2839</v>
      </c>
      <c r="D1583" t="s">
        <v>799</v>
      </c>
      <c r="E1583" t="s">
        <v>174</v>
      </c>
      <c r="F1583" t="s">
        <v>49</v>
      </c>
      <c r="G1583" t="s">
        <v>151</v>
      </c>
      <c r="H1583" t="s">
        <v>10</v>
      </c>
      <c r="I1583" t="str">
        <f t="shared" si="49"/>
        <v/>
      </c>
    </row>
    <row r="1584" spans="1:9">
      <c r="A1584">
        <v>1554</v>
      </c>
      <c r="B1584" t="str">
        <f t="shared" si="48"/>
        <v>jeffrey gene bennett</v>
      </c>
      <c r="C1584" t="s">
        <v>2839</v>
      </c>
      <c r="D1584" t="s">
        <v>446</v>
      </c>
      <c r="E1584" t="s">
        <v>1055</v>
      </c>
      <c r="F1584" t="s">
        <v>32</v>
      </c>
      <c r="G1584" t="s">
        <v>81</v>
      </c>
      <c r="H1584" t="s">
        <v>10</v>
      </c>
      <c r="I1584" t="str">
        <f t="shared" si="49"/>
        <v/>
      </c>
    </row>
    <row r="1585" spans="1:9">
      <c r="A1585">
        <v>1555</v>
      </c>
      <c r="B1585" t="str">
        <f t="shared" si="48"/>
        <v>patricia darlene benke</v>
      </c>
      <c r="C1585" t="s">
        <v>2840</v>
      </c>
      <c r="D1585" t="s">
        <v>419</v>
      </c>
      <c r="E1585" t="s">
        <v>2841</v>
      </c>
      <c r="F1585" t="s">
        <v>19</v>
      </c>
      <c r="G1585" t="s">
        <v>1232</v>
      </c>
      <c r="H1585" t="s">
        <v>212</v>
      </c>
      <c r="I1585" t="str">
        <f t="shared" si="49"/>
        <v/>
      </c>
    </row>
    <row r="1586" spans="1:9">
      <c r="A1586">
        <v>1556</v>
      </c>
      <c r="B1586" t="str">
        <f t="shared" si="48"/>
        <v>helen irene bendix</v>
      </c>
      <c r="C1586" t="s">
        <v>2842</v>
      </c>
      <c r="D1586" t="s">
        <v>2357</v>
      </c>
      <c r="E1586" t="s">
        <v>2843</v>
      </c>
      <c r="F1586" t="s">
        <v>1749</v>
      </c>
      <c r="G1586" t="s">
        <v>4</v>
      </c>
      <c r="H1586" t="s">
        <v>4</v>
      </c>
      <c r="I1586" t="str">
        <f t="shared" si="49"/>
        <v/>
      </c>
    </row>
    <row r="1587" spans="1:9">
      <c r="A1587">
        <v>1557</v>
      </c>
      <c r="B1587" t="str">
        <f t="shared" si="48"/>
        <v>thomas l bender</v>
      </c>
      <c r="C1587" t="s">
        <v>2844</v>
      </c>
      <c r="D1587" t="s">
        <v>27</v>
      </c>
      <c r="E1587" t="s">
        <v>77</v>
      </c>
      <c r="F1587" t="s">
        <v>32</v>
      </c>
      <c r="G1587" t="s">
        <v>2845</v>
      </c>
      <c r="H1587" t="s">
        <v>10</v>
      </c>
      <c r="I1587" t="str">
        <f t="shared" si="49"/>
        <v/>
      </c>
    </row>
    <row r="1588" spans="1:9">
      <c r="A1588">
        <v>1558</v>
      </c>
      <c r="B1588" t="str">
        <f t="shared" si="48"/>
        <v>jose r benavides</v>
      </c>
      <c r="C1588" t="s">
        <v>2846</v>
      </c>
      <c r="D1588" t="s">
        <v>784</v>
      </c>
      <c r="E1588" t="s">
        <v>53</v>
      </c>
      <c r="F1588" t="s">
        <v>32</v>
      </c>
      <c r="G1588" t="s">
        <v>95</v>
      </c>
      <c r="H1588" t="s">
        <v>10</v>
      </c>
      <c r="I1588" t="str">
        <f t="shared" si="49"/>
        <v/>
      </c>
    </row>
    <row r="1589" spans="1:9">
      <c r="A1589">
        <v>1559</v>
      </c>
      <c r="B1589" t="str">
        <f t="shared" si="48"/>
        <v>david lawrence deputy belz</v>
      </c>
      <c r="C1589" t="s">
        <v>2847</v>
      </c>
      <c r="D1589" t="s">
        <v>28</v>
      </c>
      <c r="E1589" t="s">
        <v>2848</v>
      </c>
      <c r="F1589" t="s">
        <v>137</v>
      </c>
      <c r="G1589" t="s">
        <v>2849</v>
      </c>
      <c r="H1589" t="s">
        <v>10</v>
      </c>
      <c r="I1589" t="str">
        <f t="shared" si="49"/>
        <v/>
      </c>
    </row>
    <row r="1590" spans="1:9">
      <c r="A1590">
        <v>1560</v>
      </c>
      <c r="B1590" t="str">
        <f t="shared" si="48"/>
        <v>john a behnke</v>
      </c>
      <c r="C1590" t="s">
        <v>2850</v>
      </c>
      <c r="D1590" t="s">
        <v>7</v>
      </c>
      <c r="E1590" t="s">
        <v>39</v>
      </c>
      <c r="F1590" t="s">
        <v>2851</v>
      </c>
      <c r="G1590" t="s">
        <v>4</v>
      </c>
      <c r="H1590" t="s">
        <v>10</v>
      </c>
      <c r="I1590" t="str">
        <f t="shared" si="49"/>
        <v/>
      </c>
    </row>
    <row r="1591" spans="1:9">
      <c r="A1591">
        <v>1561</v>
      </c>
      <c r="B1591" t="str">
        <f t="shared" si="48"/>
        <v>michael isaku begert</v>
      </c>
      <c r="C1591" t="s">
        <v>2852</v>
      </c>
      <c r="D1591" t="s">
        <v>219</v>
      </c>
      <c r="E1591" t="s">
        <v>2853</v>
      </c>
      <c r="F1591" t="s">
        <v>88</v>
      </c>
      <c r="G1591" t="s">
        <v>4</v>
      </c>
      <c r="H1591" t="s">
        <v>10</v>
      </c>
      <c r="I1591" t="str">
        <f t="shared" si="49"/>
        <v/>
      </c>
    </row>
    <row r="1592" spans="1:9">
      <c r="A1592">
        <v>1562</v>
      </c>
      <c r="B1592" t="str">
        <f t="shared" si="48"/>
        <v>loretta murphy begen</v>
      </c>
      <c r="C1592" t="s">
        <v>2854</v>
      </c>
      <c r="D1592" t="s">
        <v>2150</v>
      </c>
      <c r="E1592" t="s">
        <v>1244</v>
      </c>
      <c r="F1592" t="s">
        <v>29</v>
      </c>
      <c r="G1592" t="s">
        <v>4</v>
      </c>
      <c r="H1592" t="s">
        <v>36</v>
      </c>
      <c r="I1592" t="str">
        <f t="shared" si="49"/>
        <v/>
      </c>
    </row>
    <row r="1593" spans="1:9">
      <c r="A1593">
        <v>1563</v>
      </c>
      <c r="B1593" t="str">
        <f t="shared" si="48"/>
        <v>paul lloyd beeman</v>
      </c>
      <c r="C1593" t="s">
        <v>2855</v>
      </c>
      <c r="D1593" t="s">
        <v>280</v>
      </c>
      <c r="E1593" t="s">
        <v>1230</v>
      </c>
      <c r="F1593" t="s">
        <v>567</v>
      </c>
      <c r="G1593" t="s">
        <v>4167</v>
      </c>
      <c r="H1593" t="s">
        <v>10</v>
      </c>
      <c r="I1593" t="str">
        <f t="shared" si="49"/>
        <v/>
      </c>
    </row>
    <row r="1594" spans="1:9">
      <c r="A1594">
        <v>1564</v>
      </c>
      <c r="B1594" t="str">
        <f t="shared" si="48"/>
        <v>jed quinn beebe</v>
      </c>
      <c r="C1594" t="s">
        <v>2856</v>
      </c>
      <c r="D1594" t="s">
        <v>2857</v>
      </c>
      <c r="E1594" t="s">
        <v>988</v>
      </c>
      <c r="F1594" t="s">
        <v>2858</v>
      </c>
      <c r="G1594" t="s">
        <v>580</v>
      </c>
      <c r="H1594" t="s">
        <v>10</v>
      </c>
      <c r="I1594" t="str">
        <f t="shared" si="49"/>
        <v/>
      </c>
    </row>
    <row r="1595" spans="1:9">
      <c r="A1595">
        <v>1565</v>
      </c>
      <c r="B1595" t="str">
        <f t="shared" si="48"/>
        <v>william w bedsworth</v>
      </c>
      <c r="C1595" t="s">
        <v>2859</v>
      </c>
      <c r="D1595" t="s">
        <v>155</v>
      </c>
      <c r="E1595" t="s">
        <v>583</v>
      </c>
      <c r="F1595" t="s">
        <v>2860</v>
      </c>
      <c r="G1595" t="s">
        <v>4</v>
      </c>
      <c r="H1595" t="s">
        <v>212</v>
      </c>
      <c r="I1595" t="str">
        <f t="shared" si="49"/>
        <v/>
      </c>
    </row>
    <row r="1596" spans="1:9">
      <c r="A1596">
        <v>1566</v>
      </c>
      <c r="B1596" t="str">
        <f t="shared" si="48"/>
        <v>diana lopez becton</v>
      </c>
      <c r="C1596" t="s">
        <v>2861</v>
      </c>
      <c r="D1596" t="s">
        <v>2862</v>
      </c>
      <c r="E1596" t="s">
        <v>1568</v>
      </c>
      <c r="F1596" t="s">
        <v>4168</v>
      </c>
      <c r="G1596" t="s">
        <v>4</v>
      </c>
      <c r="H1596" t="s">
        <v>4</v>
      </c>
      <c r="I1596" t="str">
        <f t="shared" si="49"/>
        <v/>
      </c>
    </row>
    <row r="1597" spans="1:9">
      <c r="A1597">
        <v>1567</v>
      </c>
      <c r="B1597" t="str">
        <f t="shared" si="48"/>
        <v xml:space="preserve">  beckloffmitchell lee</v>
      </c>
      <c r="C1597" t="s">
        <v>2863</v>
      </c>
      <c r="D1597" t="s">
        <v>4</v>
      </c>
      <c r="E1597" t="s">
        <v>4</v>
      </c>
      <c r="F1597" t="s">
        <v>25</v>
      </c>
      <c r="G1597" t="s">
        <v>4</v>
      </c>
      <c r="H1597" t="s">
        <v>10</v>
      </c>
      <c r="I1597" t="str">
        <f t="shared" si="49"/>
        <v/>
      </c>
    </row>
    <row r="1598" spans="1:9">
      <c r="A1598">
        <v>1568</v>
      </c>
      <c r="B1598" t="str">
        <f t="shared" si="48"/>
        <v>teresa alma beaudet</v>
      </c>
      <c r="C1598" t="s">
        <v>2864</v>
      </c>
      <c r="D1598" t="s">
        <v>799</v>
      </c>
      <c r="E1598" t="s">
        <v>2865</v>
      </c>
      <c r="F1598" t="s">
        <v>25</v>
      </c>
      <c r="G1598" t="s">
        <v>2866</v>
      </c>
      <c r="H1598" t="s">
        <v>10</v>
      </c>
      <c r="I1598" t="str">
        <f t="shared" si="49"/>
        <v/>
      </c>
    </row>
    <row r="1599" spans="1:9">
      <c r="A1599">
        <v>1569</v>
      </c>
      <c r="B1599" t="str">
        <f t="shared" si="48"/>
        <v>roger maurice beauchesne</v>
      </c>
      <c r="C1599" t="s">
        <v>2867</v>
      </c>
      <c r="D1599" t="s">
        <v>853</v>
      </c>
      <c r="E1599" t="s">
        <v>2868</v>
      </c>
      <c r="F1599" t="s">
        <v>4169</v>
      </c>
      <c r="G1599" t="s">
        <v>102</v>
      </c>
      <c r="H1599" t="s">
        <v>4</v>
      </c>
      <c r="I1599" t="str">
        <f t="shared" si="49"/>
        <v/>
      </c>
    </row>
    <row r="1600" spans="1:9">
      <c r="A1600">
        <v>1570</v>
      </c>
      <c r="B1600" t="str">
        <f t="shared" si="48"/>
        <v>cara lee beatty</v>
      </c>
      <c r="C1600" t="s">
        <v>2869</v>
      </c>
      <c r="D1600" t="s">
        <v>1879</v>
      </c>
      <c r="E1600" t="s">
        <v>113</v>
      </c>
      <c r="F1600" t="s">
        <v>2245</v>
      </c>
      <c r="G1600" t="s">
        <v>2870</v>
      </c>
      <c r="H1600" t="s">
        <v>10</v>
      </c>
      <c r="I1600" t="str">
        <f t="shared" si="49"/>
        <v/>
      </c>
    </row>
    <row r="1601" spans="1:9">
      <c r="A1601">
        <v>1571</v>
      </c>
      <c r="B1601" t="str">
        <f t="shared" si="48"/>
        <v>candace joan beason</v>
      </c>
      <c r="C1601" t="s">
        <v>2871</v>
      </c>
      <c r="D1601" t="s">
        <v>1994</v>
      </c>
      <c r="E1601" t="s">
        <v>242</v>
      </c>
      <c r="F1601" t="s">
        <v>25</v>
      </c>
      <c r="G1601" t="s">
        <v>4</v>
      </c>
      <c r="H1601" t="s">
        <v>10</v>
      </c>
      <c r="I1601" t="str">
        <f t="shared" si="49"/>
        <v/>
      </c>
    </row>
    <row r="1602" spans="1:9">
      <c r="A1602">
        <v>1572</v>
      </c>
      <c r="B1602" t="str">
        <f t="shared" si="48"/>
        <v>sandra kay bean</v>
      </c>
      <c r="C1602" t="s">
        <v>2872</v>
      </c>
      <c r="D1602" t="s">
        <v>1377</v>
      </c>
      <c r="E1602" t="s">
        <v>384</v>
      </c>
      <c r="F1602" t="s">
        <v>4053</v>
      </c>
      <c r="G1602" t="s">
        <v>4</v>
      </c>
      <c r="H1602" t="s">
        <v>4</v>
      </c>
      <c r="I1602" t="str">
        <f t="shared" si="49"/>
        <v/>
      </c>
    </row>
    <row r="1603" spans="1:9">
      <c r="A1603">
        <v>1573</v>
      </c>
      <c r="B1603" t="str">
        <f t="shared" ref="B1603:B1666" si="50">TRIM($D1603) &amp; " " &amp; TRIM($E1603) &amp; " " &amp; TRIM($C1603)</f>
        <v>marvin r. baxter</v>
      </c>
      <c r="C1603" t="s">
        <v>2873</v>
      </c>
      <c r="D1603" t="s">
        <v>1649</v>
      </c>
      <c r="E1603" t="s">
        <v>265</v>
      </c>
      <c r="F1603" t="s">
        <v>2519</v>
      </c>
      <c r="G1603" t="s">
        <v>4</v>
      </c>
      <c r="H1603" t="s">
        <v>4</v>
      </c>
      <c r="I1603" t="str">
        <f t="shared" ref="I1603:I1666" si="51">IF(NOT(ISERROR(FIND("judge",F1603))),"judge","")</f>
        <v/>
      </c>
    </row>
    <row r="1604" spans="1:9">
      <c r="A1604">
        <v>1574</v>
      </c>
      <c r="B1604" t="str">
        <f t="shared" si="50"/>
        <v>ronald lawrence bauer</v>
      </c>
      <c r="C1604" t="s">
        <v>2874</v>
      </c>
      <c r="D1604" t="s">
        <v>413</v>
      </c>
      <c r="E1604" t="s">
        <v>1316</v>
      </c>
      <c r="F1604" t="s">
        <v>4170</v>
      </c>
      <c r="G1604" t="s">
        <v>4</v>
      </c>
      <c r="H1604" t="s">
        <v>4</v>
      </c>
      <c r="I1604" t="str">
        <f t="shared" si="51"/>
        <v/>
      </c>
    </row>
    <row r="1605" spans="1:9">
      <c r="A1605">
        <v>1575</v>
      </c>
      <c r="B1605" t="str">
        <f t="shared" si="50"/>
        <v>barry  baskin</v>
      </c>
      <c r="C1605" t="s">
        <v>2875</v>
      </c>
      <c r="D1605" t="s">
        <v>2876</v>
      </c>
      <c r="E1605" t="s">
        <v>4</v>
      </c>
      <c r="F1605" t="s">
        <v>4171</v>
      </c>
      <c r="G1605" t="s">
        <v>2877</v>
      </c>
      <c r="H1605" t="s">
        <v>10</v>
      </c>
      <c r="I1605" t="str">
        <f t="shared" si="51"/>
        <v/>
      </c>
    </row>
    <row r="1606" spans="1:9">
      <c r="A1606">
        <v>1576</v>
      </c>
      <c r="B1606" t="str">
        <f t="shared" si="50"/>
        <v>cynthia  bashant</v>
      </c>
      <c r="C1606" t="s">
        <v>2878</v>
      </c>
      <c r="D1606" t="s">
        <v>365</v>
      </c>
      <c r="E1606" t="s">
        <v>4</v>
      </c>
      <c r="F1606" t="s">
        <v>101</v>
      </c>
      <c r="G1606" t="s">
        <v>102</v>
      </c>
      <c r="H1606" t="s">
        <v>103</v>
      </c>
      <c r="I1606" t="str">
        <f t="shared" si="51"/>
        <v/>
      </c>
    </row>
    <row r="1607" spans="1:9">
      <c r="A1607">
        <v>1577</v>
      </c>
      <c r="B1607" t="str">
        <f t="shared" si="50"/>
        <v>steven m basha</v>
      </c>
      <c r="C1607" t="s">
        <v>2879</v>
      </c>
      <c r="D1607" t="s">
        <v>339</v>
      </c>
      <c r="E1607" t="s">
        <v>410</v>
      </c>
      <c r="F1607" t="s">
        <v>860</v>
      </c>
      <c r="G1607" t="s">
        <v>4</v>
      </c>
      <c r="H1607" t="s">
        <v>10</v>
      </c>
      <c r="I1607" t="str">
        <f t="shared" si="51"/>
        <v/>
      </c>
    </row>
    <row r="1608" spans="1:9">
      <c r="A1608">
        <v>1578</v>
      </c>
      <c r="B1608" t="str">
        <f t="shared" si="50"/>
        <v>jeffrey b barton</v>
      </c>
      <c r="C1608" t="s">
        <v>2880</v>
      </c>
      <c r="D1608" t="s">
        <v>446</v>
      </c>
      <c r="E1608" t="s">
        <v>358</v>
      </c>
      <c r="F1608" t="s">
        <v>101</v>
      </c>
      <c r="G1608" t="s">
        <v>102</v>
      </c>
      <c r="H1608" t="s">
        <v>103</v>
      </c>
      <c r="I1608" t="str">
        <f t="shared" si="51"/>
        <v/>
      </c>
    </row>
    <row r="1609" spans="1:9">
      <c r="A1609">
        <v>1579</v>
      </c>
      <c r="B1609" t="str">
        <f t="shared" si="50"/>
        <v>william  barry</v>
      </c>
      <c r="C1609" t="s">
        <v>2876</v>
      </c>
      <c r="D1609" t="s">
        <v>155</v>
      </c>
      <c r="E1609" t="s">
        <v>4</v>
      </c>
      <c r="F1609" t="s">
        <v>2881</v>
      </c>
      <c r="G1609" t="s">
        <v>4</v>
      </c>
      <c r="H1609" t="s">
        <v>10</v>
      </c>
      <c r="I1609" t="str">
        <f t="shared" si="51"/>
        <v/>
      </c>
    </row>
    <row r="1610" spans="1:9">
      <c r="A1610">
        <v>1580</v>
      </c>
      <c r="B1610" t="str">
        <f t="shared" si="50"/>
        <v>thang nguyen barrett</v>
      </c>
      <c r="C1610" t="s">
        <v>2882</v>
      </c>
      <c r="D1610" t="s">
        <v>2883</v>
      </c>
      <c r="E1610" t="s">
        <v>1211</v>
      </c>
      <c r="F1610" t="s">
        <v>32</v>
      </c>
      <c r="G1610" t="s">
        <v>1034</v>
      </c>
      <c r="H1610" t="s">
        <v>10</v>
      </c>
      <c r="I1610" t="str">
        <f t="shared" si="51"/>
        <v/>
      </c>
    </row>
    <row r="1611" spans="1:9">
      <c r="A1611">
        <v>1581</v>
      </c>
      <c r="B1611" t="str">
        <f t="shared" si="50"/>
        <v>antonio  barreto jr.</v>
      </c>
      <c r="C1611" t="s">
        <v>2884</v>
      </c>
      <c r="D1611" t="s">
        <v>2885</v>
      </c>
      <c r="E1611" t="s">
        <v>4</v>
      </c>
      <c r="F1611" t="s">
        <v>647</v>
      </c>
      <c r="G1611" t="s">
        <v>2886</v>
      </c>
      <c r="H1611" t="s">
        <v>10</v>
      </c>
      <c r="I1611" t="str">
        <f t="shared" si="51"/>
        <v/>
      </c>
    </row>
    <row r="1612" spans="1:9">
      <c r="A1612">
        <v>1582</v>
      </c>
      <c r="B1612" t="str">
        <f t="shared" si="50"/>
        <v>kenneth r barr</v>
      </c>
      <c r="C1612" t="s">
        <v>2887</v>
      </c>
      <c r="D1612" t="s">
        <v>60</v>
      </c>
      <c r="E1612" t="s">
        <v>53</v>
      </c>
      <c r="F1612" t="s">
        <v>32</v>
      </c>
      <c r="G1612" t="s">
        <v>1022</v>
      </c>
      <c r="H1612" t="s">
        <v>10</v>
      </c>
      <c r="I1612" t="str">
        <f t="shared" si="51"/>
        <v/>
      </c>
    </row>
    <row r="1613" spans="1:9">
      <c r="A1613">
        <v>1583</v>
      </c>
      <c r="B1613" t="str">
        <f t="shared" si="50"/>
        <v>kenneth paul barnum</v>
      </c>
      <c r="C1613" t="s">
        <v>2888</v>
      </c>
      <c r="D1613" t="s">
        <v>60</v>
      </c>
      <c r="E1613" t="s">
        <v>280</v>
      </c>
      <c r="F1613" t="s">
        <v>106</v>
      </c>
      <c r="G1613" t="s">
        <v>4</v>
      </c>
      <c r="H1613" t="s">
        <v>10</v>
      </c>
      <c r="I1613" t="str">
        <f t="shared" si="51"/>
        <v/>
      </c>
    </row>
    <row r="1614" spans="1:9">
      <c r="A1614">
        <v>1584</v>
      </c>
      <c r="B1614" t="str">
        <f t="shared" si="50"/>
        <v>steven d barnes</v>
      </c>
      <c r="C1614" t="s">
        <v>2889</v>
      </c>
      <c r="D1614" t="s">
        <v>339</v>
      </c>
      <c r="E1614" t="s">
        <v>570</v>
      </c>
      <c r="F1614" t="s">
        <v>2671</v>
      </c>
      <c r="G1614" t="s">
        <v>2890</v>
      </c>
      <c r="H1614" t="s">
        <v>10</v>
      </c>
      <c r="I1614" t="str">
        <f t="shared" si="51"/>
        <v/>
      </c>
    </row>
    <row r="1615" spans="1:9">
      <c r="A1615">
        <v>1585</v>
      </c>
      <c r="B1615" t="str">
        <f t="shared" si="50"/>
        <v>henry thomas  barela</v>
      </c>
      <c r="C1615" t="s">
        <v>2891</v>
      </c>
      <c r="D1615" t="s">
        <v>2892</v>
      </c>
      <c r="E1615" t="s">
        <v>4</v>
      </c>
      <c r="F1615" t="s">
        <v>46</v>
      </c>
      <c r="G1615" t="s">
        <v>2893</v>
      </c>
      <c r="H1615" t="s">
        <v>10</v>
      </c>
      <c r="I1615" t="str">
        <f t="shared" si="51"/>
        <v/>
      </c>
    </row>
    <row r="1616" spans="1:9">
      <c r="A1616">
        <v>1586</v>
      </c>
      <c r="B1616" t="str">
        <f t="shared" si="50"/>
        <v>francis w. barclay</v>
      </c>
      <c r="C1616" t="s">
        <v>2894</v>
      </c>
      <c r="D1616" t="s">
        <v>405</v>
      </c>
      <c r="E1616" t="s">
        <v>65</v>
      </c>
      <c r="F1616" t="s">
        <v>49</v>
      </c>
      <c r="G1616" t="s">
        <v>2895</v>
      </c>
      <c r="H1616" t="s">
        <v>36</v>
      </c>
      <c r="I1616" t="str">
        <f t="shared" si="51"/>
        <v/>
      </c>
    </row>
    <row r="1617" spans="1:9">
      <c r="A1617">
        <v>1587</v>
      </c>
      <c r="B1617" t="str">
        <f t="shared" si="50"/>
        <v>gordon s baranco</v>
      </c>
      <c r="C1617" t="s">
        <v>2896</v>
      </c>
      <c r="D1617" t="s">
        <v>1820</v>
      </c>
      <c r="E1617" t="s">
        <v>182</v>
      </c>
      <c r="F1617" t="s">
        <v>492</v>
      </c>
      <c r="G1617" t="s">
        <v>176</v>
      </c>
      <c r="H1617" t="s">
        <v>36</v>
      </c>
      <c r="I1617" t="str">
        <f t="shared" si="51"/>
        <v/>
      </c>
    </row>
    <row r="1618" spans="1:9">
      <c r="A1618">
        <v>1588</v>
      </c>
      <c r="B1618" t="str">
        <f t="shared" si="50"/>
        <v>andrew patrick banks</v>
      </c>
      <c r="C1618" t="s">
        <v>1537</v>
      </c>
      <c r="D1618" t="s">
        <v>170</v>
      </c>
      <c r="E1618" t="s">
        <v>6</v>
      </c>
      <c r="F1618" t="s">
        <v>1302</v>
      </c>
      <c r="G1618" t="s">
        <v>49</v>
      </c>
      <c r="H1618" t="s">
        <v>36</v>
      </c>
      <c r="I1618" t="str">
        <f t="shared" si="51"/>
        <v/>
      </c>
    </row>
    <row r="1619" spans="1:9">
      <c r="A1619">
        <v>1589</v>
      </c>
      <c r="B1619" t="str">
        <f t="shared" si="50"/>
        <v>kathleen m. banke</v>
      </c>
      <c r="C1619" t="s">
        <v>2897</v>
      </c>
      <c r="D1619" t="s">
        <v>188</v>
      </c>
      <c r="E1619" t="s">
        <v>189</v>
      </c>
      <c r="F1619" t="s">
        <v>2898</v>
      </c>
      <c r="G1619" t="s">
        <v>650</v>
      </c>
      <c r="H1619" t="s">
        <v>2899</v>
      </c>
      <c r="I1619" t="str">
        <f t="shared" si="51"/>
        <v/>
      </c>
    </row>
    <row r="1620" spans="1:9">
      <c r="A1620">
        <v>1590</v>
      </c>
      <c r="B1620" t="str">
        <f t="shared" si="50"/>
        <v>patricia  bamattre manoukian</v>
      </c>
      <c r="C1620" t="s">
        <v>2900</v>
      </c>
      <c r="D1620" t="s">
        <v>419</v>
      </c>
      <c r="E1620" t="s">
        <v>4</v>
      </c>
      <c r="F1620" t="s">
        <v>2901</v>
      </c>
      <c r="G1620" t="s">
        <v>4</v>
      </c>
      <c r="H1620" t="s">
        <v>4</v>
      </c>
      <c r="I1620" t="str">
        <f t="shared" si="51"/>
        <v/>
      </c>
    </row>
    <row r="1621" spans="1:9">
      <c r="A1621">
        <v>1591</v>
      </c>
      <c r="B1621" t="str">
        <f t="shared" si="50"/>
        <v>eugene l balonon</v>
      </c>
      <c r="C1621" t="s">
        <v>2902</v>
      </c>
      <c r="D1621" t="s">
        <v>407</v>
      </c>
      <c r="E1621" t="s">
        <v>77</v>
      </c>
      <c r="F1621" t="s">
        <v>1304</v>
      </c>
      <c r="G1621" t="s">
        <v>4</v>
      </c>
      <c r="H1621" t="s">
        <v>4</v>
      </c>
      <c r="I1621" t="str">
        <f t="shared" si="51"/>
        <v/>
      </c>
    </row>
    <row r="1622" spans="1:9">
      <c r="A1622">
        <v>1592</v>
      </c>
      <c r="B1622" t="str">
        <f t="shared" si="50"/>
        <v>raima h ballinger</v>
      </c>
      <c r="C1622" t="s">
        <v>2903</v>
      </c>
      <c r="D1622" t="s">
        <v>2904</v>
      </c>
      <c r="E1622" t="s">
        <v>250</v>
      </c>
      <c r="F1622" t="s">
        <v>32</v>
      </c>
      <c r="G1622" t="s">
        <v>2037</v>
      </c>
      <c r="H1622" t="s">
        <v>10</v>
      </c>
      <c r="I1622" t="str">
        <f t="shared" si="51"/>
        <v/>
      </c>
    </row>
    <row r="1623" spans="1:9">
      <c r="A1623">
        <v>1593</v>
      </c>
      <c r="B1623" t="str">
        <f t="shared" si="50"/>
        <v>lorenzo r balderrama</v>
      </c>
      <c r="C1623" t="s">
        <v>2905</v>
      </c>
      <c r="D1623" t="s">
        <v>2906</v>
      </c>
      <c r="E1623" t="s">
        <v>53</v>
      </c>
      <c r="F1623" t="s">
        <v>2907</v>
      </c>
      <c r="G1623" t="s">
        <v>1018</v>
      </c>
      <c r="H1623" t="s">
        <v>4</v>
      </c>
      <c r="I1623" t="str">
        <f t="shared" si="51"/>
        <v/>
      </c>
    </row>
    <row r="1624" spans="1:9">
      <c r="A1624">
        <v>1594</v>
      </c>
      <c r="B1624" t="str">
        <f t="shared" si="50"/>
        <v>stephen h baker</v>
      </c>
      <c r="C1624" t="s">
        <v>946</v>
      </c>
      <c r="D1624" t="s">
        <v>183</v>
      </c>
      <c r="E1624" t="s">
        <v>250</v>
      </c>
      <c r="F1624" t="s">
        <v>571</v>
      </c>
      <c r="G1624" t="s">
        <v>2245</v>
      </c>
      <c r="H1624" t="s">
        <v>10</v>
      </c>
      <c r="I1624" t="str">
        <f t="shared" si="51"/>
        <v/>
      </c>
    </row>
    <row r="1625" spans="1:9">
      <c r="A1625">
        <v>1595</v>
      </c>
      <c r="B1625" t="str">
        <f t="shared" si="50"/>
        <v>steven clifford bailey</v>
      </c>
      <c r="C1625" t="s">
        <v>2908</v>
      </c>
      <c r="D1625" t="s">
        <v>339</v>
      </c>
      <c r="E1625" t="s">
        <v>1626</v>
      </c>
      <c r="F1625" t="s">
        <v>2909</v>
      </c>
      <c r="G1625" t="s">
        <v>2910</v>
      </c>
      <c r="H1625" t="s">
        <v>10</v>
      </c>
      <c r="I1625" t="str">
        <f t="shared" si="51"/>
        <v/>
      </c>
    </row>
    <row r="1626" spans="1:9">
      <c r="A1626">
        <v>1596</v>
      </c>
      <c r="B1626" t="str">
        <f t="shared" si="50"/>
        <v>brian j. back</v>
      </c>
      <c r="C1626" t="s">
        <v>2911</v>
      </c>
      <c r="D1626" t="s">
        <v>57</v>
      </c>
      <c r="E1626" t="s">
        <v>94</v>
      </c>
      <c r="F1626" t="s">
        <v>8</v>
      </c>
      <c r="G1626" t="s">
        <v>81</v>
      </c>
      <c r="H1626" t="s">
        <v>10</v>
      </c>
      <c r="I1626" t="str">
        <f t="shared" si="51"/>
        <v/>
      </c>
    </row>
    <row r="1627" spans="1:9">
      <c r="A1627">
        <v>1597</v>
      </c>
      <c r="B1627" t="str">
        <f t="shared" si="50"/>
        <v>paul a. bacigalupo</v>
      </c>
      <c r="C1627" t="s">
        <v>4172</v>
      </c>
      <c r="D1627" t="s">
        <v>280</v>
      </c>
      <c r="E1627" t="s">
        <v>447</v>
      </c>
      <c r="F1627" t="s">
        <v>4173</v>
      </c>
      <c r="G1627" t="s">
        <v>4</v>
      </c>
      <c r="H1627" t="s">
        <v>4</v>
      </c>
      <c r="I1627" t="str">
        <f t="shared" si="51"/>
        <v/>
      </c>
    </row>
    <row r="1628" spans="1:9">
      <c r="A1628">
        <v>1598</v>
      </c>
      <c r="B1628" t="str">
        <f t="shared" si="50"/>
        <v>monica  bachner</v>
      </c>
      <c r="C1628" t="s">
        <v>2912</v>
      </c>
      <c r="D1628" t="s">
        <v>160</v>
      </c>
      <c r="E1628" t="s">
        <v>4</v>
      </c>
      <c r="F1628" t="s">
        <v>1749</v>
      </c>
      <c r="G1628" t="s">
        <v>4</v>
      </c>
      <c r="H1628" t="s">
        <v>4</v>
      </c>
      <c r="I1628" t="str">
        <f t="shared" si="51"/>
        <v/>
      </c>
    </row>
    <row r="1629" spans="1:9">
      <c r="A1629">
        <v>1599</v>
      </c>
      <c r="B1629" t="str">
        <f t="shared" si="50"/>
        <v>mark vernon bacciarini</v>
      </c>
      <c r="C1629" t="s">
        <v>2913</v>
      </c>
      <c r="D1629" t="s">
        <v>45</v>
      </c>
      <c r="E1629" t="s">
        <v>1240</v>
      </c>
      <c r="F1629" t="s">
        <v>2914</v>
      </c>
      <c r="G1629" t="s">
        <v>2915</v>
      </c>
      <c r="H1629" t="s">
        <v>10</v>
      </c>
      <c r="I1629" t="str">
        <f t="shared" si="51"/>
        <v/>
      </c>
    </row>
    <row r="1630" spans="1:9">
      <c r="A1630">
        <v>1600</v>
      </c>
      <c r="B1630" t="str">
        <f t="shared" si="50"/>
        <v>katherine anne bacal</v>
      </c>
      <c r="C1630" t="s">
        <v>2916</v>
      </c>
      <c r="D1630" t="s">
        <v>1532</v>
      </c>
      <c r="E1630" t="s">
        <v>1452</v>
      </c>
      <c r="F1630" t="s">
        <v>101</v>
      </c>
      <c r="G1630" t="s">
        <v>102</v>
      </c>
      <c r="H1630" t="s">
        <v>103</v>
      </c>
      <c r="I1630" t="str">
        <f t="shared" si="51"/>
        <v/>
      </c>
    </row>
    <row r="1631" spans="1:9">
      <c r="A1631">
        <v>1601</v>
      </c>
      <c r="B1631" t="str">
        <f t="shared" si="50"/>
        <v>donald j. ayoob</v>
      </c>
      <c r="C1631" t="s">
        <v>2917</v>
      </c>
      <c r="D1631" t="s">
        <v>509</v>
      </c>
      <c r="E1631" t="s">
        <v>94</v>
      </c>
      <c r="F1631" t="s">
        <v>231</v>
      </c>
      <c r="G1631" t="s">
        <v>4</v>
      </c>
      <c r="H1631" t="s">
        <v>10</v>
      </c>
      <c r="I1631" t="str">
        <f t="shared" si="51"/>
        <v/>
      </c>
    </row>
    <row r="1632" spans="1:9">
      <c r="A1632">
        <v>1602</v>
      </c>
      <c r="B1632" t="str">
        <f t="shared" si="50"/>
        <v>nancy lynn ayers</v>
      </c>
      <c r="C1632" t="s">
        <v>2918</v>
      </c>
      <c r="D1632" t="s">
        <v>542</v>
      </c>
      <c r="E1632" t="s">
        <v>197</v>
      </c>
      <c r="F1632" t="s">
        <v>32</v>
      </c>
      <c r="G1632" t="s">
        <v>81</v>
      </c>
      <c r="H1632" t="s">
        <v>10</v>
      </c>
      <c r="I1632" t="str">
        <f t="shared" si="51"/>
        <v/>
      </c>
    </row>
    <row r="1633" spans="1:9">
      <c r="A1633">
        <v>1603</v>
      </c>
      <c r="B1633" t="str">
        <f t="shared" si="50"/>
        <v>shelly j averill</v>
      </c>
      <c r="C1633" t="s">
        <v>2919</v>
      </c>
      <c r="D1633" t="s">
        <v>403</v>
      </c>
      <c r="E1633" t="s">
        <v>1296</v>
      </c>
      <c r="F1633" t="s">
        <v>8</v>
      </c>
      <c r="G1633" t="s">
        <v>2037</v>
      </c>
      <c r="H1633" t="s">
        <v>10</v>
      </c>
      <c r="I1633" t="str">
        <f t="shared" si="51"/>
        <v/>
      </c>
    </row>
    <row r="1634" spans="1:9">
      <c r="A1634">
        <v>1604</v>
      </c>
      <c r="B1634" t="str">
        <f t="shared" si="50"/>
        <v>steven kurt austin</v>
      </c>
      <c r="C1634" t="s">
        <v>1496</v>
      </c>
      <c r="D1634" t="s">
        <v>339</v>
      </c>
      <c r="E1634" t="s">
        <v>1673</v>
      </c>
      <c r="F1634" t="s">
        <v>49</v>
      </c>
      <c r="G1634" t="s">
        <v>512</v>
      </c>
      <c r="H1634" t="s">
        <v>10</v>
      </c>
      <c r="I1634" t="str">
        <f t="shared" si="51"/>
        <v/>
      </c>
    </row>
    <row r="1635" spans="1:9">
      <c r="A1635">
        <v>1605</v>
      </c>
      <c r="B1635" t="str">
        <f t="shared" si="50"/>
        <v>judith m. ashmann-gerst</v>
      </c>
      <c r="C1635" t="s">
        <v>2920</v>
      </c>
      <c r="D1635" t="s">
        <v>334</v>
      </c>
      <c r="E1635" t="s">
        <v>189</v>
      </c>
      <c r="F1635" t="s">
        <v>19</v>
      </c>
      <c r="G1635" t="s">
        <v>20</v>
      </c>
      <c r="H1635" t="s">
        <v>21</v>
      </c>
      <c r="I1635" t="str">
        <f t="shared" si="51"/>
        <v/>
      </c>
    </row>
    <row r="1636" spans="1:9">
      <c r="A1636">
        <v>1606</v>
      </c>
      <c r="B1636" t="str">
        <f t="shared" si="50"/>
        <v>carol k ash</v>
      </c>
      <c r="C1636" t="s">
        <v>2921</v>
      </c>
      <c r="D1636" t="s">
        <v>68</v>
      </c>
      <c r="E1636" t="s">
        <v>514</v>
      </c>
      <c r="F1636" t="s">
        <v>1001</v>
      </c>
      <c r="G1636" t="s">
        <v>4</v>
      </c>
      <c r="H1636" t="s">
        <v>10</v>
      </c>
      <c r="I1636" t="str">
        <f t="shared" si="51"/>
        <v/>
      </c>
    </row>
    <row r="1637" spans="1:9">
      <c r="A1637">
        <v>1607</v>
      </c>
      <c r="B1637" t="str">
        <f t="shared" si="50"/>
        <v>irma poole asberry</v>
      </c>
      <c r="C1637" t="s">
        <v>2922</v>
      </c>
      <c r="D1637" t="s">
        <v>2708</v>
      </c>
      <c r="E1637" t="s">
        <v>2923</v>
      </c>
      <c r="F1637" t="s">
        <v>571</v>
      </c>
      <c r="G1637" t="s">
        <v>216</v>
      </c>
      <c r="H1637" t="s">
        <v>10</v>
      </c>
      <c r="I1637" t="str">
        <f t="shared" si="51"/>
        <v/>
      </c>
    </row>
    <row r="1638" spans="1:9">
      <c r="A1638">
        <v>1608</v>
      </c>
      <c r="B1638" t="str">
        <f t="shared" si="50"/>
        <v>jacqueline marie arroyo</v>
      </c>
      <c r="C1638" t="s">
        <v>2924</v>
      </c>
      <c r="D1638" t="s">
        <v>551</v>
      </c>
      <c r="E1638" t="s">
        <v>43</v>
      </c>
      <c r="F1638" t="s">
        <v>32</v>
      </c>
      <c r="G1638" t="s">
        <v>1034</v>
      </c>
      <c r="H1638" t="s">
        <v>10</v>
      </c>
      <c r="I1638" t="str">
        <f t="shared" si="51"/>
        <v/>
      </c>
    </row>
    <row r="1639" spans="1:9">
      <c r="A1639">
        <v>1609</v>
      </c>
      <c r="B1639" t="str">
        <f t="shared" si="50"/>
        <v>richard m aronson</v>
      </c>
      <c r="C1639" t="s">
        <v>2925</v>
      </c>
      <c r="D1639" t="s">
        <v>173</v>
      </c>
      <c r="E1639" t="s">
        <v>410</v>
      </c>
      <c r="F1639" t="s">
        <v>19</v>
      </c>
      <c r="G1639" t="s">
        <v>2201</v>
      </c>
      <c r="H1639" t="s">
        <v>212</v>
      </c>
      <c r="I1639" t="str">
        <f t="shared" si="51"/>
        <v/>
      </c>
    </row>
    <row r="1640" spans="1:9">
      <c r="A1640">
        <v>1610</v>
      </c>
      <c r="B1640" t="str">
        <f t="shared" si="50"/>
        <v>brain r aronson</v>
      </c>
      <c r="C1640" t="s">
        <v>2925</v>
      </c>
      <c r="D1640" t="s">
        <v>2926</v>
      </c>
      <c r="E1640" t="s">
        <v>53</v>
      </c>
      <c r="F1640" t="s">
        <v>571</v>
      </c>
      <c r="G1640" t="s">
        <v>2098</v>
      </c>
      <c r="H1640" t="s">
        <v>36</v>
      </c>
      <c r="I1640" t="str">
        <f t="shared" si="51"/>
        <v/>
      </c>
    </row>
    <row r="1641" spans="1:9">
      <c r="A1641">
        <v>1611</v>
      </c>
      <c r="B1641" t="str">
        <f t="shared" si="50"/>
        <v>mark stephen arnold</v>
      </c>
      <c r="C1641" t="s">
        <v>273</v>
      </c>
      <c r="D1641" t="s">
        <v>45</v>
      </c>
      <c r="E1641" t="s">
        <v>183</v>
      </c>
      <c r="F1641" t="s">
        <v>2204</v>
      </c>
      <c r="G1641" t="s">
        <v>4</v>
      </c>
      <c r="H1641" t="s">
        <v>4</v>
      </c>
      <c r="I1641" t="str">
        <f t="shared" si="51"/>
        <v/>
      </c>
    </row>
    <row r="1642" spans="1:9">
      <c r="A1642">
        <v>1612</v>
      </c>
      <c r="B1642" t="str">
        <f t="shared" si="50"/>
        <v xml:space="preserve">  armstrong orvillea.</v>
      </c>
      <c r="C1642" t="s">
        <v>2927</v>
      </c>
      <c r="D1642" t="s">
        <v>4</v>
      </c>
      <c r="E1642" t="s">
        <v>4</v>
      </c>
      <c r="F1642" t="s">
        <v>19</v>
      </c>
      <c r="G1642" t="s">
        <v>20</v>
      </c>
      <c r="H1642" t="s">
        <v>21</v>
      </c>
      <c r="I1642" t="str">
        <f t="shared" si="51"/>
        <v/>
      </c>
    </row>
    <row r="1643" spans="1:9">
      <c r="A1643">
        <v>1613</v>
      </c>
      <c r="B1643" t="str">
        <f t="shared" si="50"/>
        <v>carlos o. armour</v>
      </c>
      <c r="C1643" t="s">
        <v>2928</v>
      </c>
      <c r="D1643" t="s">
        <v>325</v>
      </c>
      <c r="E1643" t="s">
        <v>2929</v>
      </c>
      <c r="F1643" t="s">
        <v>101</v>
      </c>
      <c r="G1643" t="s">
        <v>102</v>
      </c>
      <c r="H1643" t="s">
        <v>103</v>
      </c>
      <c r="I1643" t="str">
        <f t="shared" si="51"/>
        <v/>
      </c>
    </row>
    <row r="1644" spans="1:9">
      <c r="A1644">
        <v>1614</v>
      </c>
      <c r="B1644" t="str">
        <f t="shared" si="50"/>
        <v>james patrick arguelles</v>
      </c>
      <c r="C1644" t="s">
        <v>2930</v>
      </c>
      <c r="D1644" t="s">
        <v>90</v>
      </c>
      <c r="E1644" t="s">
        <v>6</v>
      </c>
      <c r="F1644" t="s">
        <v>1304</v>
      </c>
      <c r="G1644" t="s">
        <v>4</v>
      </c>
      <c r="H1644" t="s">
        <v>10</v>
      </c>
      <c r="I1644" t="str">
        <f t="shared" si="51"/>
        <v/>
      </c>
    </row>
    <row r="1645" spans="1:9">
      <c r="A1645">
        <v>1615</v>
      </c>
      <c r="B1645" t="str">
        <f t="shared" si="50"/>
        <v>brian martin arax</v>
      </c>
      <c r="C1645" t="s">
        <v>2931</v>
      </c>
      <c r="D1645" t="s">
        <v>57</v>
      </c>
      <c r="E1645" t="s">
        <v>478</v>
      </c>
      <c r="F1645" t="s">
        <v>633</v>
      </c>
      <c r="G1645" t="s">
        <v>4</v>
      </c>
      <c r="H1645" t="s">
        <v>10</v>
      </c>
      <c r="I1645" t="str">
        <f t="shared" si="51"/>
        <v/>
      </c>
    </row>
    <row r="1646" spans="1:9">
      <c r="A1646">
        <v>1616</v>
      </c>
      <c r="B1646" t="str">
        <f t="shared" si="50"/>
        <v>mary e. arand</v>
      </c>
      <c r="C1646" t="s">
        <v>2932</v>
      </c>
      <c r="D1646" t="s">
        <v>126</v>
      </c>
      <c r="E1646" t="s">
        <v>127</v>
      </c>
      <c r="F1646" t="s">
        <v>106</v>
      </c>
      <c r="G1646" t="s">
        <v>4</v>
      </c>
      <c r="H1646" t="s">
        <v>36</v>
      </c>
      <c r="I1646" t="str">
        <f t="shared" si="51"/>
        <v/>
      </c>
    </row>
    <row r="1647" spans="1:9">
      <c r="A1647">
        <v>1617</v>
      </c>
      <c r="B1647" t="str">
        <f t="shared" si="50"/>
        <v>akemi denise arakaki</v>
      </c>
      <c r="C1647" t="s">
        <v>2933</v>
      </c>
      <c r="D1647" t="s">
        <v>2934</v>
      </c>
      <c r="E1647" t="s">
        <v>178</v>
      </c>
      <c r="F1647" t="s">
        <v>46</v>
      </c>
      <c r="G1647" t="s">
        <v>58</v>
      </c>
      <c r="H1647" t="s">
        <v>10</v>
      </c>
      <c r="I1647" t="str">
        <f t="shared" si="51"/>
        <v/>
      </c>
    </row>
    <row r="1648" spans="1:9">
      <c r="A1648">
        <v>1618</v>
      </c>
      <c r="B1648" t="str">
        <f t="shared" si="50"/>
        <v>robert paul applegate</v>
      </c>
      <c r="C1648" t="s">
        <v>2935</v>
      </c>
      <c r="D1648" t="s">
        <v>72</v>
      </c>
      <c r="E1648" t="s">
        <v>280</v>
      </c>
      <c r="F1648" t="s">
        <v>49</v>
      </c>
      <c r="G1648" t="s">
        <v>135</v>
      </c>
      <c r="H1648" t="s">
        <v>10</v>
      </c>
      <c r="I1648" t="str">
        <f t="shared" si="51"/>
        <v/>
      </c>
    </row>
    <row r="1649" spans="1:9">
      <c r="A1649">
        <v>1619</v>
      </c>
      <c r="B1649" t="str">
        <f t="shared" si="50"/>
        <v>robin  appel</v>
      </c>
      <c r="C1649" t="s">
        <v>2936</v>
      </c>
      <c r="D1649" t="s">
        <v>121</v>
      </c>
      <c r="E1649" t="s">
        <v>4</v>
      </c>
      <c r="F1649" t="s">
        <v>2937</v>
      </c>
      <c r="G1649" t="s">
        <v>4</v>
      </c>
      <c r="H1649" t="s">
        <v>10</v>
      </c>
      <c r="I1649" t="str">
        <f t="shared" si="51"/>
        <v/>
      </c>
    </row>
    <row r="1650" spans="1:9">
      <c r="A1650">
        <v>1620</v>
      </c>
      <c r="B1650" t="str">
        <f t="shared" si="50"/>
        <v>lawrence john appel</v>
      </c>
      <c r="C1650" t="s">
        <v>2936</v>
      </c>
      <c r="D1650" t="s">
        <v>1316</v>
      </c>
      <c r="E1650" t="s">
        <v>7</v>
      </c>
      <c r="F1650" t="s">
        <v>4174</v>
      </c>
      <c r="G1650" t="s">
        <v>4</v>
      </c>
      <c r="H1650" t="s">
        <v>4</v>
      </c>
      <c r="I1650" t="str">
        <f t="shared" si="51"/>
        <v/>
      </c>
    </row>
    <row r="1651" spans="1:9">
      <c r="A1651">
        <v>1621</v>
      </c>
      <c r="B1651" t="str">
        <f t="shared" si="50"/>
        <v>deborah b andrews</v>
      </c>
      <c r="C1651" t="s">
        <v>2938</v>
      </c>
      <c r="D1651" t="s">
        <v>801</v>
      </c>
      <c r="E1651" t="s">
        <v>358</v>
      </c>
      <c r="F1651" t="s">
        <v>4116</v>
      </c>
      <c r="G1651" t="s">
        <v>4</v>
      </c>
      <c r="H1651" t="s">
        <v>4</v>
      </c>
      <c r="I1651" t="str">
        <f t="shared" si="51"/>
        <v/>
      </c>
    </row>
    <row r="1652" spans="1:9">
      <c r="A1652">
        <v>1622</v>
      </c>
      <c r="B1652" t="str">
        <f t="shared" si="50"/>
        <v>gail udreama andler</v>
      </c>
      <c r="C1652" t="s">
        <v>2939</v>
      </c>
      <c r="D1652" t="s">
        <v>710</v>
      </c>
      <c r="E1652" t="s">
        <v>2940</v>
      </c>
      <c r="F1652" t="s">
        <v>137</v>
      </c>
      <c r="G1652" t="s">
        <v>4</v>
      </c>
      <c r="H1652" t="s">
        <v>10</v>
      </c>
      <c r="I1652" t="str">
        <f t="shared" si="51"/>
        <v/>
      </c>
    </row>
    <row r="1653" spans="1:9">
      <c r="A1653">
        <v>1623</v>
      </c>
      <c r="B1653" t="str">
        <f t="shared" si="50"/>
        <v>thomas michael anderson</v>
      </c>
      <c r="C1653" t="s">
        <v>2941</v>
      </c>
      <c r="D1653" t="s">
        <v>27</v>
      </c>
      <c r="E1653" t="s">
        <v>219</v>
      </c>
      <c r="F1653" t="s">
        <v>437</v>
      </c>
      <c r="G1653" t="s">
        <v>4</v>
      </c>
      <c r="H1653" t="s">
        <v>10</v>
      </c>
      <c r="I1653" t="str">
        <f t="shared" si="51"/>
        <v/>
      </c>
    </row>
    <row r="1654" spans="1:9">
      <c r="A1654">
        <v>1624</v>
      </c>
      <c r="B1654" t="str">
        <f t="shared" si="50"/>
        <v>matthew sheridan andergon</v>
      </c>
      <c r="C1654" t="s">
        <v>2942</v>
      </c>
      <c r="D1654" t="s">
        <v>974</v>
      </c>
      <c r="E1654" t="s">
        <v>2943</v>
      </c>
      <c r="F1654" t="s">
        <v>4175</v>
      </c>
      <c r="G1654" t="s">
        <v>4</v>
      </c>
      <c r="H1654" t="s">
        <v>4</v>
      </c>
      <c r="I1654" t="str">
        <f t="shared" si="51"/>
        <v/>
      </c>
    </row>
    <row r="1655" spans="1:9">
      <c r="A1655">
        <v>1625</v>
      </c>
      <c r="B1655" t="str">
        <f t="shared" si="50"/>
        <v>marla o. anderson</v>
      </c>
      <c r="C1655" t="s">
        <v>2941</v>
      </c>
      <c r="D1655" t="s">
        <v>2944</v>
      </c>
      <c r="E1655" t="s">
        <v>2929</v>
      </c>
      <c r="F1655" t="s">
        <v>571</v>
      </c>
      <c r="G1655" t="s">
        <v>146</v>
      </c>
      <c r="H1655" t="s">
        <v>10</v>
      </c>
      <c r="I1655" t="str">
        <f t="shared" si="51"/>
        <v/>
      </c>
    </row>
    <row r="1656" spans="1:9">
      <c r="A1656">
        <v>1626</v>
      </c>
      <c r="B1656" t="str">
        <f t="shared" si="50"/>
        <v>clifford rudolph anderson iii</v>
      </c>
      <c r="C1656" t="s">
        <v>2945</v>
      </c>
      <c r="D1656" t="s">
        <v>1626</v>
      </c>
      <c r="E1656" t="s">
        <v>2415</v>
      </c>
      <c r="F1656" t="s">
        <v>49</v>
      </c>
      <c r="G1656" t="s">
        <v>2946</v>
      </c>
      <c r="H1656" t="s">
        <v>10</v>
      </c>
      <c r="I1656" t="str">
        <f t="shared" si="51"/>
        <v/>
      </c>
    </row>
    <row r="1657" spans="1:9">
      <c r="A1657">
        <v>1627</v>
      </c>
      <c r="B1657" t="str">
        <f t="shared" si="50"/>
        <v>thomas pearce anderle</v>
      </c>
      <c r="C1657" t="s">
        <v>2947</v>
      </c>
      <c r="D1657" t="s">
        <v>27</v>
      </c>
      <c r="E1657" t="s">
        <v>2948</v>
      </c>
      <c r="F1657" t="s">
        <v>1177</v>
      </c>
      <c r="G1657" t="s">
        <v>4</v>
      </c>
      <c r="H1657" t="s">
        <v>10</v>
      </c>
      <c r="I1657" t="str">
        <f t="shared" si="51"/>
        <v/>
      </c>
    </row>
    <row r="1658" spans="1:9">
      <c r="A1658">
        <v>1628</v>
      </c>
      <c r="B1658" t="str">
        <f t="shared" si="50"/>
        <v>ann quintina ameral</v>
      </c>
      <c r="C1658" t="s">
        <v>2949</v>
      </c>
      <c r="D1658" t="s">
        <v>3</v>
      </c>
      <c r="E1658" t="s">
        <v>2950</v>
      </c>
      <c r="F1658" t="s">
        <v>29</v>
      </c>
      <c r="G1658" t="s">
        <v>4</v>
      </c>
      <c r="H1658" t="s">
        <v>10</v>
      </c>
      <c r="I1658" t="str">
        <f t="shared" si="51"/>
        <v/>
      </c>
    </row>
    <row r="1659" spans="1:9">
      <c r="A1659">
        <v>1629</v>
      </c>
      <c r="B1659" t="str">
        <f t="shared" si="50"/>
        <v>frank brian alvarez</v>
      </c>
      <c r="C1659" t="s">
        <v>2180</v>
      </c>
      <c r="D1659" t="s">
        <v>605</v>
      </c>
      <c r="E1659" t="s">
        <v>57</v>
      </c>
      <c r="F1659" t="s">
        <v>633</v>
      </c>
      <c r="G1659" t="s">
        <v>4</v>
      </c>
      <c r="H1659" t="s">
        <v>10</v>
      </c>
      <c r="I1659" t="str">
        <f t="shared" si="51"/>
        <v/>
      </c>
    </row>
    <row r="1660" spans="1:9">
      <c r="A1660">
        <v>1630</v>
      </c>
      <c r="B1660" t="str">
        <f t="shared" si="50"/>
        <v>donald r. alvarez</v>
      </c>
      <c r="C1660" t="s">
        <v>2180</v>
      </c>
      <c r="D1660" t="s">
        <v>509</v>
      </c>
      <c r="E1660" t="s">
        <v>265</v>
      </c>
      <c r="F1660" t="s">
        <v>371</v>
      </c>
      <c r="G1660" t="s">
        <v>2951</v>
      </c>
      <c r="H1660" t="s">
        <v>36</v>
      </c>
      <c r="I1660" t="str">
        <f t="shared" si="51"/>
        <v/>
      </c>
    </row>
    <row r="1661" spans="1:9">
      <c r="A1661">
        <v>1631</v>
      </c>
      <c r="B1661" t="str">
        <f t="shared" si="50"/>
        <v>jose l. alva</v>
      </c>
      <c r="C1661" t="s">
        <v>2952</v>
      </c>
      <c r="D1661" t="s">
        <v>784</v>
      </c>
      <c r="E1661" t="s">
        <v>257</v>
      </c>
      <c r="F1661" t="s">
        <v>2953</v>
      </c>
      <c r="G1661" t="s">
        <v>4</v>
      </c>
      <c r="H1661" t="s">
        <v>4</v>
      </c>
      <c r="I1661" t="str">
        <f t="shared" si="51"/>
        <v/>
      </c>
    </row>
    <row r="1662" spans="1:9">
      <c r="A1662">
        <v>1632</v>
      </c>
      <c r="B1662" t="str">
        <f t="shared" si="50"/>
        <v>diane bradford altamirano</v>
      </c>
      <c r="C1662" t="s">
        <v>2954</v>
      </c>
      <c r="D1662" t="s">
        <v>911</v>
      </c>
      <c r="E1662" t="s">
        <v>2434</v>
      </c>
      <c r="F1662" t="s">
        <v>49</v>
      </c>
      <c r="G1662" t="s">
        <v>66</v>
      </c>
      <c r="H1662" t="s">
        <v>10</v>
      </c>
      <c r="I1662" t="str">
        <f t="shared" si="51"/>
        <v/>
      </c>
    </row>
    <row r="1663" spans="1:9">
      <c r="A1663">
        <v>1633</v>
      </c>
      <c r="B1663" t="str">
        <f t="shared" si="50"/>
        <v>john jeffrey almquist</v>
      </c>
      <c r="C1663" t="s">
        <v>2955</v>
      </c>
      <c r="D1663" t="s">
        <v>7</v>
      </c>
      <c r="E1663" t="s">
        <v>446</v>
      </c>
      <c r="F1663" t="s">
        <v>2956</v>
      </c>
      <c r="G1663" t="s">
        <v>2957</v>
      </c>
      <c r="H1663" t="s">
        <v>10</v>
      </c>
      <c r="I1663" t="str">
        <f t="shared" si="51"/>
        <v/>
      </c>
    </row>
    <row r="1664" spans="1:9">
      <c r="A1664">
        <v>1634</v>
      </c>
      <c r="B1664" t="str">
        <f t="shared" si="50"/>
        <v>julia lynn alloggiamento</v>
      </c>
      <c r="C1664" t="s">
        <v>2958</v>
      </c>
      <c r="D1664" t="s">
        <v>586</v>
      </c>
      <c r="E1664" t="s">
        <v>197</v>
      </c>
      <c r="F1664" t="s">
        <v>49</v>
      </c>
      <c r="G1664" t="s">
        <v>15</v>
      </c>
      <c r="H1664" t="s">
        <v>36</v>
      </c>
      <c r="I1664" t="str">
        <f t="shared" si="51"/>
        <v/>
      </c>
    </row>
    <row r="1665" spans="1:9">
      <c r="A1665">
        <v>1635</v>
      </c>
      <c r="B1665" t="str">
        <f t="shared" si="50"/>
        <v>larry wayne allen</v>
      </c>
      <c r="C1665" t="s">
        <v>192</v>
      </c>
      <c r="D1665" t="s">
        <v>1969</v>
      </c>
      <c r="E1665" t="s">
        <v>758</v>
      </c>
      <c r="F1665" t="s">
        <v>74</v>
      </c>
      <c r="G1665" t="s">
        <v>4</v>
      </c>
      <c r="H1665" t="s">
        <v>10</v>
      </c>
      <c r="I1665" t="str">
        <f t="shared" si="51"/>
        <v/>
      </c>
    </row>
    <row r="1666" spans="1:9">
      <c r="A1666">
        <v>1636</v>
      </c>
      <c r="B1666" t="str">
        <f t="shared" si="50"/>
        <v>glenda susan allen-hill</v>
      </c>
      <c r="C1666" t="s">
        <v>2959</v>
      </c>
      <c r="D1666" t="s">
        <v>793</v>
      </c>
      <c r="E1666" t="s">
        <v>676</v>
      </c>
      <c r="F1666" t="s">
        <v>633</v>
      </c>
      <c r="G1666" t="s">
        <v>2809</v>
      </c>
      <c r="H1666" t="s">
        <v>36</v>
      </c>
      <c r="I1666" t="str">
        <f t="shared" si="51"/>
        <v/>
      </c>
    </row>
    <row r="1667" spans="1:9">
      <c r="A1667">
        <v>1637</v>
      </c>
      <c r="B1667" t="str">
        <f t="shared" ref="B1667:B1684" si="52">TRIM($D1667) &amp; " " &amp; TRIM($E1667) &amp; " " &amp; TRIM($C1667)</f>
        <v>joyce elaine allegro</v>
      </c>
      <c r="C1667" t="s">
        <v>2960</v>
      </c>
      <c r="D1667" t="s">
        <v>1755</v>
      </c>
      <c r="E1667" t="s">
        <v>525</v>
      </c>
      <c r="F1667" t="s">
        <v>106</v>
      </c>
      <c r="G1667" t="s">
        <v>4</v>
      </c>
      <c r="H1667" t="s">
        <v>10</v>
      </c>
      <c r="I1667" t="str">
        <f t="shared" ref="I1667:I1684" si="53">IF(NOT(ISERROR(FIND("judge",F1667))),"judge","")</f>
        <v/>
      </c>
    </row>
    <row r="1668" spans="1:9">
      <c r="A1668">
        <v>1638</v>
      </c>
      <c r="B1668" t="str">
        <f t="shared" si="52"/>
        <v>brett r alldredge</v>
      </c>
      <c r="C1668" t="s">
        <v>2961</v>
      </c>
      <c r="D1668" t="s">
        <v>1272</v>
      </c>
      <c r="E1668" t="s">
        <v>53</v>
      </c>
      <c r="F1668" t="s">
        <v>281</v>
      </c>
      <c r="G1668" t="s">
        <v>686</v>
      </c>
      <c r="H1668" t="s">
        <v>10</v>
      </c>
      <c r="I1668" t="str">
        <f t="shared" si="53"/>
        <v/>
      </c>
    </row>
    <row r="1669" spans="1:9">
      <c r="A1669">
        <v>1639</v>
      </c>
      <c r="B1669" t="str">
        <f t="shared" si="52"/>
        <v>edward p allard</v>
      </c>
      <c r="C1669" t="s">
        <v>2962</v>
      </c>
      <c r="D1669" t="s">
        <v>236</v>
      </c>
      <c r="E1669" t="s">
        <v>252</v>
      </c>
      <c r="F1669" t="s">
        <v>101</v>
      </c>
      <c r="G1669" t="s">
        <v>102</v>
      </c>
      <c r="H1669" t="s">
        <v>10</v>
      </c>
      <c r="I1669" t="str">
        <f t="shared" si="53"/>
        <v/>
      </c>
    </row>
    <row r="1670" spans="1:9">
      <c r="A1670">
        <v>1640</v>
      </c>
      <c r="B1670" t="str">
        <f t="shared" si="52"/>
        <v>louna a alksne</v>
      </c>
      <c r="C1670" t="s">
        <v>2963</v>
      </c>
      <c r="D1670" t="s">
        <v>2964</v>
      </c>
      <c r="E1670" t="s">
        <v>39</v>
      </c>
      <c r="F1670" t="s">
        <v>101</v>
      </c>
      <c r="G1670" t="s">
        <v>102</v>
      </c>
      <c r="H1670" t="s">
        <v>10</v>
      </c>
      <c r="I1670" t="str">
        <f t="shared" si="53"/>
        <v/>
      </c>
    </row>
    <row r="1671" spans="1:9">
      <c r="A1671">
        <v>1641</v>
      </c>
      <c r="B1671" t="str">
        <f t="shared" si="52"/>
        <v>richard  aldrich</v>
      </c>
      <c r="C1671" t="s">
        <v>2965</v>
      </c>
      <c r="D1671" t="s">
        <v>173</v>
      </c>
      <c r="E1671" t="s">
        <v>4</v>
      </c>
      <c r="F1671" t="s">
        <v>4</v>
      </c>
      <c r="G1671" t="s">
        <v>1018</v>
      </c>
      <c r="H1671" t="s">
        <v>21</v>
      </c>
      <c r="I1671" t="str">
        <f t="shared" si="53"/>
        <v/>
      </c>
    </row>
    <row r="1672" spans="1:9">
      <c r="A1672">
        <v>1642</v>
      </c>
      <c r="B1672" t="str">
        <f t="shared" si="52"/>
        <v>javier  alcala</v>
      </c>
      <c r="C1672" t="s">
        <v>2966</v>
      </c>
      <c r="D1672" t="s">
        <v>2967</v>
      </c>
      <c r="E1672" t="s">
        <v>4</v>
      </c>
      <c r="F1672" t="s">
        <v>2968</v>
      </c>
      <c r="G1672" t="s">
        <v>2969</v>
      </c>
      <c r="H1672" t="s">
        <v>10</v>
      </c>
      <c r="I1672" t="str">
        <f t="shared" si="53"/>
        <v/>
      </c>
    </row>
    <row r="1673" spans="1:9">
      <c r="A1673">
        <v>1643</v>
      </c>
      <c r="B1673" t="str">
        <f t="shared" si="52"/>
        <v>ronald elwood albers</v>
      </c>
      <c r="C1673" t="s">
        <v>2970</v>
      </c>
      <c r="D1673" t="s">
        <v>413</v>
      </c>
      <c r="E1673" t="s">
        <v>2971</v>
      </c>
      <c r="F1673" t="s">
        <v>2972</v>
      </c>
      <c r="G1673" t="s">
        <v>2786</v>
      </c>
      <c r="H1673" t="s">
        <v>10</v>
      </c>
      <c r="I1673" t="str">
        <f t="shared" si="53"/>
        <v/>
      </c>
    </row>
    <row r="1674" spans="1:9">
      <c r="A1674">
        <v>1644</v>
      </c>
      <c r="B1674" t="str">
        <f t="shared" si="52"/>
        <v>gregory wilson alaroon</v>
      </c>
      <c r="C1674" t="s">
        <v>2973</v>
      </c>
      <c r="D1674" t="s">
        <v>468</v>
      </c>
      <c r="E1674" t="s">
        <v>136</v>
      </c>
      <c r="F1674" t="s">
        <v>1749</v>
      </c>
      <c r="G1674" t="s">
        <v>4</v>
      </c>
      <c r="H1674" t="s">
        <v>4</v>
      </c>
      <c r="I1674" t="str">
        <f t="shared" si="53"/>
        <v/>
      </c>
    </row>
    <row r="1675" spans="1:9">
      <c r="A1675">
        <v>1645</v>
      </c>
      <c r="B1675" t="str">
        <f t="shared" si="52"/>
        <v>frederick p aguirre</v>
      </c>
      <c r="C1675" t="s">
        <v>2974</v>
      </c>
      <c r="D1675" t="s">
        <v>254</v>
      </c>
      <c r="E1675" t="s">
        <v>252</v>
      </c>
      <c r="F1675" t="s">
        <v>49</v>
      </c>
      <c r="G1675" t="s">
        <v>725</v>
      </c>
      <c r="H1675" t="s">
        <v>10</v>
      </c>
      <c r="I1675" t="str">
        <f t="shared" si="53"/>
        <v/>
      </c>
    </row>
    <row r="1676" spans="1:9">
      <c r="A1676">
        <v>1646</v>
      </c>
      <c r="B1676" t="str">
        <f t="shared" si="52"/>
        <v>tony j agbayani</v>
      </c>
      <c r="C1676" t="s">
        <v>2975</v>
      </c>
      <c r="D1676" t="s">
        <v>2976</v>
      </c>
      <c r="E1676" t="s">
        <v>1296</v>
      </c>
      <c r="F1676" t="s">
        <v>32</v>
      </c>
      <c r="G1676" t="s">
        <v>292</v>
      </c>
      <c r="H1676" t="s">
        <v>103</v>
      </c>
      <c r="I1676" t="str">
        <f t="shared" si="53"/>
        <v/>
      </c>
    </row>
    <row r="1677" spans="1:9">
      <c r="A1677">
        <v>1647</v>
      </c>
      <c r="B1677" t="str">
        <f t="shared" si="52"/>
        <v>richard a adler</v>
      </c>
      <c r="C1677" t="s">
        <v>2977</v>
      </c>
      <c r="D1677" t="s">
        <v>173</v>
      </c>
      <c r="E1677" t="s">
        <v>39</v>
      </c>
      <c r="F1677" t="s">
        <v>1749</v>
      </c>
      <c r="G1677" t="s">
        <v>4</v>
      </c>
      <c r="H1677" t="s">
        <v>4</v>
      </c>
      <c r="I1677" t="str">
        <f t="shared" si="53"/>
        <v/>
      </c>
    </row>
    <row r="1678" spans="1:9">
      <c r="A1678">
        <v>1648</v>
      </c>
      <c r="B1678" t="str">
        <f t="shared" si="52"/>
        <v>verna a. adams</v>
      </c>
      <c r="C1678" t="s">
        <v>2581</v>
      </c>
      <c r="D1678" t="s">
        <v>2978</v>
      </c>
      <c r="E1678" t="s">
        <v>447</v>
      </c>
      <c r="F1678" t="s">
        <v>658</v>
      </c>
      <c r="G1678" t="s">
        <v>4</v>
      </c>
      <c r="H1678" t="s">
        <v>10</v>
      </c>
      <c r="I1678" t="str">
        <f t="shared" si="53"/>
        <v/>
      </c>
    </row>
    <row r="1679" spans="1:9">
      <c r="A1679">
        <v>1649</v>
      </c>
      <c r="B1679" t="str">
        <f t="shared" si="52"/>
        <v>thomas reagan jr. adams</v>
      </c>
      <c r="C1679" t="s">
        <v>2581</v>
      </c>
      <c r="D1679" t="s">
        <v>27</v>
      </c>
      <c r="E1679" t="s">
        <v>2979</v>
      </c>
      <c r="F1679" t="s">
        <v>1950</v>
      </c>
      <c r="G1679" t="s">
        <v>1178</v>
      </c>
      <c r="H1679" t="s">
        <v>2980</v>
      </c>
      <c r="I1679" t="str">
        <f t="shared" si="53"/>
        <v/>
      </c>
    </row>
    <row r="1680" spans="1:9">
      <c r="A1680">
        <v>1650</v>
      </c>
      <c r="B1680" t="str">
        <f t="shared" si="52"/>
        <v>john stuart adams</v>
      </c>
      <c r="C1680" t="s">
        <v>2581</v>
      </c>
      <c r="D1680" t="s">
        <v>7</v>
      </c>
      <c r="E1680" t="s">
        <v>521</v>
      </c>
      <c r="F1680" t="s">
        <v>1335</v>
      </c>
      <c r="G1680" t="s">
        <v>4</v>
      </c>
      <c r="H1680" t="s">
        <v>10</v>
      </c>
      <c r="I1680" t="str">
        <f t="shared" si="53"/>
        <v/>
      </c>
    </row>
    <row r="1681" spans="1:9">
      <c r="A1681">
        <v>1651</v>
      </c>
      <c r="B1681" t="str">
        <f t="shared" si="52"/>
        <v>karen monique ackerson-brazille</v>
      </c>
      <c r="C1681" t="s">
        <v>2981</v>
      </c>
      <c r="D1681" t="s">
        <v>889</v>
      </c>
      <c r="E1681" t="s">
        <v>2982</v>
      </c>
      <c r="F1681" t="s">
        <v>4035</v>
      </c>
      <c r="G1681" t="s">
        <v>4</v>
      </c>
      <c r="H1681" t="s">
        <v>4</v>
      </c>
      <c r="I1681" t="str">
        <f t="shared" si="53"/>
        <v/>
      </c>
    </row>
    <row r="1682" spans="1:9">
      <c r="A1682">
        <v>1652</v>
      </c>
      <c r="B1682" t="str">
        <f t="shared" si="52"/>
        <v>michael d abzug</v>
      </c>
      <c r="C1682" t="s">
        <v>2983</v>
      </c>
      <c r="D1682" t="s">
        <v>219</v>
      </c>
      <c r="E1682" t="s">
        <v>570</v>
      </c>
      <c r="F1682" t="s">
        <v>46</v>
      </c>
      <c r="G1682" t="s">
        <v>4</v>
      </c>
      <c r="H1682" t="s">
        <v>4</v>
      </c>
      <c r="I1682" t="str">
        <f t="shared" si="53"/>
        <v/>
      </c>
    </row>
    <row r="1683" spans="1:9">
      <c r="A1683">
        <v>1653</v>
      </c>
      <c r="B1683" t="str">
        <f t="shared" si="52"/>
        <v>george joseph abdallah</v>
      </c>
      <c r="C1683" t="s">
        <v>2984</v>
      </c>
      <c r="D1683" t="s">
        <v>237</v>
      </c>
      <c r="E1683" t="s">
        <v>80</v>
      </c>
      <c r="F1683" t="s">
        <v>32</v>
      </c>
      <c r="G1683" t="s">
        <v>556</v>
      </c>
      <c r="H1683" t="s">
        <v>103</v>
      </c>
      <c r="I1683" t="str">
        <f t="shared" si="53"/>
        <v/>
      </c>
    </row>
    <row r="1684" spans="1:9">
      <c r="A1684">
        <v>1654</v>
      </c>
      <c r="B1684" t="str">
        <f t="shared" si="52"/>
        <v>david wylie abbott</v>
      </c>
      <c r="C1684" t="s">
        <v>2985</v>
      </c>
      <c r="D1684" t="s">
        <v>28</v>
      </c>
      <c r="E1684" t="s">
        <v>2986</v>
      </c>
      <c r="F1684" t="s">
        <v>32</v>
      </c>
      <c r="G1684" t="s">
        <v>377</v>
      </c>
      <c r="H1684" t="s">
        <v>10</v>
      </c>
      <c r="I1684" t="str">
        <f t="shared" si="53"/>
        <v/>
      </c>
    </row>
    <row r="1685" spans="1:9">
      <c r="A1685">
        <v>1655</v>
      </c>
      <c r="C1685" t="s">
        <v>1068</v>
      </c>
      <c r="D1685" t="s">
        <v>365</v>
      </c>
      <c r="E1685" t="s">
        <v>1074</v>
      </c>
      <c r="F1685" t="s">
        <v>19</v>
      </c>
      <c r="G1685" t="s">
        <v>1424</v>
      </c>
      <c r="H1685" t="s">
        <v>212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80"/>
  <sheetViews>
    <sheetView workbookViewId="0">
      <selection activeCell="B12" sqref="B12"/>
    </sheetView>
  </sheetViews>
  <sheetFormatPr baseColWidth="10" defaultRowHeight="15" x14ac:dyDescent="0"/>
  <cols>
    <col min="1" max="1" width="62.1640625" customWidth="1"/>
    <col min="2" max="2" width="21" customWidth="1"/>
    <col min="3" max="3" width="14.83203125" customWidth="1"/>
    <col min="4" max="4" width="2.1640625" customWidth="1"/>
    <col min="5" max="6" width="3.1640625" customWidth="1"/>
    <col min="7" max="7" width="5.1640625" customWidth="1"/>
    <col min="8" max="21" width="3.1640625" customWidth="1"/>
    <col min="22" max="22" width="5.1640625" customWidth="1"/>
    <col min="23" max="32" width="3.1640625" customWidth="1"/>
    <col min="33" max="33" width="5.1640625" customWidth="1"/>
    <col min="34" max="37" width="3.1640625" customWidth="1"/>
    <col min="38" max="38" width="6.1640625" customWidth="1"/>
    <col min="39" max="44" width="3.1640625" customWidth="1"/>
    <col min="45" max="51" width="4.1640625" customWidth="1"/>
    <col min="52" max="52" width="7.1640625" customWidth="1"/>
    <col min="53" max="58" width="4.1640625" customWidth="1"/>
    <col min="59" max="59" width="7.1640625" customWidth="1"/>
    <col min="60" max="84" width="4.1640625" customWidth="1"/>
    <col min="85" max="85" width="6.1640625" customWidth="1"/>
    <col min="86" max="95" width="4.1640625" customWidth="1"/>
    <col min="96" max="96" width="7.1640625" customWidth="1"/>
    <col min="97" max="101" width="4.1640625" customWidth="1"/>
    <col min="102" max="102" width="7.1640625" customWidth="1"/>
    <col min="103" max="104" width="4.1640625" customWidth="1"/>
    <col min="105" max="105" width="5.1640625" customWidth="1"/>
    <col min="106" max="106" width="8.1640625" customWidth="1"/>
    <col min="107" max="111" width="5.1640625" customWidth="1"/>
    <col min="112" max="112" width="8.1640625" customWidth="1"/>
    <col min="113" max="117" width="5.1640625" customWidth="1"/>
    <col min="118" max="118" width="4.1640625" customWidth="1"/>
    <col min="119" max="119" width="4.33203125" customWidth="1"/>
    <col min="120" max="120" width="6.5" customWidth="1"/>
    <col min="121" max="121" width="10.6640625" customWidth="1"/>
    <col min="122" max="122" width="9.33203125" customWidth="1"/>
    <col min="123" max="123" width="6.83203125" customWidth="1"/>
  </cols>
  <sheetData>
    <row r="1" spans="1:3">
      <c r="A1" s="4" t="s">
        <v>3752</v>
      </c>
      <c r="B1" t="s">
        <v>3984</v>
      </c>
    </row>
    <row r="3" spans="1:3">
      <c r="B3" s="4" t="s">
        <v>3982</v>
      </c>
    </row>
    <row r="4" spans="1:3">
      <c r="A4" s="4" t="s">
        <v>3753</v>
      </c>
      <c r="B4" t="s">
        <v>3987</v>
      </c>
      <c r="C4" t="s">
        <v>3983</v>
      </c>
    </row>
    <row r="5" spans="1:3">
      <c r="A5" s="5" t="s">
        <v>3185</v>
      </c>
      <c r="B5" s="6">
        <v>2</v>
      </c>
      <c r="C5" s="6">
        <v>8751</v>
      </c>
    </row>
    <row r="6" spans="1:3">
      <c r="A6" s="5" t="s">
        <v>3581</v>
      </c>
      <c r="B6" s="6">
        <v>1</v>
      </c>
      <c r="C6" s="6">
        <v>4200</v>
      </c>
    </row>
    <row r="7" spans="1:3">
      <c r="A7" s="5" t="s">
        <v>3049</v>
      </c>
      <c r="B7" s="6">
        <v>3</v>
      </c>
      <c r="C7" s="6">
        <v>3000</v>
      </c>
    </row>
    <row r="8" spans="1:3">
      <c r="A8" s="5" t="s">
        <v>3617</v>
      </c>
      <c r="B8" s="6">
        <v>5</v>
      </c>
      <c r="C8" s="6">
        <v>2550</v>
      </c>
    </row>
    <row r="9" spans="1:3">
      <c r="A9" s="5" t="s">
        <v>3725</v>
      </c>
      <c r="B9" s="6">
        <v>3</v>
      </c>
      <c r="C9" s="6">
        <v>2550</v>
      </c>
    </row>
    <row r="10" spans="1:3">
      <c r="A10" s="5" t="s">
        <v>3415</v>
      </c>
      <c r="B10" s="6">
        <v>3</v>
      </c>
      <c r="C10" s="6">
        <v>2500</v>
      </c>
    </row>
    <row r="11" spans="1:3">
      <c r="A11" s="5" t="s">
        <v>3632</v>
      </c>
      <c r="B11" s="6">
        <v>2</v>
      </c>
      <c r="C11" s="6">
        <v>2320</v>
      </c>
    </row>
    <row r="12" spans="1:3">
      <c r="A12" s="5" t="s">
        <v>3034</v>
      </c>
      <c r="B12" s="6">
        <v>22</v>
      </c>
      <c r="C12" s="6">
        <v>2000</v>
      </c>
    </row>
    <row r="13" spans="1:3">
      <c r="A13" s="5" t="s">
        <v>3717</v>
      </c>
      <c r="B13" s="6">
        <v>1</v>
      </c>
      <c r="C13" s="6">
        <v>1806.77</v>
      </c>
    </row>
    <row r="14" spans="1:3">
      <c r="A14" s="5" t="s">
        <v>3407</v>
      </c>
      <c r="B14" s="6">
        <v>1</v>
      </c>
      <c r="C14" s="6">
        <v>1600</v>
      </c>
    </row>
    <row r="15" spans="1:3">
      <c r="A15" s="5" t="s">
        <v>3066</v>
      </c>
      <c r="B15" s="6">
        <v>1</v>
      </c>
      <c r="C15" s="6">
        <v>1600</v>
      </c>
    </row>
    <row r="16" spans="1:3">
      <c r="A16" s="5" t="s">
        <v>3748</v>
      </c>
      <c r="B16" s="6">
        <v>29</v>
      </c>
      <c r="C16" s="6">
        <v>1582.5</v>
      </c>
    </row>
    <row r="17" spans="1:3">
      <c r="A17" s="5" t="s">
        <v>3619</v>
      </c>
      <c r="B17" s="6">
        <v>2</v>
      </c>
      <c r="C17" s="6">
        <v>1550</v>
      </c>
    </row>
    <row r="18" spans="1:3">
      <c r="A18" s="5" t="s">
        <v>3394</v>
      </c>
      <c r="B18" s="6">
        <v>1</v>
      </c>
      <c r="C18" s="6">
        <v>1500</v>
      </c>
    </row>
    <row r="19" spans="1:3">
      <c r="A19" s="5" t="s">
        <v>3698</v>
      </c>
      <c r="B19" s="6">
        <v>1</v>
      </c>
      <c r="C19" s="6">
        <v>1500</v>
      </c>
    </row>
    <row r="20" spans="1:3">
      <c r="A20" s="5" t="s">
        <v>3639</v>
      </c>
      <c r="B20" s="6">
        <v>1</v>
      </c>
      <c r="C20" s="6">
        <v>1456</v>
      </c>
    </row>
    <row r="21" spans="1:3">
      <c r="A21" s="5" t="s">
        <v>3251</v>
      </c>
      <c r="B21" s="6">
        <v>17</v>
      </c>
      <c r="C21" s="6">
        <v>1290</v>
      </c>
    </row>
    <row r="22" spans="1:3">
      <c r="A22" s="5" t="s">
        <v>3605</v>
      </c>
      <c r="B22" s="6">
        <v>3</v>
      </c>
      <c r="C22" s="6">
        <v>1278.7</v>
      </c>
    </row>
    <row r="23" spans="1:3">
      <c r="A23" s="5" t="s">
        <v>3472</v>
      </c>
      <c r="B23" s="6">
        <v>11</v>
      </c>
      <c r="C23" s="6">
        <v>1245.25</v>
      </c>
    </row>
    <row r="24" spans="1:3">
      <c r="A24" s="5" t="s">
        <v>3637</v>
      </c>
      <c r="B24" s="6">
        <v>2</v>
      </c>
      <c r="C24" s="6">
        <v>1072.08</v>
      </c>
    </row>
    <row r="25" spans="1:3">
      <c r="A25" s="5" t="s">
        <v>3405</v>
      </c>
      <c r="B25" s="6">
        <v>2</v>
      </c>
      <c r="C25" s="6">
        <v>1000</v>
      </c>
    </row>
    <row r="26" spans="1:3">
      <c r="A26" s="5" t="s">
        <v>3171</v>
      </c>
      <c r="B26" s="6">
        <v>1</v>
      </c>
      <c r="C26" s="6">
        <v>1000</v>
      </c>
    </row>
    <row r="27" spans="1:3">
      <c r="A27" s="5" t="s">
        <v>3094</v>
      </c>
      <c r="B27" s="6">
        <v>1</v>
      </c>
      <c r="C27" s="6">
        <v>1000</v>
      </c>
    </row>
    <row r="28" spans="1:3">
      <c r="A28" s="5" t="s">
        <v>3146</v>
      </c>
      <c r="B28" s="6">
        <v>1</v>
      </c>
      <c r="C28" s="6">
        <v>980</v>
      </c>
    </row>
    <row r="29" spans="1:3">
      <c r="A29" s="5" t="s">
        <v>3615</v>
      </c>
      <c r="B29" s="6">
        <v>5</v>
      </c>
      <c r="C29" s="6">
        <v>940</v>
      </c>
    </row>
    <row r="30" spans="1:3">
      <c r="A30" s="5" t="s">
        <v>3700</v>
      </c>
      <c r="B30" s="6">
        <v>10</v>
      </c>
      <c r="C30" s="6">
        <v>929.34</v>
      </c>
    </row>
    <row r="31" spans="1:3">
      <c r="A31" s="5" t="s">
        <v>3623</v>
      </c>
      <c r="B31" s="6">
        <v>6</v>
      </c>
      <c r="C31" s="6">
        <v>820</v>
      </c>
    </row>
    <row r="32" spans="1:3">
      <c r="A32" s="5" t="s">
        <v>3136</v>
      </c>
      <c r="B32" s="6">
        <v>3</v>
      </c>
      <c r="C32" s="6">
        <v>810</v>
      </c>
    </row>
    <row r="33" spans="1:3">
      <c r="A33" s="5" t="s">
        <v>3186</v>
      </c>
      <c r="B33" s="6">
        <v>1</v>
      </c>
      <c r="C33" s="6">
        <v>800</v>
      </c>
    </row>
    <row r="34" spans="1:3">
      <c r="A34" s="5" t="s">
        <v>3594</v>
      </c>
      <c r="B34" s="6">
        <v>7</v>
      </c>
      <c r="C34" s="6">
        <v>735</v>
      </c>
    </row>
    <row r="35" spans="1:3">
      <c r="A35" s="5" t="s">
        <v>3051</v>
      </c>
      <c r="B35" s="6">
        <v>1</v>
      </c>
      <c r="C35" s="6">
        <v>600</v>
      </c>
    </row>
    <row r="36" spans="1:3">
      <c r="A36" s="5" t="s">
        <v>3166</v>
      </c>
      <c r="B36" s="6">
        <v>5</v>
      </c>
      <c r="C36" s="6">
        <v>584</v>
      </c>
    </row>
    <row r="37" spans="1:3">
      <c r="A37" s="5" t="s">
        <v>3585</v>
      </c>
      <c r="B37" s="6">
        <v>1</v>
      </c>
      <c r="C37" s="6">
        <v>576</v>
      </c>
    </row>
    <row r="38" spans="1:3">
      <c r="A38" s="5" t="s">
        <v>3354</v>
      </c>
      <c r="B38" s="6">
        <v>3</v>
      </c>
      <c r="C38" s="6">
        <v>570</v>
      </c>
    </row>
    <row r="39" spans="1:3">
      <c r="A39" s="5" t="s">
        <v>3461</v>
      </c>
      <c r="B39" s="6">
        <v>6</v>
      </c>
      <c r="C39" s="6">
        <v>560</v>
      </c>
    </row>
    <row r="40" spans="1:3">
      <c r="A40" s="5" t="s">
        <v>3040</v>
      </c>
      <c r="B40" s="6">
        <v>5</v>
      </c>
      <c r="C40" s="6">
        <v>555</v>
      </c>
    </row>
    <row r="41" spans="1:3">
      <c r="A41" s="5" t="s">
        <v>3305</v>
      </c>
      <c r="B41" s="6">
        <v>3</v>
      </c>
      <c r="C41" s="6">
        <v>550</v>
      </c>
    </row>
    <row r="42" spans="1:3">
      <c r="A42" s="5" t="s">
        <v>3314</v>
      </c>
      <c r="B42" s="6">
        <v>9</v>
      </c>
      <c r="C42" s="6">
        <v>540</v>
      </c>
    </row>
    <row r="43" spans="1:3">
      <c r="A43" s="5" t="s">
        <v>3516</v>
      </c>
      <c r="B43" s="6">
        <v>2</v>
      </c>
      <c r="C43" s="6">
        <v>525</v>
      </c>
    </row>
    <row r="44" spans="1:3">
      <c r="A44" s="5" t="s">
        <v>3255</v>
      </c>
      <c r="B44" s="6">
        <v>3</v>
      </c>
      <c r="C44" s="6">
        <v>505</v>
      </c>
    </row>
    <row r="45" spans="1:3">
      <c r="A45" s="5" t="s">
        <v>3188</v>
      </c>
      <c r="B45" s="6">
        <v>5</v>
      </c>
      <c r="C45" s="6">
        <v>500</v>
      </c>
    </row>
    <row r="46" spans="1:3">
      <c r="A46" s="5" t="s">
        <v>3730</v>
      </c>
      <c r="B46" s="6">
        <v>3</v>
      </c>
      <c r="C46" s="6">
        <v>500</v>
      </c>
    </row>
    <row r="47" spans="1:3">
      <c r="A47" s="5" t="s">
        <v>3628</v>
      </c>
      <c r="B47" s="6">
        <v>2</v>
      </c>
      <c r="C47" s="6">
        <v>500</v>
      </c>
    </row>
    <row r="48" spans="1:3">
      <c r="A48" s="5" t="s">
        <v>3200</v>
      </c>
      <c r="B48" s="6">
        <v>1</v>
      </c>
      <c r="C48" s="6">
        <v>500</v>
      </c>
    </row>
    <row r="49" spans="1:3">
      <c r="A49" s="5" t="s">
        <v>3452</v>
      </c>
      <c r="B49" s="6">
        <v>1</v>
      </c>
      <c r="C49" s="6">
        <v>480</v>
      </c>
    </row>
    <row r="50" spans="1:3">
      <c r="A50" s="5" t="s">
        <v>3489</v>
      </c>
      <c r="B50" s="6">
        <v>1</v>
      </c>
      <c r="C50" s="6">
        <v>480</v>
      </c>
    </row>
    <row r="51" spans="1:3">
      <c r="A51" s="5" t="s">
        <v>3533</v>
      </c>
      <c r="B51" s="6">
        <v>9</v>
      </c>
      <c r="C51" s="6">
        <v>475</v>
      </c>
    </row>
    <row r="52" spans="1:3">
      <c r="A52" s="5" t="s">
        <v>3097</v>
      </c>
      <c r="B52" s="6">
        <v>6</v>
      </c>
      <c r="C52" s="6">
        <v>465</v>
      </c>
    </row>
    <row r="53" spans="1:3">
      <c r="A53" s="5" t="s">
        <v>3675</v>
      </c>
      <c r="B53" s="6">
        <v>1</v>
      </c>
      <c r="C53" s="6">
        <v>457.23</v>
      </c>
    </row>
    <row r="54" spans="1:3">
      <c r="A54" s="5" t="s">
        <v>3665</v>
      </c>
      <c r="B54" s="6">
        <v>3</v>
      </c>
      <c r="C54" s="6">
        <v>440</v>
      </c>
    </row>
    <row r="55" spans="1:3">
      <c r="A55" s="5" t="s">
        <v>3669</v>
      </c>
      <c r="B55" s="6">
        <v>7</v>
      </c>
      <c r="C55" s="6">
        <v>430</v>
      </c>
    </row>
    <row r="56" spans="1:3">
      <c r="A56" s="5" t="s">
        <v>3180</v>
      </c>
      <c r="B56" s="6">
        <v>1</v>
      </c>
      <c r="C56" s="6">
        <v>420</v>
      </c>
    </row>
    <row r="57" spans="1:3">
      <c r="A57" s="5" t="s">
        <v>3633</v>
      </c>
      <c r="B57" s="6">
        <v>1</v>
      </c>
      <c r="C57" s="6">
        <v>420</v>
      </c>
    </row>
    <row r="58" spans="1:3">
      <c r="A58" s="5" t="s">
        <v>3207</v>
      </c>
      <c r="B58" s="6">
        <v>3</v>
      </c>
      <c r="C58" s="6">
        <v>415</v>
      </c>
    </row>
    <row r="59" spans="1:3">
      <c r="A59" s="5" t="s">
        <v>3396</v>
      </c>
      <c r="B59" s="6">
        <v>1</v>
      </c>
      <c r="C59" s="6">
        <v>415</v>
      </c>
    </row>
    <row r="60" spans="1:3">
      <c r="A60" s="5" t="s">
        <v>3734</v>
      </c>
      <c r="B60" s="6">
        <v>1</v>
      </c>
      <c r="C60" s="6">
        <v>404</v>
      </c>
    </row>
    <row r="61" spans="1:3">
      <c r="A61" s="5" t="s">
        <v>3430</v>
      </c>
      <c r="B61" s="6">
        <v>3</v>
      </c>
      <c r="C61" s="6">
        <v>400</v>
      </c>
    </row>
    <row r="62" spans="1:3">
      <c r="A62" s="5" t="s">
        <v>3595</v>
      </c>
      <c r="B62" s="6">
        <v>2</v>
      </c>
      <c r="C62" s="6">
        <v>400</v>
      </c>
    </row>
    <row r="63" spans="1:3">
      <c r="A63" s="5" t="s">
        <v>3075</v>
      </c>
      <c r="B63" s="6">
        <v>2</v>
      </c>
      <c r="C63" s="6">
        <v>400</v>
      </c>
    </row>
    <row r="64" spans="1:3">
      <c r="A64" s="5" t="s">
        <v>3194</v>
      </c>
      <c r="B64" s="6">
        <v>1</v>
      </c>
      <c r="C64" s="6">
        <v>400</v>
      </c>
    </row>
    <row r="65" spans="1:3">
      <c r="A65" s="5" t="s">
        <v>3607</v>
      </c>
      <c r="B65" s="6">
        <v>1</v>
      </c>
      <c r="C65" s="6">
        <v>400</v>
      </c>
    </row>
    <row r="66" spans="1:3">
      <c r="A66" s="5" t="s">
        <v>3701</v>
      </c>
      <c r="B66" s="6">
        <v>1</v>
      </c>
      <c r="C66" s="6">
        <v>400</v>
      </c>
    </row>
    <row r="67" spans="1:3">
      <c r="A67" s="5" t="s">
        <v>3087</v>
      </c>
      <c r="B67" s="6">
        <v>2</v>
      </c>
      <c r="C67" s="6">
        <v>375</v>
      </c>
    </row>
    <row r="68" spans="1:3">
      <c r="A68" s="5" t="s">
        <v>3233</v>
      </c>
      <c r="B68" s="6">
        <v>1</v>
      </c>
      <c r="C68" s="6">
        <v>375</v>
      </c>
    </row>
    <row r="69" spans="1:3">
      <c r="A69" s="5" t="s">
        <v>3264</v>
      </c>
      <c r="B69" s="6">
        <v>7</v>
      </c>
      <c r="C69" s="6">
        <v>365</v>
      </c>
    </row>
    <row r="70" spans="1:3">
      <c r="A70" s="5" t="s">
        <v>3279</v>
      </c>
      <c r="B70" s="6">
        <v>1</v>
      </c>
      <c r="C70" s="6">
        <v>360</v>
      </c>
    </row>
    <row r="71" spans="1:3">
      <c r="A71" s="5" t="s">
        <v>3092</v>
      </c>
      <c r="B71" s="6">
        <v>2</v>
      </c>
      <c r="C71" s="6">
        <v>350</v>
      </c>
    </row>
    <row r="72" spans="1:3">
      <c r="A72" s="5" t="s">
        <v>3209</v>
      </c>
      <c r="B72" s="6">
        <v>2</v>
      </c>
      <c r="C72" s="6">
        <v>350</v>
      </c>
    </row>
    <row r="73" spans="1:3">
      <c r="A73" s="5" t="s">
        <v>3181</v>
      </c>
      <c r="B73" s="6">
        <v>1</v>
      </c>
      <c r="C73" s="6">
        <v>350</v>
      </c>
    </row>
    <row r="74" spans="1:3">
      <c r="A74" s="5" t="s">
        <v>3482</v>
      </c>
      <c r="B74" s="6">
        <v>1</v>
      </c>
      <c r="C74" s="6">
        <v>350</v>
      </c>
    </row>
    <row r="75" spans="1:3">
      <c r="A75" s="5" t="s">
        <v>3142</v>
      </c>
      <c r="B75" s="6">
        <v>5</v>
      </c>
      <c r="C75" s="6">
        <v>345</v>
      </c>
    </row>
    <row r="76" spans="1:3">
      <c r="A76" s="5" t="s">
        <v>3680</v>
      </c>
      <c r="B76" s="6">
        <v>4</v>
      </c>
      <c r="C76" s="6">
        <v>340</v>
      </c>
    </row>
    <row r="77" spans="1:3">
      <c r="A77" s="5" t="s">
        <v>3358</v>
      </c>
      <c r="B77" s="6">
        <v>2</v>
      </c>
      <c r="C77" s="6">
        <v>340</v>
      </c>
    </row>
    <row r="78" spans="1:3">
      <c r="A78" s="5" t="s">
        <v>3311</v>
      </c>
      <c r="B78" s="6">
        <v>6</v>
      </c>
      <c r="C78" s="6">
        <v>327.5</v>
      </c>
    </row>
    <row r="79" spans="1:3">
      <c r="A79" s="5" t="s">
        <v>3413</v>
      </c>
      <c r="B79" s="6">
        <v>1</v>
      </c>
      <c r="C79" s="6">
        <v>325.60000000000002</v>
      </c>
    </row>
    <row r="80" spans="1:3">
      <c r="A80" s="5" t="s">
        <v>3055</v>
      </c>
      <c r="B80" s="6">
        <v>4</v>
      </c>
      <c r="C80" s="6">
        <v>325</v>
      </c>
    </row>
    <row r="81" spans="1:3">
      <c r="A81" s="5" t="s">
        <v>3556</v>
      </c>
      <c r="B81" s="6">
        <v>2</v>
      </c>
      <c r="C81" s="6">
        <v>320</v>
      </c>
    </row>
    <row r="82" spans="1:3">
      <c r="A82" s="5" t="s">
        <v>3266</v>
      </c>
      <c r="B82" s="6">
        <v>2</v>
      </c>
      <c r="C82" s="6">
        <v>300</v>
      </c>
    </row>
    <row r="83" spans="1:3">
      <c r="A83" s="5" t="s">
        <v>3569</v>
      </c>
      <c r="B83" s="6">
        <v>2</v>
      </c>
      <c r="C83" s="6">
        <v>300</v>
      </c>
    </row>
    <row r="84" spans="1:3">
      <c r="A84" s="5" t="s">
        <v>3202</v>
      </c>
      <c r="B84" s="6">
        <v>2</v>
      </c>
      <c r="C84" s="6">
        <v>300</v>
      </c>
    </row>
    <row r="85" spans="1:3">
      <c r="A85" s="5" t="s">
        <v>3399</v>
      </c>
      <c r="B85" s="6">
        <v>2</v>
      </c>
      <c r="C85" s="6">
        <v>300</v>
      </c>
    </row>
    <row r="86" spans="1:3">
      <c r="A86" s="5" t="s">
        <v>3286</v>
      </c>
      <c r="B86" s="6">
        <v>1</v>
      </c>
      <c r="C86" s="6">
        <v>300</v>
      </c>
    </row>
    <row r="87" spans="1:3">
      <c r="A87" s="5" t="s">
        <v>3558</v>
      </c>
      <c r="B87" s="6">
        <v>1</v>
      </c>
      <c r="C87" s="6">
        <v>300</v>
      </c>
    </row>
    <row r="88" spans="1:3">
      <c r="A88" s="5" t="s">
        <v>3173</v>
      </c>
      <c r="B88" s="6">
        <v>1</v>
      </c>
      <c r="C88" s="6">
        <v>300</v>
      </c>
    </row>
    <row r="89" spans="1:3">
      <c r="A89" s="5" t="s">
        <v>3222</v>
      </c>
      <c r="B89" s="6">
        <v>1</v>
      </c>
      <c r="C89" s="6">
        <v>300</v>
      </c>
    </row>
    <row r="90" spans="1:3">
      <c r="A90" s="5" t="s">
        <v>3459</v>
      </c>
      <c r="B90" s="6">
        <v>1</v>
      </c>
      <c r="C90" s="6">
        <v>300</v>
      </c>
    </row>
    <row r="91" spans="1:3">
      <c r="A91" s="5" t="s">
        <v>3446</v>
      </c>
      <c r="B91" s="6">
        <v>1</v>
      </c>
      <c r="C91" s="6">
        <v>300</v>
      </c>
    </row>
    <row r="92" spans="1:3">
      <c r="A92" s="5" t="s">
        <v>3729</v>
      </c>
      <c r="B92" s="6">
        <v>1</v>
      </c>
      <c r="C92" s="6">
        <v>300</v>
      </c>
    </row>
    <row r="93" spans="1:3">
      <c r="A93" s="5" t="s">
        <v>3077</v>
      </c>
      <c r="B93" s="6">
        <v>1</v>
      </c>
      <c r="C93" s="6">
        <v>300</v>
      </c>
    </row>
    <row r="94" spans="1:3">
      <c r="A94" s="5" t="s">
        <v>3158</v>
      </c>
      <c r="B94" s="6">
        <v>1</v>
      </c>
      <c r="C94" s="6">
        <v>299</v>
      </c>
    </row>
    <row r="95" spans="1:3">
      <c r="A95" s="5" t="s">
        <v>3504</v>
      </c>
      <c r="B95" s="6">
        <v>3</v>
      </c>
      <c r="C95" s="6">
        <v>290</v>
      </c>
    </row>
    <row r="96" spans="1:3">
      <c r="A96" s="5" t="s">
        <v>3235</v>
      </c>
      <c r="B96" s="6">
        <v>1</v>
      </c>
      <c r="C96" s="6">
        <v>280</v>
      </c>
    </row>
    <row r="97" spans="1:3">
      <c r="A97" s="5" t="s">
        <v>3244</v>
      </c>
      <c r="B97" s="6">
        <v>1</v>
      </c>
      <c r="C97" s="6">
        <v>276</v>
      </c>
    </row>
    <row r="98" spans="1:3">
      <c r="A98" s="5" t="s">
        <v>3322</v>
      </c>
      <c r="B98" s="6">
        <v>1</v>
      </c>
      <c r="C98" s="6">
        <v>275</v>
      </c>
    </row>
    <row r="99" spans="1:3">
      <c r="A99" s="5" t="s">
        <v>3084</v>
      </c>
      <c r="B99" s="6">
        <v>3</v>
      </c>
      <c r="C99" s="6">
        <v>270</v>
      </c>
    </row>
    <row r="100" spans="1:3">
      <c r="A100" s="5" t="s">
        <v>3134</v>
      </c>
      <c r="B100" s="6">
        <v>1</v>
      </c>
      <c r="C100" s="6">
        <v>255</v>
      </c>
    </row>
    <row r="101" spans="1:3">
      <c r="A101" s="5" t="s">
        <v>3245</v>
      </c>
      <c r="B101" s="6">
        <v>3</v>
      </c>
      <c r="C101" s="6">
        <v>250</v>
      </c>
    </row>
    <row r="102" spans="1:3">
      <c r="A102" s="5" t="s">
        <v>3044</v>
      </c>
      <c r="B102" s="6">
        <v>3</v>
      </c>
      <c r="C102" s="6">
        <v>250</v>
      </c>
    </row>
    <row r="103" spans="1:3">
      <c r="A103" s="5" t="s">
        <v>3580</v>
      </c>
      <c r="B103" s="6">
        <v>3</v>
      </c>
      <c r="C103" s="6">
        <v>250</v>
      </c>
    </row>
    <row r="104" spans="1:3">
      <c r="A104" s="5" t="s">
        <v>3252</v>
      </c>
      <c r="B104" s="6">
        <v>3</v>
      </c>
      <c r="C104" s="6">
        <v>250</v>
      </c>
    </row>
    <row r="105" spans="1:3">
      <c r="A105" s="5" t="s">
        <v>3401</v>
      </c>
      <c r="B105" s="6">
        <v>2</v>
      </c>
      <c r="C105" s="6">
        <v>250</v>
      </c>
    </row>
    <row r="106" spans="1:3">
      <c r="A106" s="5" t="s">
        <v>3268</v>
      </c>
      <c r="B106" s="6">
        <v>2</v>
      </c>
      <c r="C106" s="6">
        <v>250</v>
      </c>
    </row>
    <row r="107" spans="1:3">
      <c r="A107" s="5" t="s">
        <v>3362</v>
      </c>
      <c r="B107" s="6">
        <v>2</v>
      </c>
      <c r="C107" s="6">
        <v>250</v>
      </c>
    </row>
    <row r="108" spans="1:3">
      <c r="A108" s="5" t="s">
        <v>3684</v>
      </c>
      <c r="B108" s="6">
        <v>2</v>
      </c>
      <c r="C108" s="6">
        <v>250</v>
      </c>
    </row>
    <row r="109" spans="1:3">
      <c r="A109" s="5" t="s">
        <v>3502</v>
      </c>
      <c r="B109" s="6">
        <v>1</v>
      </c>
      <c r="C109" s="6">
        <v>250</v>
      </c>
    </row>
    <row r="110" spans="1:3">
      <c r="A110" s="5" t="s">
        <v>3532</v>
      </c>
      <c r="B110" s="6">
        <v>1</v>
      </c>
      <c r="C110" s="6">
        <v>250</v>
      </c>
    </row>
    <row r="111" spans="1:3">
      <c r="A111" s="5" t="s">
        <v>3236</v>
      </c>
      <c r="B111" s="6">
        <v>1</v>
      </c>
      <c r="C111" s="6">
        <v>250</v>
      </c>
    </row>
    <row r="112" spans="1:3">
      <c r="A112" s="5" t="s">
        <v>3587</v>
      </c>
      <c r="B112" s="6">
        <v>1</v>
      </c>
      <c r="C112" s="6">
        <v>250</v>
      </c>
    </row>
    <row r="113" spans="1:3">
      <c r="A113" s="5" t="s">
        <v>3368</v>
      </c>
      <c r="B113" s="6">
        <v>1</v>
      </c>
      <c r="C113" s="6">
        <v>250</v>
      </c>
    </row>
    <row r="114" spans="1:3">
      <c r="A114" s="5" t="s">
        <v>3267</v>
      </c>
      <c r="B114" s="6">
        <v>1</v>
      </c>
      <c r="C114" s="6">
        <v>250</v>
      </c>
    </row>
    <row r="115" spans="1:3">
      <c r="A115" s="5" t="s">
        <v>3718</v>
      </c>
      <c r="B115" s="6">
        <v>1</v>
      </c>
      <c r="C115" s="6">
        <v>250</v>
      </c>
    </row>
    <row r="116" spans="1:3">
      <c r="A116" s="5" t="s">
        <v>3485</v>
      </c>
      <c r="B116" s="6">
        <v>1</v>
      </c>
      <c r="C116" s="6">
        <v>250</v>
      </c>
    </row>
    <row r="117" spans="1:3">
      <c r="A117" s="5" t="s">
        <v>3072</v>
      </c>
      <c r="B117" s="6">
        <v>1</v>
      </c>
      <c r="C117" s="6">
        <v>250</v>
      </c>
    </row>
    <row r="118" spans="1:3">
      <c r="A118" s="5" t="s">
        <v>3225</v>
      </c>
      <c r="B118" s="6">
        <v>3</v>
      </c>
      <c r="C118" s="6">
        <v>240</v>
      </c>
    </row>
    <row r="119" spans="1:3">
      <c r="A119" s="5" t="s">
        <v>3371</v>
      </c>
      <c r="B119" s="6">
        <v>2</v>
      </c>
      <c r="C119" s="6">
        <v>240</v>
      </c>
    </row>
    <row r="120" spans="1:3">
      <c r="A120" s="5" t="s">
        <v>3284</v>
      </c>
      <c r="B120" s="6">
        <v>2</v>
      </c>
      <c r="C120" s="6">
        <v>240</v>
      </c>
    </row>
    <row r="121" spans="1:3">
      <c r="A121" s="5" t="s">
        <v>3320</v>
      </c>
      <c r="B121" s="6">
        <v>5</v>
      </c>
      <c r="C121" s="6">
        <v>232</v>
      </c>
    </row>
    <row r="122" spans="1:3">
      <c r="A122" s="5" t="s">
        <v>3522</v>
      </c>
      <c r="B122" s="6">
        <v>2</v>
      </c>
      <c r="C122" s="6">
        <v>230</v>
      </c>
    </row>
    <row r="123" spans="1:3">
      <c r="A123" s="5" t="s">
        <v>3299</v>
      </c>
      <c r="B123" s="6">
        <v>2</v>
      </c>
      <c r="C123" s="6">
        <v>230</v>
      </c>
    </row>
    <row r="124" spans="1:3">
      <c r="A124" s="5" t="s">
        <v>3058</v>
      </c>
      <c r="B124" s="6">
        <v>3</v>
      </c>
      <c r="C124" s="6">
        <v>227</v>
      </c>
    </row>
    <row r="125" spans="1:3">
      <c r="A125" s="5" t="s">
        <v>3630</v>
      </c>
      <c r="B125" s="6">
        <v>3</v>
      </c>
      <c r="C125" s="6">
        <v>225</v>
      </c>
    </row>
    <row r="126" spans="1:3">
      <c r="A126" s="5" t="s">
        <v>3727</v>
      </c>
      <c r="B126" s="6">
        <v>2</v>
      </c>
      <c r="C126" s="6">
        <v>225</v>
      </c>
    </row>
    <row r="127" spans="1:3">
      <c r="A127" s="5" t="s">
        <v>3501</v>
      </c>
      <c r="B127" s="6">
        <v>1</v>
      </c>
      <c r="C127" s="6">
        <v>225</v>
      </c>
    </row>
    <row r="128" spans="1:3">
      <c r="A128" s="5" t="s">
        <v>3428</v>
      </c>
      <c r="B128" s="6">
        <v>1</v>
      </c>
      <c r="C128" s="6">
        <v>220</v>
      </c>
    </row>
    <row r="129" spans="1:3">
      <c r="A129" s="5" t="s">
        <v>3129</v>
      </c>
      <c r="B129" s="6">
        <v>1</v>
      </c>
      <c r="C129" s="6">
        <v>216</v>
      </c>
    </row>
    <row r="130" spans="1:3">
      <c r="A130" s="5" t="s">
        <v>3418</v>
      </c>
      <c r="B130" s="6">
        <v>2</v>
      </c>
      <c r="C130" s="6">
        <v>215</v>
      </c>
    </row>
    <row r="131" spans="1:3">
      <c r="A131" s="5" t="s">
        <v>3053</v>
      </c>
      <c r="B131" s="6">
        <v>2</v>
      </c>
      <c r="C131" s="6">
        <v>215</v>
      </c>
    </row>
    <row r="132" spans="1:3">
      <c r="A132" s="5" t="s">
        <v>3487</v>
      </c>
      <c r="B132" s="6">
        <v>1</v>
      </c>
      <c r="C132" s="6">
        <v>210</v>
      </c>
    </row>
    <row r="133" spans="1:3">
      <c r="A133" s="5" t="s">
        <v>3212</v>
      </c>
      <c r="B133" s="6">
        <v>5</v>
      </c>
      <c r="C133" s="6">
        <v>205</v>
      </c>
    </row>
    <row r="134" spans="1:3">
      <c r="A134" s="5" t="s">
        <v>3546</v>
      </c>
      <c r="B134" s="6">
        <v>2</v>
      </c>
      <c r="C134" s="6">
        <v>205</v>
      </c>
    </row>
    <row r="135" spans="1:3">
      <c r="A135" s="5" t="s">
        <v>3408</v>
      </c>
      <c r="B135" s="6">
        <v>3</v>
      </c>
      <c r="C135" s="6">
        <v>200</v>
      </c>
    </row>
    <row r="136" spans="1:3">
      <c r="A136" s="5" t="s">
        <v>3520</v>
      </c>
      <c r="B136" s="6">
        <v>2</v>
      </c>
      <c r="C136" s="6">
        <v>200</v>
      </c>
    </row>
    <row r="137" spans="1:3">
      <c r="A137" s="5" t="s">
        <v>3426</v>
      </c>
      <c r="B137" s="6">
        <v>2</v>
      </c>
      <c r="C137" s="6">
        <v>200</v>
      </c>
    </row>
    <row r="138" spans="1:3">
      <c r="A138" s="5" t="s">
        <v>3540</v>
      </c>
      <c r="B138" s="6">
        <v>2</v>
      </c>
      <c r="C138" s="6">
        <v>200</v>
      </c>
    </row>
    <row r="139" spans="1:3">
      <c r="A139" s="5" t="s">
        <v>3177</v>
      </c>
      <c r="B139" s="6">
        <v>2</v>
      </c>
      <c r="C139" s="6">
        <v>200</v>
      </c>
    </row>
    <row r="140" spans="1:3">
      <c r="A140" s="5" t="s">
        <v>3282</v>
      </c>
      <c r="B140" s="6">
        <v>2</v>
      </c>
      <c r="C140" s="6">
        <v>200</v>
      </c>
    </row>
    <row r="141" spans="1:3">
      <c r="A141" s="5" t="s">
        <v>3600</v>
      </c>
      <c r="B141" s="6">
        <v>2</v>
      </c>
      <c r="C141" s="6">
        <v>200</v>
      </c>
    </row>
    <row r="142" spans="1:3">
      <c r="A142" s="5" t="s">
        <v>3477</v>
      </c>
      <c r="B142" s="6">
        <v>2</v>
      </c>
      <c r="C142" s="6">
        <v>200</v>
      </c>
    </row>
    <row r="143" spans="1:3">
      <c r="A143" s="5" t="s">
        <v>3303</v>
      </c>
      <c r="B143" s="6">
        <v>2</v>
      </c>
      <c r="C143" s="6">
        <v>200</v>
      </c>
    </row>
    <row r="144" spans="1:3">
      <c r="A144" s="5" t="s">
        <v>3439</v>
      </c>
      <c r="B144" s="6">
        <v>1</v>
      </c>
      <c r="C144" s="6">
        <v>200</v>
      </c>
    </row>
    <row r="145" spans="1:3">
      <c r="A145" s="5" t="s">
        <v>3387</v>
      </c>
      <c r="B145" s="6">
        <v>1</v>
      </c>
      <c r="C145" s="6">
        <v>200</v>
      </c>
    </row>
    <row r="146" spans="1:3">
      <c r="A146" s="5" t="s">
        <v>3571</v>
      </c>
      <c r="B146" s="6">
        <v>1</v>
      </c>
      <c r="C146" s="6">
        <v>200</v>
      </c>
    </row>
    <row r="147" spans="1:3">
      <c r="A147" s="5" t="s">
        <v>3549</v>
      </c>
      <c r="B147" s="6">
        <v>1</v>
      </c>
      <c r="C147" s="6">
        <v>200</v>
      </c>
    </row>
    <row r="148" spans="1:3">
      <c r="A148" s="5" t="s">
        <v>3601</v>
      </c>
      <c r="B148" s="6">
        <v>1</v>
      </c>
      <c r="C148" s="6">
        <v>200</v>
      </c>
    </row>
    <row r="149" spans="1:3">
      <c r="A149" s="5" t="s">
        <v>3553</v>
      </c>
      <c r="B149" s="6">
        <v>1</v>
      </c>
      <c r="C149" s="6">
        <v>200</v>
      </c>
    </row>
    <row r="150" spans="1:3">
      <c r="A150" s="5" t="s">
        <v>3699</v>
      </c>
      <c r="B150" s="6">
        <v>1</v>
      </c>
      <c r="C150" s="6">
        <v>200</v>
      </c>
    </row>
    <row r="151" spans="1:3">
      <c r="A151" s="5" t="s">
        <v>3148</v>
      </c>
      <c r="B151" s="6">
        <v>1</v>
      </c>
      <c r="C151" s="6">
        <v>200</v>
      </c>
    </row>
    <row r="152" spans="1:3">
      <c r="A152" s="5" t="s">
        <v>3101</v>
      </c>
      <c r="B152" s="6">
        <v>1</v>
      </c>
      <c r="C152" s="6">
        <v>200</v>
      </c>
    </row>
    <row r="153" spans="1:3">
      <c r="A153" s="5" t="s">
        <v>3389</v>
      </c>
      <c r="B153" s="6">
        <v>1</v>
      </c>
      <c r="C153" s="6">
        <v>200</v>
      </c>
    </row>
    <row r="154" spans="1:3">
      <c r="A154" s="5" t="s">
        <v>3658</v>
      </c>
      <c r="B154" s="6">
        <v>1</v>
      </c>
      <c r="C154" s="6">
        <v>200</v>
      </c>
    </row>
    <row r="155" spans="1:3">
      <c r="A155" s="5" t="s">
        <v>3743</v>
      </c>
      <c r="B155" s="6">
        <v>1</v>
      </c>
      <c r="C155" s="6">
        <v>200</v>
      </c>
    </row>
    <row r="156" spans="1:3">
      <c r="A156" s="5" t="s">
        <v>3493</v>
      </c>
      <c r="B156" s="6">
        <v>1</v>
      </c>
      <c r="C156" s="6">
        <v>200</v>
      </c>
    </row>
    <row r="157" spans="1:3">
      <c r="A157" s="5" t="s">
        <v>3099</v>
      </c>
      <c r="B157" s="6">
        <v>1</v>
      </c>
      <c r="C157" s="6">
        <v>200</v>
      </c>
    </row>
    <row r="158" spans="1:3">
      <c r="A158" s="5" t="s">
        <v>3527</v>
      </c>
      <c r="B158" s="6">
        <v>1</v>
      </c>
      <c r="C158" s="6">
        <v>197</v>
      </c>
    </row>
    <row r="159" spans="1:3">
      <c r="A159" s="5" t="s">
        <v>3411</v>
      </c>
      <c r="B159" s="6">
        <v>1</v>
      </c>
      <c r="C159" s="6">
        <v>189</v>
      </c>
    </row>
    <row r="160" spans="1:3">
      <c r="A160" s="5" t="s">
        <v>3339</v>
      </c>
      <c r="B160" s="6">
        <v>2</v>
      </c>
      <c r="C160" s="6">
        <v>185</v>
      </c>
    </row>
    <row r="161" spans="1:3">
      <c r="A161" s="5" t="s">
        <v>3475</v>
      </c>
      <c r="B161" s="6">
        <v>3</v>
      </c>
      <c r="C161" s="6">
        <v>180</v>
      </c>
    </row>
    <row r="162" spans="1:3">
      <c r="A162" s="5" t="s">
        <v>3544</v>
      </c>
      <c r="B162" s="6">
        <v>3</v>
      </c>
      <c r="C162" s="6">
        <v>180</v>
      </c>
    </row>
    <row r="163" spans="1:3">
      <c r="A163" s="5" t="s">
        <v>3620</v>
      </c>
      <c r="B163" s="6">
        <v>3</v>
      </c>
      <c r="C163" s="6">
        <v>180</v>
      </c>
    </row>
    <row r="164" spans="1:3">
      <c r="A164" s="5" t="s">
        <v>3672</v>
      </c>
      <c r="B164" s="6">
        <v>2</v>
      </c>
      <c r="C164" s="6">
        <v>180</v>
      </c>
    </row>
    <row r="165" spans="1:3">
      <c r="A165" s="5" t="s">
        <v>3091</v>
      </c>
      <c r="B165" s="6">
        <v>1</v>
      </c>
      <c r="C165" s="6">
        <v>180</v>
      </c>
    </row>
    <row r="166" spans="1:3">
      <c r="A166" s="5" t="s">
        <v>3271</v>
      </c>
      <c r="B166" s="6">
        <v>1</v>
      </c>
      <c r="C166" s="6">
        <v>180</v>
      </c>
    </row>
    <row r="167" spans="1:3">
      <c r="A167" s="5" t="s">
        <v>3205</v>
      </c>
      <c r="B167" s="6">
        <v>1</v>
      </c>
      <c r="C167" s="6">
        <v>180</v>
      </c>
    </row>
    <row r="168" spans="1:3">
      <c r="A168" s="5" t="s">
        <v>3507</v>
      </c>
      <c r="B168" s="6">
        <v>1</v>
      </c>
      <c r="C168" s="6">
        <v>178</v>
      </c>
    </row>
    <row r="169" spans="1:3">
      <c r="A169" s="5" t="s">
        <v>3443</v>
      </c>
      <c r="B169" s="6">
        <v>3</v>
      </c>
      <c r="C169" s="6">
        <v>177</v>
      </c>
    </row>
    <row r="170" spans="1:3">
      <c r="A170" s="5" t="s">
        <v>3648</v>
      </c>
      <c r="B170" s="6">
        <v>3</v>
      </c>
      <c r="C170" s="6">
        <v>175</v>
      </c>
    </row>
    <row r="171" spans="1:3">
      <c r="A171" s="5" t="s">
        <v>3328</v>
      </c>
      <c r="B171" s="6">
        <v>3</v>
      </c>
      <c r="C171" s="6">
        <v>175</v>
      </c>
    </row>
    <row r="172" spans="1:3">
      <c r="A172" s="5" t="s">
        <v>3247</v>
      </c>
      <c r="B172" s="6">
        <v>1</v>
      </c>
      <c r="C172" s="6">
        <v>175</v>
      </c>
    </row>
    <row r="173" spans="1:3">
      <c r="A173" s="5" t="s">
        <v>3306</v>
      </c>
      <c r="B173" s="6">
        <v>1</v>
      </c>
      <c r="C173" s="6">
        <v>175</v>
      </c>
    </row>
    <row r="174" spans="1:3">
      <c r="A174" s="5" t="s">
        <v>3046</v>
      </c>
      <c r="B174" s="6">
        <v>3</v>
      </c>
      <c r="C174" s="6">
        <v>170</v>
      </c>
    </row>
    <row r="175" spans="1:3">
      <c r="A175" s="5" t="s">
        <v>3103</v>
      </c>
      <c r="B175" s="6">
        <v>1</v>
      </c>
      <c r="C175" s="6">
        <v>170</v>
      </c>
    </row>
    <row r="176" spans="1:3">
      <c r="A176" s="5" t="s">
        <v>3550</v>
      </c>
      <c r="B176" s="6">
        <v>1</v>
      </c>
      <c r="C176" s="6">
        <v>170</v>
      </c>
    </row>
    <row r="177" spans="1:3">
      <c r="A177" s="5" t="s">
        <v>3078</v>
      </c>
      <c r="B177" s="6">
        <v>3</v>
      </c>
      <c r="C177" s="6">
        <v>165</v>
      </c>
    </row>
    <row r="178" spans="1:3">
      <c r="A178" s="5" t="s">
        <v>3542</v>
      </c>
      <c r="B178" s="6">
        <v>1</v>
      </c>
      <c r="C178" s="6">
        <v>162.47999999999999</v>
      </c>
    </row>
    <row r="179" spans="1:3">
      <c r="A179" s="5" t="s">
        <v>3499</v>
      </c>
      <c r="B179" s="6">
        <v>2</v>
      </c>
      <c r="C179" s="6">
        <v>160</v>
      </c>
    </row>
    <row r="180" spans="1:3">
      <c r="A180" s="5" t="s">
        <v>3552</v>
      </c>
      <c r="B180" s="6">
        <v>1</v>
      </c>
      <c r="C180" s="6">
        <v>157</v>
      </c>
    </row>
    <row r="181" spans="1:3">
      <c r="A181" s="5" t="s">
        <v>3336</v>
      </c>
      <c r="B181" s="6">
        <v>3</v>
      </c>
      <c r="C181" s="6">
        <v>155</v>
      </c>
    </row>
    <row r="182" spans="1:3">
      <c r="A182" s="5" t="s">
        <v>3056</v>
      </c>
      <c r="B182" s="6">
        <v>3</v>
      </c>
      <c r="C182" s="6">
        <v>150</v>
      </c>
    </row>
    <row r="183" spans="1:3">
      <c r="A183" s="5" t="s">
        <v>3231</v>
      </c>
      <c r="B183" s="6">
        <v>3</v>
      </c>
      <c r="C183" s="6">
        <v>150</v>
      </c>
    </row>
    <row r="184" spans="1:3">
      <c r="A184" s="5" t="s">
        <v>3327</v>
      </c>
      <c r="B184" s="6">
        <v>3</v>
      </c>
      <c r="C184" s="6">
        <v>150</v>
      </c>
    </row>
    <row r="185" spans="1:3">
      <c r="A185" s="5" t="s">
        <v>3257</v>
      </c>
      <c r="B185" s="6">
        <v>2</v>
      </c>
      <c r="C185" s="6">
        <v>150</v>
      </c>
    </row>
    <row r="186" spans="1:3">
      <c r="A186" s="5" t="s">
        <v>3705</v>
      </c>
      <c r="B186" s="6">
        <v>2</v>
      </c>
      <c r="C186" s="6">
        <v>150</v>
      </c>
    </row>
    <row r="187" spans="1:3">
      <c r="A187" s="5" t="s">
        <v>3535</v>
      </c>
      <c r="B187" s="6">
        <v>2</v>
      </c>
      <c r="C187" s="6">
        <v>150</v>
      </c>
    </row>
    <row r="188" spans="1:3">
      <c r="A188" s="5" t="s">
        <v>3386</v>
      </c>
      <c r="B188" s="6">
        <v>2</v>
      </c>
      <c r="C188" s="6">
        <v>150</v>
      </c>
    </row>
    <row r="189" spans="1:3">
      <c r="A189" s="5" t="s">
        <v>3622</v>
      </c>
      <c r="B189" s="6">
        <v>2</v>
      </c>
      <c r="C189" s="6">
        <v>150</v>
      </c>
    </row>
    <row r="190" spans="1:3">
      <c r="A190" s="5" t="s">
        <v>3289</v>
      </c>
      <c r="B190" s="6">
        <v>2</v>
      </c>
      <c r="C190" s="6">
        <v>150</v>
      </c>
    </row>
    <row r="191" spans="1:3">
      <c r="A191" s="5" t="s">
        <v>3642</v>
      </c>
      <c r="B191" s="6">
        <v>2</v>
      </c>
      <c r="C191" s="6">
        <v>150</v>
      </c>
    </row>
    <row r="192" spans="1:3">
      <c r="A192" s="5" t="s">
        <v>3318</v>
      </c>
      <c r="B192" s="6">
        <v>2</v>
      </c>
      <c r="C192" s="6">
        <v>150</v>
      </c>
    </row>
    <row r="193" spans="1:3">
      <c r="A193" s="5" t="s">
        <v>3624</v>
      </c>
      <c r="B193" s="6">
        <v>2</v>
      </c>
      <c r="C193" s="6">
        <v>150</v>
      </c>
    </row>
    <row r="194" spans="1:3">
      <c r="A194" s="5" t="s">
        <v>3745</v>
      </c>
      <c r="B194" s="6">
        <v>2</v>
      </c>
      <c r="C194" s="6">
        <v>150</v>
      </c>
    </row>
    <row r="195" spans="1:3">
      <c r="A195" s="5" t="s">
        <v>3655</v>
      </c>
      <c r="B195" s="6">
        <v>2</v>
      </c>
      <c r="C195" s="6">
        <v>150</v>
      </c>
    </row>
    <row r="196" spans="1:3">
      <c r="A196" s="5" t="s">
        <v>3561</v>
      </c>
      <c r="B196" s="6">
        <v>2</v>
      </c>
      <c r="C196" s="6">
        <v>150</v>
      </c>
    </row>
    <row r="197" spans="1:3">
      <c r="A197" s="5" t="s">
        <v>3721</v>
      </c>
      <c r="B197" s="6">
        <v>2</v>
      </c>
      <c r="C197" s="6">
        <v>150</v>
      </c>
    </row>
    <row r="198" spans="1:3">
      <c r="A198" s="5" t="s">
        <v>3341</v>
      </c>
      <c r="B198" s="6">
        <v>2</v>
      </c>
      <c r="C198" s="6">
        <v>150</v>
      </c>
    </row>
    <row r="199" spans="1:3">
      <c r="A199" s="5" t="s">
        <v>3646</v>
      </c>
      <c r="B199" s="6">
        <v>2</v>
      </c>
      <c r="C199" s="6">
        <v>150</v>
      </c>
    </row>
    <row r="200" spans="1:3">
      <c r="A200" s="5" t="s">
        <v>3706</v>
      </c>
      <c r="B200" s="6">
        <v>2</v>
      </c>
      <c r="C200" s="6">
        <v>150</v>
      </c>
    </row>
    <row r="201" spans="1:3">
      <c r="A201" s="5" t="s">
        <v>3598</v>
      </c>
      <c r="B201" s="6">
        <v>1</v>
      </c>
      <c r="C201" s="6">
        <v>150</v>
      </c>
    </row>
    <row r="202" spans="1:3">
      <c r="A202" s="5" t="s">
        <v>3152</v>
      </c>
      <c r="B202" s="6">
        <v>1</v>
      </c>
      <c r="C202" s="6">
        <v>150</v>
      </c>
    </row>
    <row r="203" spans="1:3">
      <c r="A203" s="5" t="s">
        <v>3317</v>
      </c>
      <c r="B203" s="6">
        <v>1</v>
      </c>
      <c r="C203" s="6">
        <v>150</v>
      </c>
    </row>
    <row r="204" spans="1:3">
      <c r="A204" s="5" t="s">
        <v>3105</v>
      </c>
      <c r="B204" s="6">
        <v>1</v>
      </c>
      <c r="C204" s="6">
        <v>150</v>
      </c>
    </row>
    <row r="205" spans="1:3">
      <c r="A205" s="5" t="s">
        <v>3568</v>
      </c>
      <c r="B205" s="6">
        <v>1</v>
      </c>
      <c r="C205" s="6">
        <v>150</v>
      </c>
    </row>
    <row r="206" spans="1:3">
      <c r="A206" s="5" t="s">
        <v>3682</v>
      </c>
      <c r="B206" s="6">
        <v>1</v>
      </c>
      <c r="C206" s="6">
        <v>150</v>
      </c>
    </row>
    <row r="207" spans="1:3">
      <c r="A207" s="5" t="s">
        <v>3249</v>
      </c>
      <c r="B207" s="6">
        <v>1</v>
      </c>
      <c r="C207" s="6">
        <v>150</v>
      </c>
    </row>
    <row r="208" spans="1:3">
      <c r="A208" s="5" t="s">
        <v>3410</v>
      </c>
      <c r="B208" s="6">
        <v>1</v>
      </c>
      <c r="C208" s="6">
        <v>150</v>
      </c>
    </row>
    <row r="209" spans="1:3">
      <c r="A209" s="5" t="s">
        <v>3183</v>
      </c>
      <c r="B209" s="6">
        <v>1</v>
      </c>
      <c r="C209" s="6">
        <v>150</v>
      </c>
    </row>
    <row r="210" spans="1:3">
      <c r="A210" s="5" t="s">
        <v>3155</v>
      </c>
      <c r="B210" s="6">
        <v>1</v>
      </c>
      <c r="C210" s="6">
        <v>150</v>
      </c>
    </row>
    <row r="211" spans="1:3">
      <c r="A211" s="5" t="s">
        <v>3068</v>
      </c>
      <c r="B211" s="6">
        <v>1</v>
      </c>
      <c r="C211" s="6">
        <v>150</v>
      </c>
    </row>
    <row r="212" spans="1:3">
      <c r="A212" s="5" t="s">
        <v>3529</v>
      </c>
      <c r="B212" s="6">
        <v>1</v>
      </c>
      <c r="C212" s="6">
        <v>150</v>
      </c>
    </row>
    <row r="213" spans="1:3">
      <c r="A213" s="5" t="s">
        <v>3711</v>
      </c>
      <c r="B213" s="6">
        <v>1</v>
      </c>
      <c r="C213" s="6">
        <v>150</v>
      </c>
    </row>
    <row r="214" spans="1:3">
      <c r="A214" s="5" t="s">
        <v>3107</v>
      </c>
      <c r="B214" s="6">
        <v>1</v>
      </c>
      <c r="C214" s="6">
        <v>150</v>
      </c>
    </row>
    <row r="215" spans="1:3">
      <c r="A215" s="5" t="s">
        <v>3350</v>
      </c>
      <c r="B215" s="6">
        <v>1</v>
      </c>
      <c r="C215" s="6">
        <v>150</v>
      </c>
    </row>
    <row r="216" spans="1:3">
      <c r="A216" s="5" t="s">
        <v>3346</v>
      </c>
      <c r="B216" s="6">
        <v>1</v>
      </c>
      <c r="C216" s="6">
        <v>150</v>
      </c>
    </row>
    <row r="217" spans="1:3">
      <c r="A217" s="5" t="s">
        <v>3182</v>
      </c>
      <c r="B217" s="6">
        <v>1</v>
      </c>
      <c r="C217" s="6">
        <v>150</v>
      </c>
    </row>
    <row r="218" spans="1:3">
      <c r="A218" s="5" t="s">
        <v>3693</v>
      </c>
      <c r="B218" s="6">
        <v>1</v>
      </c>
      <c r="C218" s="6">
        <v>150</v>
      </c>
    </row>
    <row r="219" spans="1:3">
      <c r="A219" s="5" t="s">
        <v>3697</v>
      </c>
      <c r="B219" s="6">
        <v>1</v>
      </c>
      <c r="C219" s="6">
        <v>150</v>
      </c>
    </row>
    <row r="220" spans="1:3">
      <c r="A220" s="5" t="s">
        <v>3334</v>
      </c>
      <c r="B220" s="6">
        <v>1</v>
      </c>
      <c r="C220" s="6">
        <v>150</v>
      </c>
    </row>
    <row r="221" spans="1:3">
      <c r="A221" s="5" t="s">
        <v>3559</v>
      </c>
      <c r="B221" s="6">
        <v>1</v>
      </c>
      <c r="C221" s="6">
        <v>150</v>
      </c>
    </row>
    <row r="222" spans="1:3">
      <c r="A222" s="5" t="s">
        <v>3423</v>
      </c>
      <c r="B222" s="6">
        <v>1</v>
      </c>
      <c r="C222" s="6">
        <v>150</v>
      </c>
    </row>
    <row r="223" spans="1:3">
      <c r="A223" s="5" t="s">
        <v>3193</v>
      </c>
      <c r="B223" s="6">
        <v>1</v>
      </c>
      <c r="C223" s="6">
        <v>150</v>
      </c>
    </row>
    <row r="224" spans="1:3">
      <c r="A224" s="5" t="s">
        <v>3340</v>
      </c>
      <c r="B224" s="6">
        <v>2</v>
      </c>
      <c r="C224" s="6">
        <v>148</v>
      </c>
    </row>
    <row r="225" spans="1:3">
      <c r="A225" s="5" t="s">
        <v>3735</v>
      </c>
      <c r="B225" s="6">
        <v>3</v>
      </c>
      <c r="C225" s="6">
        <v>140</v>
      </c>
    </row>
    <row r="226" spans="1:3">
      <c r="A226" s="5" t="s">
        <v>3494</v>
      </c>
      <c r="B226" s="6">
        <v>2</v>
      </c>
      <c r="C226" s="6">
        <v>140</v>
      </c>
    </row>
    <row r="227" spans="1:3">
      <c r="A227" s="5" t="s">
        <v>3153</v>
      </c>
      <c r="B227" s="6">
        <v>1</v>
      </c>
      <c r="C227" s="6">
        <v>140</v>
      </c>
    </row>
    <row r="228" spans="1:3">
      <c r="A228" s="5" t="s">
        <v>3737</v>
      </c>
      <c r="B228" s="6">
        <v>2</v>
      </c>
      <c r="C228" s="6">
        <v>135</v>
      </c>
    </row>
    <row r="229" spans="1:3">
      <c r="A229" s="5" t="s">
        <v>3141</v>
      </c>
      <c r="B229" s="6">
        <v>3</v>
      </c>
      <c r="C229" s="6">
        <v>130</v>
      </c>
    </row>
    <row r="230" spans="1:3">
      <c r="A230" s="5" t="s">
        <v>3390</v>
      </c>
      <c r="B230" s="6">
        <v>2</v>
      </c>
      <c r="C230" s="6">
        <v>130</v>
      </c>
    </row>
    <row r="231" spans="1:3">
      <c r="A231" s="5" t="s">
        <v>3589</v>
      </c>
      <c r="B231" s="6">
        <v>1</v>
      </c>
      <c r="C231" s="6">
        <v>130</v>
      </c>
    </row>
    <row r="232" spans="1:3">
      <c r="A232" s="5" t="s">
        <v>3692</v>
      </c>
      <c r="B232" s="6">
        <v>5</v>
      </c>
      <c r="C232" s="6">
        <v>125</v>
      </c>
    </row>
    <row r="233" spans="1:3">
      <c r="A233" s="5" t="s">
        <v>3455</v>
      </c>
      <c r="B233" s="6">
        <v>2</v>
      </c>
      <c r="C233" s="6">
        <v>125</v>
      </c>
    </row>
    <row r="234" spans="1:3">
      <c r="A234" s="5" t="s">
        <v>3157</v>
      </c>
      <c r="B234" s="6">
        <v>2</v>
      </c>
      <c r="C234" s="6">
        <v>125</v>
      </c>
    </row>
    <row r="235" spans="1:3">
      <c r="A235" s="5" t="s">
        <v>3470</v>
      </c>
      <c r="B235" s="6">
        <v>1</v>
      </c>
      <c r="C235" s="6">
        <v>125</v>
      </c>
    </row>
    <row r="236" spans="1:3">
      <c r="A236" s="5" t="s">
        <v>3330</v>
      </c>
      <c r="B236" s="6">
        <v>1</v>
      </c>
      <c r="C236" s="6">
        <v>125</v>
      </c>
    </row>
    <row r="237" spans="1:3">
      <c r="A237" s="5" t="s">
        <v>3537</v>
      </c>
      <c r="B237" s="6">
        <v>1</v>
      </c>
      <c r="C237" s="6">
        <v>125</v>
      </c>
    </row>
    <row r="238" spans="1:3">
      <c r="A238" s="5" t="s">
        <v>3686</v>
      </c>
      <c r="B238" s="6">
        <v>1</v>
      </c>
      <c r="C238" s="6">
        <v>125</v>
      </c>
    </row>
    <row r="239" spans="1:3">
      <c r="A239" s="5" t="s">
        <v>3147</v>
      </c>
      <c r="B239" s="6">
        <v>1</v>
      </c>
      <c r="C239" s="6">
        <v>125</v>
      </c>
    </row>
    <row r="240" spans="1:3">
      <c r="A240" s="5" t="s">
        <v>3301</v>
      </c>
      <c r="B240" s="6">
        <v>1</v>
      </c>
      <c r="C240" s="6">
        <v>125</v>
      </c>
    </row>
    <row r="241" spans="1:3">
      <c r="A241" s="5" t="s">
        <v>3258</v>
      </c>
      <c r="B241" s="6">
        <v>1</v>
      </c>
      <c r="C241" s="6">
        <v>125</v>
      </c>
    </row>
    <row r="242" spans="1:3">
      <c r="A242" s="5" t="s">
        <v>3332</v>
      </c>
      <c r="B242" s="6">
        <v>1</v>
      </c>
      <c r="C242" s="6">
        <v>125</v>
      </c>
    </row>
    <row r="243" spans="1:3">
      <c r="A243" s="5" t="s">
        <v>3484</v>
      </c>
      <c r="B243" s="6">
        <v>1</v>
      </c>
      <c r="C243" s="6">
        <v>125</v>
      </c>
    </row>
    <row r="244" spans="1:3">
      <c r="A244" s="5" t="s">
        <v>3741</v>
      </c>
      <c r="B244" s="6">
        <v>1</v>
      </c>
      <c r="C244" s="6">
        <v>125</v>
      </c>
    </row>
    <row r="245" spans="1:3">
      <c r="A245" s="5" t="s">
        <v>3703</v>
      </c>
      <c r="B245" s="6">
        <v>1</v>
      </c>
      <c r="C245" s="6">
        <v>125</v>
      </c>
    </row>
    <row r="246" spans="1:3">
      <c r="A246" s="5" t="s">
        <v>3191</v>
      </c>
      <c r="B246" s="6">
        <v>3</v>
      </c>
      <c r="C246" s="6">
        <v>120</v>
      </c>
    </row>
    <row r="247" spans="1:3">
      <c r="A247" s="5" t="s">
        <v>3671</v>
      </c>
      <c r="B247" s="6">
        <v>2</v>
      </c>
      <c r="C247" s="6">
        <v>120</v>
      </c>
    </row>
    <row r="248" spans="1:3">
      <c r="A248" s="5" t="s">
        <v>3048</v>
      </c>
      <c r="B248" s="6">
        <v>2</v>
      </c>
      <c r="C248" s="6">
        <v>120</v>
      </c>
    </row>
    <row r="249" spans="1:3">
      <c r="A249" s="5" t="s">
        <v>3198</v>
      </c>
      <c r="B249" s="6">
        <v>2</v>
      </c>
      <c r="C249" s="6">
        <v>120</v>
      </c>
    </row>
    <row r="250" spans="1:3">
      <c r="A250" s="5" t="s">
        <v>3210</v>
      </c>
      <c r="B250" s="6">
        <v>1</v>
      </c>
      <c r="C250" s="6">
        <v>120</v>
      </c>
    </row>
    <row r="251" spans="1:3">
      <c r="A251" s="5" t="s">
        <v>3689</v>
      </c>
      <c r="B251" s="6">
        <v>1</v>
      </c>
      <c r="C251" s="6">
        <v>120</v>
      </c>
    </row>
    <row r="252" spans="1:3">
      <c r="A252" s="5" t="s">
        <v>3441</v>
      </c>
      <c r="B252" s="6">
        <v>2</v>
      </c>
      <c r="C252" s="6">
        <v>115</v>
      </c>
    </row>
    <row r="253" spans="1:3">
      <c r="A253" s="5" t="s">
        <v>3463</v>
      </c>
      <c r="B253" s="6">
        <v>1</v>
      </c>
      <c r="C253" s="6">
        <v>115</v>
      </c>
    </row>
    <row r="254" spans="1:3">
      <c r="A254" s="5" t="s">
        <v>3149</v>
      </c>
      <c r="B254" s="6">
        <v>1</v>
      </c>
      <c r="C254" s="6">
        <v>110</v>
      </c>
    </row>
    <row r="255" spans="1:3">
      <c r="A255" s="5" t="s">
        <v>3082</v>
      </c>
      <c r="B255" s="6">
        <v>1</v>
      </c>
      <c r="C255" s="6">
        <v>110</v>
      </c>
    </row>
    <row r="256" spans="1:3">
      <c r="A256" s="5" t="s">
        <v>3178</v>
      </c>
      <c r="B256" s="6">
        <v>1</v>
      </c>
      <c r="C256" s="6">
        <v>110</v>
      </c>
    </row>
    <row r="257" spans="1:3">
      <c r="A257" s="5" t="s">
        <v>3169</v>
      </c>
      <c r="B257" s="6">
        <v>1</v>
      </c>
      <c r="C257" s="6">
        <v>104</v>
      </c>
    </row>
    <row r="258" spans="1:3">
      <c r="A258" s="5" t="s">
        <v>3065</v>
      </c>
      <c r="B258" s="6">
        <v>4</v>
      </c>
      <c r="C258" s="6">
        <v>100</v>
      </c>
    </row>
    <row r="259" spans="1:3">
      <c r="A259" s="5" t="s">
        <v>3515</v>
      </c>
      <c r="B259" s="6">
        <v>3</v>
      </c>
      <c r="C259" s="6">
        <v>100</v>
      </c>
    </row>
    <row r="260" spans="1:3">
      <c r="A260" s="5" t="s">
        <v>3281</v>
      </c>
      <c r="B260" s="6">
        <v>3</v>
      </c>
      <c r="C260" s="6">
        <v>100</v>
      </c>
    </row>
    <row r="261" spans="1:3">
      <c r="A261" s="5" t="s">
        <v>3360</v>
      </c>
      <c r="B261" s="6">
        <v>2</v>
      </c>
      <c r="C261" s="6">
        <v>100</v>
      </c>
    </row>
    <row r="262" spans="1:3">
      <c r="A262" s="5" t="s">
        <v>3275</v>
      </c>
      <c r="B262" s="6">
        <v>2</v>
      </c>
      <c r="C262" s="6">
        <v>100</v>
      </c>
    </row>
    <row r="263" spans="1:3">
      <c r="A263" s="5" t="s">
        <v>3437</v>
      </c>
      <c r="B263" s="6">
        <v>2</v>
      </c>
      <c r="C263" s="6">
        <v>100</v>
      </c>
    </row>
    <row r="264" spans="1:3">
      <c r="A264" s="5" t="s">
        <v>3429</v>
      </c>
      <c r="B264" s="6">
        <v>2</v>
      </c>
      <c r="C264" s="6">
        <v>100</v>
      </c>
    </row>
    <row r="265" spans="1:3">
      <c r="A265" s="5" t="s">
        <v>3656</v>
      </c>
      <c r="B265" s="6">
        <v>2</v>
      </c>
      <c r="C265" s="6">
        <v>100</v>
      </c>
    </row>
    <row r="266" spans="1:3">
      <c r="A266" s="5" t="s">
        <v>3119</v>
      </c>
      <c r="B266" s="6">
        <v>2</v>
      </c>
      <c r="C266" s="6">
        <v>100</v>
      </c>
    </row>
    <row r="267" spans="1:3">
      <c r="A267" s="5" t="s">
        <v>3296</v>
      </c>
      <c r="B267" s="6">
        <v>2</v>
      </c>
      <c r="C267" s="6">
        <v>100</v>
      </c>
    </row>
    <row r="268" spans="1:3">
      <c r="A268" s="5" t="s">
        <v>3456</v>
      </c>
      <c r="B268" s="6">
        <v>2</v>
      </c>
      <c r="C268" s="6">
        <v>100</v>
      </c>
    </row>
    <row r="269" spans="1:3">
      <c r="A269" s="5" t="s">
        <v>3349</v>
      </c>
      <c r="B269" s="6">
        <v>2</v>
      </c>
      <c r="C269" s="6">
        <v>100</v>
      </c>
    </row>
    <row r="270" spans="1:3">
      <c r="A270" s="5" t="s">
        <v>3220</v>
      </c>
      <c r="B270" s="6">
        <v>2</v>
      </c>
      <c r="C270" s="6">
        <v>100</v>
      </c>
    </row>
    <row r="271" spans="1:3">
      <c r="A271" s="5" t="s">
        <v>3678</v>
      </c>
      <c r="B271" s="6">
        <v>2</v>
      </c>
      <c r="C271" s="6">
        <v>100</v>
      </c>
    </row>
    <row r="272" spans="1:3">
      <c r="A272" s="5" t="s">
        <v>3708</v>
      </c>
      <c r="B272" s="6">
        <v>2</v>
      </c>
      <c r="C272" s="6">
        <v>100</v>
      </c>
    </row>
    <row r="273" spans="1:3">
      <c r="A273" s="5" t="s">
        <v>3696</v>
      </c>
      <c r="B273" s="6">
        <v>2</v>
      </c>
      <c r="C273" s="6">
        <v>100</v>
      </c>
    </row>
    <row r="274" spans="1:3">
      <c r="A274" s="5" t="s">
        <v>3442</v>
      </c>
      <c r="B274" s="6">
        <v>1</v>
      </c>
      <c r="C274" s="6">
        <v>100</v>
      </c>
    </row>
    <row r="275" spans="1:3">
      <c r="A275" s="5" t="s">
        <v>3310</v>
      </c>
      <c r="B275" s="6">
        <v>1</v>
      </c>
      <c r="C275" s="6">
        <v>100</v>
      </c>
    </row>
    <row r="276" spans="1:3">
      <c r="A276" s="5" t="s">
        <v>3562</v>
      </c>
      <c r="B276" s="6">
        <v>1</v>
      </c>
      <c r="C276" s="6">
        <v>100</v>
      </c>
    </row>
    <row r="277" spans="1:3">
      <c r="A277" s="5" t="s">
        <v>3165</v>
      </c>
      <c r="B277" s="6">
        <v>1</v>
      </c>
      <c r="C277" s="6">
        <v>100</v>
      </c>
    </row>
    <row r="278" spans="1:3">
      <c r="A278" s="5" t="s">
        <v>3577</v>
      </c>
      <c r="B278" s="6">
        <v>1</v>
      </c>
      <c r="C278" s="6">
        <v>100</v>
      </c>
    </row>
    <row r="279" spans="1:3">
      <c r="A279" s="5" t="s">
        <v>3060</v>
      </c>
      <c r="B279" s="6">
        <v>1</v>
      </c>
      <c r="C279" s="6">
        <v>100</v>
      </c>
    </row>
    <row r="280" spans="1:3">
      <c r="A280" s="5" t="s">
        <v>3356</v>
      </c>
      <c r="B280" s="6">
        <v>1</v>
      </c>
      <c r="C280" s="6">
        <v>100</v>
      </c>
    </row>
    <row r="281" spans="1:3">
      <c r="A281" s="5" t="s">
        <v>3445</v>
      </c>
      <c r="B281" s="6">
        <v>1</v>
      </c>
      <c r="C281" s="6">
        <v>100</v>
      </c>
    </row>
    <row r="282" spans="1:3">
      <c r="A282" s="5" t="s">
        <v>3434</v>
      </c>
      <c r="B282" s="6">
        <v>1</v>
      </c>
      <c r="C282" s="6">
        <v>100</v>
      </c>
    </row>
    <row r="283" spans="1:3">
      <c r="A283" s="5" t="s">
        <v>3715</v>
      </c>
      <c r="B283" s="6">
        <v>1</v>
      </c>
      <c r="C283" s="6">
        <v>100</v>
      </c>
    </row>
    <row r="284" spans="1:3">
      <c r="A284" s="5" t="s">
        <v>3673</v>
      </c>
      <c r="B284" s="6">
        <v>1</v>
      </c>
      <c r="C284" s="6">
        <v>100</v>
      </c>
    </row>
    <row r="285" spans="1:3">
      <c r="A285" s="5" t="s">
        <v>3674</v>
      </c>
      <c r="B285" s="6">
        <v>1</v>
      </c>
      <c r="C285" s="6">
        <v>100</v>
      </c>
    </row>
    <row r="286" spans="1:3">
      <c r="A286" s="5" t="s">
        <v>3695</v>
      </c>
      <c r="B286" s="6">
        <v>1</v>
      </c>
      <c r="C286" s="6">
        <v>100</v>
      </c>
    </row>
    <row r="287" spans="1:3">
      <c r="A287" s="5" t="s">
        <v>3333</v>
      </c>
      <c r="B287" s="6">
        <v>1</v>
      </c>
      <c r="C287" s="6">
        <v>100</v>
      </c>
    </row>
    <row r="288" spans="1:3">
      <c r="A288" s="5" t="s">
        <v>3421</v>
      </c>
      <c r="B288" s="6">
        <v>1</v>
      </c>
      <c r="C288" s="6">
        <v>100</v>
      </c>
    </row>
    <row r="289" spans="1:3">
      <c r="A289" s="5" t="s">
        <v>3108</v>
      </c>
      <c r="B289" s="6">
        <v>1</v>
      </c>
      <c r="C289" s="6">
        <v>100</v>
      </c>
    </row>
    <row r="290" spans="1:3">
      <c r="A290" s="5" t="s">
        <v>3287</v>
      </c>
      <c r="B290" s="6">
        <v>1</v>
      </c>
      <c r="C290" s="6">
        <v>100</v>
      </c>
    </row>
    <row r="291" spans="1:3">
      <c r="A291" s="5" t="s">
        <v>3381</v>
      </c>
      <c r="B291" s="6">
        <v>1</v>
      </c>
      <c r="C291" s="6">
        <v>100</v>
      </c>
    </row>
    <row r="292" spans="1:3">
      <c r="A292" s="5" t="s">
        <v>3578</v>
      </c>
      <c r="B292" s="6">
        <v>1</v>
      </c>
      <c r="C292" s="6">
        <v>100</v>
      </c>
    </row>
    <row r="293" spans="1:3">
      <c r="A293" s="5" t="s">
        <v>3042</v>
      </c>
      <c r="B293" s="6">
        <v>1</v>
      </c>
      <c r="C293" s="6">
        <v>100</v>
      </c>
    </row>
    <row r="294" spans="1:3">
      <c r="A294" s="5" t="s">
        <v>3125</v>
      </c>
      <c r="B294" s="6">
        <v>1</v>
      </c>
      <c r="C294" s="6">
        <v>100</v>
      </c>
    </row>
    <row r="295" spans="1:3">
      <c r="A295" s="5" t="s">
        <v>3208</v>
      </c>
      <c r="B295" s="6">
        <v>1</v>
      </c>
      <c r="C295" s="6">
        <v>100</v>
      </c>
    </row>
    <row r="296" spans="1:3">
      <c r="A296" s="5" t="s">
        <v>3583</v>
      </c>
      <c r="B296" s="6">
        <v>1</v>
      </c>
      <c r="C296" s="6">
        <v>100</v>
      </c>
    </row>
    <row r="297" spans="1:3">
      <c r="A297" s="5" t="s">
        <v>3728</v>
      </c>
      <c r="B297" s="6">
        <v>1</v>
      </c>
      <c r="C297" s="6">
        <v>100</v>
      </c>
    </row>
    <row r="298" spans="1:3">
      <c r="A298" s="5" t="s">
        <v>3510</v>
      </c>
      <c r="B298" s="6">
        <v>1</v>
      </c>
      <c r="C298" s="6">
        <v>100</v>
      </c>
    </row>
    <row r="299" spans="1:3">
      <c r="A299" s="5" t="s">
        <v>3460</v>
      </c>
      <c r="B299" s="6">
        <v>1</v>
      </c>
      <c r="C299" s="6">
        <v>100</v>
      </c>
    </row>
    <row r="300" spans="1:3">
      <c r="A300" s="5" t="s">
        <v>3491</v>
      </c>
      <c r="B300" s="6">
        <v>1</v>
      </c>
      <c r="C300" s="6">
        <v>100</v>
      </c>
    </row>
    <row r="301" spans="1:3">
      <c r="A301" s="5" t="s">
        <v>3392</v>
      </c>
      <c r="B301" s="6">
        <v>1</v>
      </c>
      <c r="C301" s="6">
        <v>100</v>
      </c>
    </row>
    <row r="302" spans="1:3">
      <c r="A302" s="5" t="s">
        <v>3086</v>
      </c>
      <c r="B302" s="6">
        <v>1</v>
      </c>
      <c r="C302" s="6">
        <v>100</v>
      </c>
    </row>
    <row r="303" spans="1:3">
      <c r="A303" s="5" t="s">
        <v>3089</v>
      </c>
      <c r="B303" s="6">
        <v>1</v>
      </c>
      <c r="C303" s="6">
        <v>100</v>
      </c>
    </row>
    <row r="304" spans="1:3">
      <c r="A304" s="5" t="s">
        <v>3273</v>
      </c>
      <c r="B304" s="6">
        <v>1</v>
      </c>
      <c r="C304" s="6">
        <v>100</v>
      </c>
    </row>
    <row r="305" spans="1:3">
      <c r="A305" s="5" t="s">
        <v>3355</v>
      </c>
      <c r="B305" s="6">
        <v>1</v>
      </c>
      <c r="C305" s="6">
        <v>100</v>
      </c>
    </row>
    <row r="306" spans="1:3">
      <c r="A306" s="5" t="s">
        <v>3161</v>
      </c>
      <c r="B306" s="6">
        <v>1</v>
      </c>
      <c r="C306" s="6">
        <v>100</v>
      </c>
    </row>
    <row r="307" spans="1:3">
      <c r="A307" s="5" t="s">
        <v>3468</v>
      </c>
      <c r="B307" s="6">
        <v>1</v>
      </c>
      <c r="C307" s="6">
        <v>100</v>
      </c>
    </row>
    <row r="308" spans="1:3">
      <c r="A308" s="5" t="s">
        <v>3117</v>
      </c>
      <c r="B308" s="6">
        <v>1</v>
      </c>
      <c r="C308" s="6">
        <v>100</v>
      </c>
    </row>
    <row r="309" spans="1:3">
      <c r="A309" s="5" t="s">
        <v>3338</v>
      </c>
      <c r="B309" s="6">
        <v>1</v>
      </c>
      <c r="C309" s="6">
        <v>100</v>
      </c>
    </row>
    <row r="310" spans="1:3">
      <c r="A310" s="5" t="s">
        <v>3731</v>
      </c>
      <c r="B310" s="6">
        <v>1</v>
      </c>
      <c r="C310" s="6">
        <v>100</v>
      </c>
    </row>
    <row r="311" spans="1:3">
      <c r="A311" s="5" t="s">
        <v>3308</v>
      </c>
      <c r="B311" s="6">
        <v>1</v>
      </c>
      <c r="C311" s="6">
        <v>100</v>
      </c>
    </row>
    <row r="312" spans="1:3">
      <c r="A312" s="5" t="s">
        <v>3254</v>
      </c>
      <c r="B312" s="6">
        <v>1</v>
      </c>
      <c r="C312" s="6">
        <v>100</v>
      </c>
    </row>
    <row r="313" spans="1:3">
      <c r="A313" s="5" t="s">
        <v>3566</v>
      </c>
      <c r="B313" s="6">
        <v>1</v>
      </c>
      <c r="C313" s="6">
        <v>100</v>
      </c>
    </row>
    <row r="314" spans="1:3">
      <c r="A314" s="5" t="s">
        <v>3635</v>
      </c>
      <c r="B314" s="6">
        <v>1</v>
      </c>
      <c r="C314" s="6">
        <v>100</v>
      </c>
    </row>
    <row r="315" spans="1:3">
      <c r="A315" s="5" t="s">
        <v>3380</v>
      </c>
      <c r="B315" s="6">
        <v>1</v>
      </c>
      <c r="C315" s="6">
        <v>100</v>
      </c>
    </row>
    <row r="316" spans="1:3">
      <c r="A316" s="5" t="s">
        <v>3668</v>
      </c>
      <c r="B316" s="6">
        <v>1</v>
      </c>
      <c r="C316" s="6">
        <v>100</v>
      </c>
    </row>
    <row r="317" spans="1:3">
      <c r="A317" s="5" t="s">
        <v>3365</v>
      </c>
      <c r="B317" s="6">
        <v>1</v>
      </c>
      <c r="C317" s="6">
        <v>100</v>
      </c>
    </row>
    <row r="318" spans="1:3">
      <c r="A318" s="5" t="s">
        <v>3379</v>
      </c>
      <c r="B318" s="6">
        <v>1</v>
      </c>
      <c r="C318" s="6">
        <v>100</v>
      </c>
    </row>
    <row r="319" spans="1:3">
      <c r="A319" s="5" t="s">
        <v>3519</v>
      </c>
      <c r="B319" s="6">
        <v>1</v>
      </c>
      <c r="C319" s="6">
        <v>100</v>
      </c>
    </row>
    <row r="320" spans="1:3">
      <c r="A320" s="5" t="s">
        <v>3116</v>
      </c>
      <c r="B320" s="6">
        <v>1</v>
      </c>
      <c r="C320" s="6">
        <v>100</v>
      </c>
    </row>
    <row r="321" spans="1:3">
      <c r="A321" s="5" t="s">
        <v>3448</v>
      </c>
      <c r="B321" s="6">
        <v>1</v>
      </c>
      <c r="C321" s="6">
        <v>100</v>
      </c>
    </row>
    <row r="322" spans="1:3">
      <c r="A322" s="5" t="s">
        <v>3133</v>
      </c>
      <c r="B322" s="6">
        <v>1</v>
      </c>
      <c r="C322" s="6">
        <v>100</v>
      </c>
    </row>
    <row r="323" spans="1:3">
      <c r="A323" s="5" t="s">
        <v>3608</v>
      </c>
      <c r="B323" s="6">
        <v>1</v>
      </c>
      <c r="C323" s="6">
        <v>100</v>
      </c>
    </row>
    <row r="324" spans="1:3">
      <c r="A324" s="5" t="s">
        <v>3384</v>
      </c>
      <c r="B324" s="6">
        <v>1</v>
      </c>
      <c r="C324" s="6">
        <v>100</v>
      </c>
    </row>
    <row r="325" spans="1:3">
      <c r="A325" s="5" t="s">
        <v>3523</v>
      </c>
      <c r="B325" s="6">
        <v>1</v>
      </c>
      <c r="C325" s="6">
        <v>100</v>
      </c>
    </row>
    <row r="326" spans="1:3">
      <c r="A326" s="5" t="s">
        <v>3352</v>
      </c>
      <c r="B326" s="6">
        <v>1</v>
      </c>
      <c r="C326" s="6">
        <v>100</v>
      </c>
    </row>
    <row r="327" spans="1:3">
      <c r="A327" s="5" t="s">
        <v>3038</v>
      </c>
      <c r="B327" s="6">
        <v>1</v>
      </c>
      <c r="C327" s="6">
        <v>100</v>
      </c>
    </row>
    <row r="328" spans="1:3">
      <c r="A328" s="5" t="s">
        <v>3395</v>
      </c>
      <c r="B328" s="6">
        <v>1</v>
      </c>
      <c r="C328" s="6">
        <v>98</v>
      </c>
    </row>
    <row r="329" spans="1:3">
      <c r="A329" s="5" t="s">
        <v>3240</v>
      </c>
      <c r="B329" s="6">
        <v>3</v>
      </c>
      <c r="C329" s="6">
        <v>97</v>
      </c>
    </row>
    <row r="330" spans="1:3">
      <c r="A330" s="5" t="s">
        <v>3203</v>
      </c>
      <c r="B330" s="6">
        <v>2</v>
      </c>
      <c r="C330" s="6">
        <v>95</v>
      </c>
    </row>
    <row r="331" spans="1:3">
      <c r="A331" s="5" t="s">
        <v>3364</v>
      </c>
      <c r="B331" s="6">
        <v>1</v>
      </c>
      <c r="C331" s="6">
        <v>95</v>
      </c>
    </row>
    <row r="332" spans="1:3">
      <c r="A332" s="5" t="s">
        <v>3242</v>
      </c>
      <c r="B332" s="6">
        <v>1</v>
      </c>
      <c r="C332" s="6">
        <v>95</v>
      </c>
    </row>
    <row r="333" spans="1:3">
      <c r="A333" s="5" t="s">
        <v>3530</v>
      </c>
      <c r="B333" s="6">
        <v>1</v>
      </c>
      <c r="C333" s="6">
        <v>95</v>
      </c>
    </row>
    <row r="334" spans="1:3">
      <c r="A334" s="5" t="s">
        <v>3511</v>
      </c>
      <c r="B334" s="6">
        <v>2</v>
      </c>
      <c r="C334" s="6">
        <v>94</v>
      </c>
    </row>
    <row r="335" spans="1:3">
      <c r="A335" s="5" t="s">
        <v>3677</v>
      </c>
      <c r="B335" s="6">
        <v>2</v>
      </c>
      <c r="C335" s="6">
        <v>92</v>
      </c>
    </row>
    <row r="336" spans="1:3">
      <c r="A336" s="5" t="s">
        <v>3373</v>
      </c>
      <c r="B336" s="6">
        <v>2</v>
      </c>
      <c r="C336" s="6">
        <v>90</v>
      </c>
    </row>
    <row r="337" spans="1:3">
      <c r="A337" s="5" t="s">
        <v>3285</v>
      </c>
      <c r="B337" s="6">
        <v>1</v>
      </c>
      <c r="C337" s="6">
        <v>90</v>
      </c>
    </row>
    <row r="338" spans="1:3">
      <c r="A338" s="5" t="s">
        <v>3565</v>
      </c>
      <c r="B338" s="6">
        <v>1</v>
      </c>
      <c r="C338" s="6">
        <v>90</v>
      </c>
    </row>
    <row r="339" spans="1:3">
      <c r="A339" s="5" t="s">
        <v>3123</v>
      </c>
      <c r="B339" s="6">
        <v>1</v>
      </c>
      <c r="C339" s="6">
        <v>90</v>
      </c>
    </row>
    <row r="340" spans="1:3">
      <c r="A340" s="5" t="s">
        <v>3265</v>
      </c>
      <c r="B340" s="6">
        <v>1</v>
      </c>
      <c r="C340" s="6">
        <v>85</v>
      </c>
    </row>
    <row r="341" spans="1:3">
      <c r="A341" s="5" t="s">
        <v>3110</v>
      </c>
      <c r="B341" s="6">
        <v>1</v>
      </c>
      <c r="C341" s="6">
        <v>85</v>
      </c>
    </row>
    <row r="342" spans="1:3">
      <c r="A342" s="5" t="s">
        <v>3294</v>
      </c>
      <c r="B342" s="6">
        <v>1</v>
      </c>
      <c r="C342" s="6">
        <v>80</v>
      </c>
    </row>
    <row r="343" spans="1:3">
      <c r="A343" s="5" t="s">
        <v>3612</v>
      </c>
      <c r="B343" s="6">
        <v>1</v>
      </c>
      <c r="C343" s="6">
        <v>80</v>
      </c>
    </row>
    <row r="344" spans="1:3">
      <c r="A344" s="5" t="s">
        <v>3128</v>
      </c>
      <c r="B344" s="6">
        <v>1</v>
      </c>
      <c r="C344" s="6">
        <v>80</v>
      </c>
    </row>
    <row r="345" spans="1:3">
      <c r="A345" s="5" t="s">
        <v>3531</v>
      </c>
      <c r="B345" s="6">
        <v>1</v>
      </c>
      <c r="C345" s="6">
        <v>80</v>
      </c>
    </row>
    <row r="346" spans="1:3">
      <c r="A346" s="5" t="s">
        <v>3074</v>
      </c>
      <c r="B346" s="6">
        <v>1</v>
      </c>
      <c r="C346" s="6">
        <v>80</v>
      </c>
    </row>
    <row r="347" spans="1:3">
      <c r="A347" s="5" t="s">
        <v>3238</v>
      </c>
      <c r="B347" s="6">
        <v>1</v>
      </c>
      <c r="C347" s="6">
        <v>80</v>
      </c>
    </row>
    <row r="348" spans="1:3">
      <c r="A348" s="5" t="s">
        <v>3139</v>
      </c>
      <c r="B348" s="6">
        <v>1</v>
      </c>
      <c r="C348" s="6">
        <v>80</v>
      </c>
    </row>
    <row r="349" spans="1:3">
      <c r="A349" s="5" t="s">
        <v>3739</v>
      </c>
      <c r="B349" s="6">
        <v>1</v>
      </c>
      <c r="C349" s="6">
        <v>80</v>
      </c>
    </row>
    <row r="350" spans="1:3">
      <c r="A350" s="5" t="s">
        <v>3652</v>
      </c>
      <c r="B350" s="6">
        <v>1</v>
      </c>
      <c r="C350" s="6">
        <v>80</v>
      </c>
    </row>
    <row r="351" spans="1:3">
      <c r="A351" s="5" t="s">
        <v>3572</v>
      </c>
      <c r="B351" s="6">
        <v>1</v>
      </c>
      <c r="C351" s="6">
        <v>80</v>
      </c>
    </row>
    <row r="352" spans="1:3">
      <c r="A352" s="5" t="s">
        <v>3223</v>
      </c>
      <c r="B352" s="6">
        <v>1</v>
      </c>
      <c r="C352" s="6">
        <v>76</v>
      </c>
    </row>
    <row r="353" spans="1:3">
      <c r="A353" s="5" t="s">
        <v>3062</v>
      </c>
      <c r="B353" s="6">
        <v>3</v>
      </c>
      <c r="C353" s="6">
        <v>75</v>
      </c>
    </row>
    <row r="354" spans="1:3">
      <c r="A354" s="5" t="s">
        <v>2997</v>
      </c>
      <c r="B354" s="6">
        <v>3</v>
      </c>
      <c r="C354" s="6">
        <v>75</v>
      </c>
    </row>
    <row r="355" spans="1:3">
      <c r="A355" s="5" t="s">
        <v>3509</v>
      </c>
      <c r="B355" s="6">
        <v>2</v>
      </c>
      <c r="C355" s="6">
        <v>75</v>
      </c>
    </row>
    <row r="356" spans="1:3">
      <c r="A356" s="5" t="s">
        <v>3458</v>
      </c>
      <c r="B356" s="6">
        <v>2</v>
      </c>
      <c r="C356" s="6">
        <v>75</v>
      </c>
    </row>
    <row r="357" spans="1:3">
      <c r="A357" s="5" t="s">
        <v>3150</v>
      </c>
      <c r="B357" s="6">
        <v>2</v>
      </c>
      <c r="C357" s="6">
        <v>75</v>
      </c>
    </row>
    <row r="358" spans="1:3">
      <c r="A358" s="5" t="s">
        <v>3293</v>
      </c>
      <c r="B358" s="6">
        <v>2</v>
      </c>
      <c r="C358" s="6">
        <v>75</v>
      </c>
    </row>
    <row r="359" spans="1:3">
      <c r="A359" s="5" t="s">
        <v>3189</v>
      </c>
      <c r="B359" s="6">
        <v>1</v>
      </c>
      <c r="C359" s="6">
        <v>75</v>
      </c>
    </row>
    <row r="360" spans="1:3">
      <c r="A360" s="5" t="s">
        <v>3324</v>
      </c>
      <c r="B360" s="6">
        <v>1</v>
      </c>
      <c r="C360" s="6">
        <v>75</v>
      </c>
    </row>
    <row r="361" spans="1:3">
      <c r="A361" s="5" t="s">
        <v>3602</v>
      </c>
      <c r="B361" s="6">
        <v>1</v>
      </c>
      <c r="C361" s="6">
        <v>75</v>
      </c>
    </row>
    <row r="362" spans="1:3">
      <c r="A362" s="5" t="s">
        <v>3575</v>
      </c>
      <c r="B362" s="6">
        <v>1</v>
      </c>
      <c r="C362" s="6">
        <v>75</v>
      </c>
    </row>
    <row r="363" spans="1:3">
      <c r="A363" s="5" t="s">
        <v>3688</v>
      </c>
      <c r="B363" s="6">
        <v>1</v>
      </c>
      <c r="C363" s="6">
        <v>75</v>
      </c>
    </row>
    <row r="364" spans="1:3">
      <c r="A364" s="5" t="s">
        <v>3453</v>
      </c>
      <c r="B364" s="6">
        <v>1</v>
      </c>
      <c r="C364" s="6">
        <v>75</v>
      </c>
    </row>
    <row r="365" spans="1:3">
      <c r="A365" s="5" t="s">
        <v>3366</v>
      </c>
      <c r="B365" s="6">
        <v>1</v>
      </c>
      <c r="C365" s="6">
        <v>75</v>
      </c>
    </row>
    <row r="366" spans="1:3">
      <c r="A366" s="5" t="s">
        <v>3563</v>
      </c>
      <c r="B366" s="6">
        <v>1</v>
      </c>
      <c r="C366" s="6">
        <v>75</v>
      </c>
    </row>
    <row r="367" spans="1:3">
      <c r="A367" s="5" t="s">
        <v>3080</v>
      </c>
      <c r="B367" s="6">
        <v>1</v>
      </c>
      <c r="C367" s="6">
        <v>75</v>
      </c>
    </row>
    <row r="368" spans="1:3">
      <c r="A368" s="5" t="s">
        <v>3260</v>
      </c>
      <c r="B368" s="6">
        <v>1</v>
      </c>
      <c r="C368" s="6">
        <v>75</v>
      </c>
    </row>
    <row r="369" spans="1:3">
      <c r="A369" s="5" t="s">
        <v>3277</v>
      </c>
      <c r="B369" s="6">
        <v>1</v>
      </c>
      <c r="C369" s="6">
        <v>75</v>
      </c>
    </row>
    <row r="370" spans="1:3">
      <c r="A370" s="5" t="s">
        <v>3498</v>
      </c>
      <c r="B370" s="6">
        <v>1</v>
      </c>
      <c r="C370" s="6">
        <v>75</v>
      </c>
    </row>
    <row r="371" spans="1:3">
      <c r="A371" s="5" t="s">
        <v>3526</v>
      </c>
      <c r="B371" s="6">
        <v>1</v>
      </c>
      <c r="C371" s="6">
        <v>75</v>
      </c>
    </row>
    <row r="372" spans="1:3">
      <c r="A372" s="5" t="s">
        <v>3679</v>
      </c>
      <c r="B372" s="6">
        <v>1</v>
      </c>
      <c r="C372" s="6">
        <v>75</v>
      </c>
    </row>
    <row r="373" spans="1:3">
      <c r="A373" s="5" t="s">
        <v>3467</v>
      </c>
      <c r="B373" s="6">
        <v>1</v>
      </c>
      <c r="C373" s="6">
        <v>75</v>
      </c>
    </row>
    <row r="374" spans="1:3">
      <c r="A374" s="5" t="s">
        <v>3406</v>
      </c>
      <c r="B374" s="6">
        <v>1</v>
      </c>
      <c r="C374" s="6">
        <v>70</v>
      </c>
    </row>
    <row r="375" spans="1:3">
      <c r="A375" s="5" t="s">
        <v>3168</v>
      </c>
      <c r="B375" s="6">
        <v>1</v>
      </c>
      <c r="C375" s="6">
        <v>70</v>
      </c>
    </row>
    <row r="376" spans="1:3">
      <c r="A376" s="5" t="s">
        <v>3641</v>
      </c>
      <c r="B376" s="6">
        <v>1</v>
      </c>
      <c r="C376" s="6">
        <v>70</v>
      </c>
    </row>
    <row r="377" spans="1:3">
      <c r="A377" s="5" t="s">
        <v>3610</v>
      </c>
      <c r="B377" s="6">
        <v>1</v>
      </c>
      <c r="C377" s="6">
        <v>70</v>
      </c>
    </row>
    <row r="378" spans="1:3">
      <c r="A378" s="5" t="s">
        <v>3313</v>
      </c>
      <c r="B378" s="6">
        <v>1</v>
      </c>
      <c r="C378" s="6">
        <v>69.5</v>
      </c>
    </row>
    <row r="379" spans="1:3">
      <c r="A379" s="5" t="s">
        <v>3593</v>
      </c>
      <c r="B379" s="6">
        <v>1</v>
      </c>
      <c r="C379" s="6">
        <v>65</v>
      </c>
    </row>
    <row r="380" spans="1:3">
      <c r="A380" s="5" t="s">
        <v>3555</v>
      </c>
      <c r="B380" s="6">
        <v>1</v>
      </c>
      <c r="C380" s="6">
        <v>65</v>
      </c>
    </row>
    <row r="381" spans="1:3">
      <c r="A381" s="5" t="s">
        <v>3604</v>
      </c>
      <c r="B381" s="6">
        <v>1</v>
      </c>
      <c r="C381" s="6">
        <v>65</v>
      </c>
    </row>
    <row r="382" spans="1:3">
      <c r="A382" s="5" t="s">
        <v>3347</v>
      </c>
      <c r="B382" s="6">
        <v>1</v>
      </c>
      <c r="C382" s="6">
        <v>65</v>
      </c>
    </row>
    <row r="383" spans="1:3">
      <c r="A383" s="5" t="s">
        <v>3720</v>
      </c>
      <c r="B383" s="6">
        <v>1</v>
      </c>
      <c r="C383" s="6">
        <v>63</v>
      </c>
    </row>
    <row r="384" spans="1:3">
      <c r="A384" s="5" t="s">
        <v>3112</v>
      </c>
      <c r="B384" s="6">
        <v>1</v>
      </c>
      <c r="C384" s="6">
        <v>60</v>
      </c>
    </row>
    <row r="385" spans="1:3">
      <c r="A385" s="5" t="s">
        <v>3144</v>
      </c>
      <c r="B385" s="6">
        <v>1</v>
      </c>
      <c r="C385" s="6">
        <v>60</v>
      </c>
    </row>
    <row r="386" spans="1:3">
      <c r="A386" s="5" t="s">
        <v>3609</v>
      </c>
      <c r="B386" s="6">
        <v>1</v>
      </c>
      <c r="C386" s="6">
        <v>60</v>
      </c>
    </row>
    <row r="387" spans="1:3">
      <c r="A387" s="5" t="s">
        <v>3517</v>
      </c>
      <c r="B387" s="6">
        <v>1</v>
      </c>
      <c r="C387" s="6">
        <v>60</v>
      </c>
    </row>
    <row r="388" spans="1:3">
      <c r="A388" s="5" t="s">
        <v>3375</v>
      </c>
      <c r="B388" s="6">
        <v>1</v>
      </c>
      <c r="C388" s="6">
        <v>60</v>
      </c>
    </row>
    <row r="389" spans="1:3">
      <c r="A389" s="5" t="s">
        <v>3586</v>
      </c>
      <c r="B389" s="6">
        <v>1</v>
      </c>
      <c r="C389" s="6">
        <v>60</v>
      </c>
    </row>
    <row r="390" spans="1:3">
      <c r="A390" s="5" t="s">
        <v>3227</v>
      </c>
      <c r="B390" s="6">
        <v>1</v>
      </c>
      <c r="C390" s="6">
        <v>59</v>
      </c>
    </row>
    <row r="391" spans="1:3">
      <c r="A391" s="5" t="s">
        <v>3723</v>
      </c>
      <c r="B391" s="6">
        <v>1</v>
      </c>
      <c r="C391" s="6">
        <v>55</v>
      </c>
    </row>
    <row r="392" spans="1:3">
      <c r="A392" s="5" t="s">
        <v>3567</v>
      </c>
      <c r="B392" s="6">
        <v>1</v>
      </c>
      <c r="C392" s="6">
        <v>55</v>
      </c>
    </row>
    <row r="393" spans="1:3">
      <c r="A393" s="5" t="s">
        <v>3465</v>
      </c>
      <c r="B393" s="6">
        <v>3</v>
      </c>
      <c r="C393" s="6">
        <v>52.9</v>
      </c>
    </row>
    <row r="394" spans="1:3">
      <c r="A394" s="5" t="s">
        <v>3137</v>
      </c>
      <c r="B394" s="6">
        <v>3</v>
      </c>
      <c r="C394" s="6">
        <v>50</v>
      </c>
    </row>
    <row r="395" spans="1:3">
      <c r="A395" s="5" t="s">
        <v>3432</v>
      </c>
      <c r="B395" s="6">
        <v>2</v>
      </c>
      <c r="C395" s="6">
        <v>50</v>
      </c>
    </row>
    <row r="396" spans="1:3">
      <c r="A396" s="5" t="s">
        <v>3438</v>
      </c>
      <c r="B396" s="6">
        <v>2</v>
      </c>
      <c r="C396" s="6">
        <v>50</v>
      </c>
    </row>
    <row r="397" spans="1:3">
      <c r="A397" s="5" t="s">
        <v>3216</v>
      </c>
      <c r="B397" s="6">
        <v>2</v>
      </c>
      <c r="C397" s="6">
        <v>50</v>
      </c>
    </row>
    <row r="398" spans="1:3">
      <c r="A398" s="5" t="s">
        <v>3121</v>
      </c>
      <c r="B398" s="6">
        <v>2</v>
      </c>
      <c r="C398" s="6">
        <v>50</v>
      </c>
    </row>
    <row r="399" spans="1:3">
      <c r="A399" s="5" t="s">
        <v>3505</v>
      </c>
      <c r="B399" s="6">
        <v>1</v>
      </c>
      <c r="C399" s="6">
        <v>50</v>
      </c>
    </row>
    <row r="400" spans="1:3">
      <c r="A400" s="5" t="s">
        <v>3419</v>
      </c>
      <c r="B400" s="6">
        <v>1</v>
      </c>
      <c r="C400" s="6">
        <v>50</v>
      </c>
    </row>
    <row r="401" spans="1:3">
      <c r="A401" s="5" t="s">
        <v>3218</v>
      </c>
      <c r="B401" s="6">
        <v>1</v>
      </c>
      <c r="C401" s="6">
        <v>50</v>
      </c>
    </row>
    <row r="402" spans="1:3">
      <c r="A402" s="5" t="s">
        <v>3036</v>
      </c>
      <c r="B402" s="6">
        <v>1</v>
      </c>
      <c r="C402" s="6">
        <v>50</v>
      </c>
    </row>
    <row r="403" spans="1:3">
      <c r="A403" s="5" t="s">
        <v>3582</v>
      </c>
      <c r="B403" s="6">
        <v>1</v>
      </c>
      <c r="C403" s="6">
        <v>50</v>
      </c>
    </row>
    <row r="404" spans="1:3">
      <c r="A404" s="5" t="s">
        <v>3548</v>
      </c>
      <c r="B404" s="6">
        <v>1</v>
      </c>
      <c r="C404" s="6">
        <v>50</v>
      </c>
    </row>
    <row r="405" spans="1:3">
      <c r="A405" s="5" t="s">
        <v>3342</v>
      </c>
      <c r="B405" s="6">
        <v>1</v>
      </c>
      <c r="C405" s="6">
        <v>50</v>
      </c>
    </row>
    <row r="406" spans="1:3">
      <c r="A406" s="5" t="s">
        <v>3343</v>
      </c>
      <c r="B406" s="6">
        <v>1</v>
      </c>
      <c r="C406" s="6">
        <v>50</v>
      </c>
    </row>
    <row r="407" spans="1:3">
      <c r="A407" s="5" t="s">
        <v>3417</v>
      </c>
      <c r="B407" s="6">
        <v>1</v>
      </c>
      <c r="C407" s="6">
        <v>50</v>
      </c>
    </row>
    <row r="408" spans="1:3">
      <c r="A408" s="5" t="s">
        <v>3262</v>
      </c>
      <c r="B408" s="6">
        <v>1</v>
      </c>
      <c r="C408" s="6">
        <v>50</v>
      </c>
    </row>
    <row r="409" spans="1:3">
      <c r="A409" s="5" t="s">
        <v>3345</v>
      </c>
      <c r="B409" s="6">
        <v>1</v>
      </c>
      <c r="C409" s="6">
        <v>50</v>
      </c>
    </row>
    <row r="410" spans="1:3">
      <c r="A410" s="5" t="s">
        <v>3492</v>
      </c>
      <c r="B410" s="6">
        <v>1</v>
      </c>
      <c r="C410" s="6">
        <v>50</v>
      </c>
    </row>
    <row r="411" spans="1:3">
      <c r="A411" s="5" t="s">
        <v>3151</v>
      </c>
      <c r="B411" s="6">
        <v>1</v>
      </c>
      <c r="C411" s="6">
        <v>50</v>
      </c>
    </row>
    <row r="412" spans="1:3">
      <c r="A412" s="5" t="s">
        <v>3175</v>
      </c>
      <c r="B412" s="6">
        <v>1</v>
      </c>
      <c r="C412" s="6">
        <v>50</v>
      </c>
    </row>
    <row r="413" spans="1:3">
      <c r="A413" s="5" t="s">
        <v>3312</v>
      </c>
      <c r="B413" s="6">
        <v>1</v>
      </c>
      <c r="C413" s="6">
        <v>50</v>
      </c>
    </row>
    <row r="414" spans="1:3">
      <c r="A414" s="5" t="s">
        <v>3436</v>
      </c>
      <c r="B414" s="6">
        <v>1</v>
      </c>
      <c r="C414" s="6">
        <v>50</v>
      </c>
    </row>
    <row r="415" spans="1:3">
      <c r="A415" s="5" t="s">
        <v>3663</v>
      </c>
      <c r="B415" s="6">
        <v>1</v>
      </c>
      <c r="C415" s="6">
        <v>50</v>
      </c>
    </row>
    <row r="416" spans="1:3">
      <c r="A416" s="5" t="s">
        <v>3733</v>
      </c>
      <c r="B416" s="6">
        <v>1</v>
      </c>
      <c r="C416" s="6">
        <v>50</v>
      </c>
    </row>
    <row r="417" spans="1:3">
      <c r="A417" s="5" t="s">
        <v>3597</v>
      </c>
      <c r="B417" s="6">
        <v>1</v>
      </c>
      <c r="C417" s="6">
        <v>50</v>
      </c>
    </row>
    <row r="418" spans="1:3">
      <c r="A418" s="5" t="s">
        <v>3229</v>
      </c>
      <c r="B418" s="6">
        <v>1</v>
      </c>
      <c r="C418" s="6">
        <v>50</v>
      </c>
    </row>
    <row r="419" spans="1:3">
      <c r="A419" s="5" t="s">
        <v>3196</v>
      </c>
      <c r="B419" s="6">
        <v>1</v>
      </c>
      <c r="C419" s="6">
        <v>50</v>
      </c>
    </row>
    <row r="420" spans="1:3">
      <c r="A420" s="5" t="s">
        <v>3490</v>
      </c>
      <c r="B420" s="6">
        <v>1</v>
      </c>
      <c r="C420" s="6">
        <v>50</v>
      </c>
    </row>
    <row r="421" spans="1:3">
      <c r="A421" s="5" t="s">
        <v>3591</v>
      </c>
      <c r="B421" s="6">
        <v>1</v>
      </c>
      <c r="C421" s="6">
        <v>50</v>
      </c>
    </row>
    <row r="422" spans="1:3">
      <c r="A422" s="5" t="s">
        <v>3179</v>
      </c>
      <c r="B422" s="6">
        <v>1</v>
      </c>
      <c r="C422" s="6">
        <v>50</v>
      </c>
    </row>
    <row r="423" spans="1:3">
      <c r="A423" s="5" t="s">
        <v>3159</v>
      </c>
      <c r="B423" s="6">
        <v>1</v>
      </c>
      <c r="C423" s="6">
        <v>50</v>
      </c>
    </row>
    <row r="424" spans="1:3">
      <c r="A424" s="5" t="s">
        <v>3466</v>
      </c>
      <c r="B424" s="6">
        <v>1</v>
      </c>
      <c r="C424" s="6">
        <v>50</v>
      </c>
    </row>
    <row r="425" spans="1:3">
      <c r="A425" s="5" t="s">
        <v>3131</v>
      </c>
      <c r="B425" s="6">
        <v>1</v>
      </c>
      <c r="C425" s="6">
        <v>50</v>
      </c>
    </row>
    <row r="426" spans="1:3">
      <c r="A426" s="5" t="s">
        <v>3651</v>
      </c>
      <c r="B426" s="6">
        <v>1</v>
      </c>
      <c r="C426" s="6">
        <v>50</v>
      </c>
    </row>
    <row r="427" spans="1:3">
      <c r="A427" s="5" t="s">
        <v>3613</v>
      </c>
      <c r="B427" s="6">
        <v>1</v>
      </c>
      <c r="C427" s="6">
        <v>50</v>
      </c>
    </row>
    <row r="428" spans="1:3">
      <c r="A428" s="5" t="s">
        <v>3650</v>
      </c>
      <c r="B428" s="6">
        <v>1</v>
      </c>
      <c r="C428" s="6">
        <v>50</v>
      </c>
    </row>
    <row r="429" spans="1:3">
      <c r="A429" s="5" t="s">
        <v>3291</v>
      </c>
      <c r="B429" s="6">
        <v>1</v>
      </c>
      <c r="C429" s="6">
        <v>50</v>
      </c>
    </row>
    <row r="430" spans="1:3">
      <c r="A430" s="5" t="s">
        <v>3348</v>
      </c>
      <c r="B430" s="6">
        <v>1</v>
      </c>
      <c r="C430" s="6">
        <v>50</v>
      </c>
    </row>
    <row r="431" spans="1:3">
      <c r="A431" s="5" t="s">
        <v>3114</v>
      </c>
      <c r="B431" s="6">
        <v>1</v>
      </c>
      <c r="C431" s="6">
        <v>50</v>
      </c>
    </row>
    <row r="432" spans="1:3">
      <c r="A432" s="5" t="s">
        <v>3539</v>
      </c>
      <c r="B432" s="6">
        <v>1</v>
      </c>
      <c r="C432" s="6">
        <v>50</v>
      </c>
    </row>
    <row r="433" spans="1:3">
      <c r="A433" s="5" t="s">
        <v>3297</v>
      </c>
      <c r="B433" s="6">
        <v>1</v>
      </c>
      <c r="C433" s="6">
        <v>50</v>
      </c>
    </row>
    <row r="434" spans="1:3">
      <c r="A434" s="5" t="s">
        <v>3480</v>
      </c>
      <c r="B434" s="6">
        <v>1</v>
      </c>
      <c r="C434" s="6">
        <v>50</v>
      </c>
    </row>
    <row r="435" spans="1:3">
      <c r="A435" s="5" t="s">
        <v>3376</v>
      </c>
      <c r="B435" s="6">
        <v>1</v>
      </c>
      <c r="C435" s="6">
        <v>50</v>
      </c>
    </row>
    <row r="436" spans="1:3">
      <c r="A436" s="5" t="s">
        <v>3670</v>
      </c>
      <c r="B436" s="6">
        <v>2</v>
      </c>
      <c r="C436" s="6">
        <v>49</v>
      </c>
    </row>
    <row r="437" spans="1:3">
      <c r="A437" s="5" t="s">
        <v>3512</v>
      </c>
      <c r="B437" s="6">
        <v>1</v>
      </c>
      <c r="C437" s="6">
        <v>45</v>
      </c>
    </row>
    <row r="438" spans="1:3">
      <c r="A438" s="5" t="s">
        <v>3474</v>
      </c>
      <c r="B438" s="6">
        <v>1</v>
      </c>
      <c r="C438" s="6">
        <v>45</v>
      </c>
    </row>
    <row r="439" spans="1:3">
      <c r="A439" s="5" t="s">
        <v>3524</v>
      </c>
      <c r="B439" s="6">
        <v>1</v>
      </c>
      <c r="C439" s="6">
        <v>45</v>
      </c>
    </row>
    <row r="440" spans="1:3">
      <c r="A440" s="5" t="s">
        <v>3130</v>
      </c>
      <c r="B440" s="6">
        <v>2</v>
      </c>
      <c r="C440" s="6">
        <v>40</v>
      </c>
    </row>
    <row r="441" spans="1:3">
      <c r="A441" s="5" t="s">
        <v>3654</v>
      </c>
      <c r="B441" s="6">
        <v>2</v>
      </c>
      <c r="C441" s="6">
        <v>40</v>
      </c>
    </row>
    <row r="442" spans="1:3">
      <c r="A442" s="5" t="s">
        <v>3667</v>
      </c>
      <c r="B442" s="6">
        <v>2</v>
      </c>
      <c r="C442" s="6">
        <v>40</v>
      </c>
    </row>
    <row r="443" spans="1:3">
      <c r="A443" s="5" t="s">
        <v>3496</v>
      </c>
      <c r="B443" s="6">
        <v>1</v>
      </c>
      <c r="C443" s="6">
        <v>40</v>
      </c>
    </row>
    <row r="444" spans="1:3">
      <c r="A444" s="5" t="s">
        <v>3326</v>
      </c>
      <c r="B444" s="6">
        <v>1</v>
      </c>
      <c r="C444" s="6">
        <v>40</v>
      </c>
    </row>
    <row r="445" spans="1:3">
      <c r="A445" s="5" t="s">
        <v>3397</v>
      </c>
      <c r="B445" s="6">
        <v>1</v>
      </c>
      <c r="C445" s="6">
        <v>40</v>
      </c>
    </row>
    <row r="446" spans="1:3">
      <c r="A446" s="5" t="s">
        <v>3214</v>
      </c>
      <c r="B446" s="6">
        <v>1</v>
      </c>
      <c r="C446" s="6">
        <v>40</v>
      </c>
    </row>
    <row r="447" spans="1:3">
      <c r="A447" s="5" t="s">
        <v>3403</v>
      </c>
      <c r="B447" s="6">
        <v>2</v>
      </c>
      <c r="C447" s="6">
        <v>35</v>
      </c>
    </row>
    <row r="448" spans="1:3">
      <c r="A448" s="5" t="s">
        <v>3616</v>
      </c>
      <c r="B448" s="6">
        <v>1</v>
      </c>
      <c r="C448" s="6">
        <v>35</v>
      </c>
    </row>
    <row r="449" spans="1:3">
      <c r="A449" s="5" t="s">
        <v>3070</v>
      </c>
      <c r="B449" s="6">
        <v>1</v>
      </c>
      <c r="C449" s="6">
        <v>35</v>
      </c>
    </row>
    <row r="450" spans="1:3">
      <c r="A450" s="5" t="s">
        <v>3270</v>
      </c>
      <c r="B450" s="6">
        <v>2</v>
      </c>
      <c r="C450" s="6">
        <v>32</v>
      </c>
    </row>
    <row r="451" spans="1:3">
      <c r="A451" s="5" t="s">
        <v>3726</v>
      </c>
      <c r="B451" s="6">
        <v>2</v>
      </c>
      <c r="C451" s="6">
        <v>30</v>
      </c>
    </row>
    <row r="452" spans="1:3">
      <c r="A452" s="5" t="s">
        <v>3736</v>
      </c>
      <c r="B452" s="6">
        <v>2</v>
      </c>
      <c r="C452" s="6">
        <v>30</v>
      </c>
    </row>
    <row r="453" spans="1:3">
      <c r="A453" s="5" t="s">
        <v>3709</v>
      </c>
      <c r="B453" s="6">
        <v>2</v>
      </c>
      <c r="C453" s="6">
        <v>30</v>
      </c>
    </row>
    <row r="454" spans="1:3">
      <c r="A454" s="5" t="s">
        <v>3126</v>
      </c>
      <c r="B454" s="6">
        <v>2</v>
      </c>
      <c r="C454" s="6">
        <v>30</v>
      </c>
    </row>
    <row r="455" spans="1:3">
      <c r="A455" s="5" t="s">
        <v>3435</v>
      </c>
      <c r="B455" s="6">
        <v>1</v>
      </c>
      <c r="C455" s="6">
        <v>30</v>
      </c>
    </row>
    <row r="456" spans="1:3">
      <c r="A456" s="5" t="s">
        <v>3451</v>
      </c>
      <c r="B456" s="6">
        <v>1</v>
      </c>
      <c r="C456" s="6">
        <v>30</v>
      </c>
    </row>
    <row r="457" spans="1:3">
      <c r="A457" s="5" t="s">
        <v>3626</v>
      </c>
      <c r="B457" s="6">
        <v>1</v>
      </c>
      <c r="C457" s="6">
        <v>30</v>
      </c>
    </row>
    <row r="458" spans="1:3">
      <c r="A458" s="5" t="s">
        <v>3691</v>
      </c>
      <c r="B458" s="6">
        <v>1</v>
      </c>
      <c r="C458" s="6">
        <v>30</v>
      </c>
    </row>
    <row r="459" spans="1:3">
      <c r="A459" s="5" t="s">
        <v>3248</v>
      </c>
      <c r="B459" s="6">
        <v>1</v>
      </c>
      <c r="C459" s="6">
        <v>27</v>
      </c>
    </row>
    <row r="460" spans="1:3">
      <c r="A460" s="5" t="s">
        <v>3253</v>
      </c>
      <c r="B460" s="6">
        <v>2</v>
      </c>
      <c r="C460" s="6">
        <v>25</v>
      </c>
    </row>
    <row r="461" spans="1:3">
      <c r="A461" s="5" t="s">
        <v>3064</v>
      </c>
      <c r="B461" s="6">
        <v>2</v>
      </c>
      <c r="C461" s="6">
        <v>25</v>
      </c>
    </row>
    <row r="462" spans="1:3">
      <c r="A462" s="5" t="s">
        <v>3713</v>
      </c>
      <c r="B462" s="6">
        <v>1</v>
      </c>
      <c r="C462" s="6">
        <v>25</v>
      </c>
    </row>
    <row r="463" spans="1:3">
      <c r="A463" s="5" t="s">
        <v>3449</v>
      </c>
      <c r="B463" s="6">
        <v>1</v>
      </c>
      <c r="C463" s="6">
        <v>25</v>
      </c>
    </row>
    <row r="464" spans="1:3">
      <c r="A464" s="5" t="s">
        <v>3290</v>
      </c>
      <c r="B464" s="6">
        <v>1</v>
      </c>
      <c r="C464" s="6">
        <v>25</v>
      </c>
    </row>
    <row r="465" spans="1:3">
      <c r="A465" s="5" t="s">
        <v>3425</v>
      </c>
      <c r="B465" s="6">
        <v>1</v>
      </c>
      <c r="C465" s="6">
        <v>25</v>
      </c>
    </row>
    <row r="466" spans="1:3">
      <c r="A466" s="5" t="s">
        <v>3382</v>
      </c>
      <c r="B466" s="6">
        <v>3</v>
      </c>
      <c r="C466" s="6">
        <v>20</v>
      </c>
    </row>
    <row r="467" spans="1:3">
      <c r="A467" s="5" t="s">
        <v>3647</v>
      </c>
      <c r="B467" s="6">
        <v>3</v>
      </c>
      <c r="C467" s="6">
        <v>20</v>
      </c>
    </row>
    <row r="468" spans="1:3">
      <c r="A468" s="5" t="s">
        <v>3746</v>
      </c>
      <c r="B468" s="6">
        <v>2</v>
      </c>
      <c r="C468" s="6">
        <v>20</v>
      </c>
    </row>
    <row r="469" spans="1:3">
      <c r="A469" s="5" t="s">
        <v>3661</v>
      </c>
      <c r="B469" s="6">
        <v>1</v>
      </c>
      <c r="C469" s="6">
        <v>14</v>
      </c>
    </row>
    <row r="470" spans="1:3">
      <c r="A470" s="5" t="s">
        <v>3514</v>
      </c>
      <c r="B470" s="6">
        <v>1</v>
      </c>
      <c r="C470" s="6">
        <v>10</v>
      </c>
    </row>
    <row r="471" spans="1:3">
      <c r="A471" s="5" t="s">
        <v>3377</v>
      </c>
      <c r="B471" s="6">
        <v>3</v>
      </c>
      <c r="C471" s="6">
        <v>0</v>
      </c>
    </row>
    <row r="472" spans="1:3">
      <c r="A472" s="5" t="s">
        <v>3369</v>
      </c>
      <c r="B472" s="6">
        <v>2</v>
      </c>
      <c r="C472" s="6">
        <v>0</v>
      </c>
    </row>
    <row r="473" spans="1:3">
      <c r="A473" s="5" t="s">
        <v>3478</v>
      </c>
      <c r="B473" s="6">
        <v>1</v>
      </c>
      <c r="C473" s="6">
        <v>0</v>
      </c>
    </row>
    <row r="474" spans="1:3">
      <c r="A474" s="5" t="s">
        <v>3644</v>
      </c>
      <c r="B474" s="6">
        <v>1</v>
      </c>
      <c r="C474" s="6">
        <v>0</v>
      </c>
    </row>
    <row r="475" spans="1:3">
      <c r="A475" s="5" t="s">
        <v>3536</v>
      </c>
      <c r="B475" s="6">
        <v>1</v>
      </c>
      <c r="C475" s="6">
        <v>0</v>
      </c>
    </row>
    <row r="476" spans="1:3">
      <c r="A476" s="5" t="s">
        <v>3573</v>
      </c>
      <c r="B476" s="6">
        <v>1</v>
      </c>
      <c r="C476" s="6">
        <v>0</v>
      </c>
    </row>
    <row r="477" spans="1:3">
      <c r="A477" s="5" t="s">
        <v>3095</v>
      </c>
      <c r="B477" s="6">
        <v>1</v>
      </c>
      <c r="C477" s="6">
        <v>0</v>
      </c>
    </row>
    <row r="478" spans="1:3">
      <c r="A478" s="5" t="s">
        <v>3163</v>
      </c>
      <c r="B478" s="6">
        <v>1</v>
      </c>
      <c r="C478" s="6">
        <v>0</v>
      </c>
    </row>
    <row r="479" spans="1:3">
      <c r="A479" s="5" t="s">
        <v>3980</v>
      </c>
      <c r="B479" s="6"/>
      <c r="C479" s="6"/>
    </row>
    <row r="480" spans="1:3">
      <c r="A480" s="5" t="s">
        <v>3981</v>
      </c>
      <c r="B480" s="6">
        <v>857</v>
      </c>
      <c r="C480" s="6">
        <v>122946.84999999999</v>
      </c>
    </row>
  </sheetData>
  <sortState ref="A3:C480">
    <sortCondition descending="1" ref="C5"/>
  </sortState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27"/>
  <sheetViews>
    <sheetView tabSelected="1" workbookViewId="0">
      <selection activeCell="D16" sqref="D16"/>
    </sheetView>
  </sheetViews>
  <sheetFormatPr baseColWidth="10" defaultRowHeight="15" x14ac:dyDescent="0"/>
  <cols>
    <col min="5" max="5" width="36.33203125" customWidth="1"/>
    <col min="6" max="6" width="22.6640625" customWidth="1"/>
    <col min="7" max="7" width="37" customWidth="1"/>
    <col min="8" max="8" width="35.5" customWidth="1"/>
    <col min="9" max="9" width="58.83203125" customWidth="1"/>
  </cols>
  <sheetData>
    <row r="1" spans="1:9">
      <c r="A1" t="s">
        <v>3031</v>
      </c>
      <c r="B1" t="s">
        <v>0</v>
      </c>
      <c r="C1" t="s">
        <v>2987</v>
      </c>
      <c r="D1" t="s">
        <v>4183</v>
      </c>
      <c r="E1" t="s">
        <v>4185</v>
      </c>
      <c r="F1" t="s">
        <v>3750</v>
      </c>
      <c r="G1" t="s">
        <v>3751</v>
      </c>
      <c r="H1" t="s">
        <v>3752</v>
      </c>
      <c r="I1" t="s">
        <v>4645</v>
      </c>
    </row>
    <row r="2" spans="1:9">
      <c r="A2">
        <v>1</v>
      </c>
      <c r="B2">
        <v>1</v>
      </c>
      <c r="C2" s="1">
        <v>39229</v>
      </c>
      <c r="D2">
        <v>175</v>
      </c>
      <c r="E2" t="s">
        <v>4186</v>
      </c>
      <c r="F2" t="str">
        <f>VLOOKUP(B2,judges!A:B,2,FALSE)</f>
        <v>patrick john zika</v>
      </c>
      <c r="G2" t="str">
        <f>VLOOKUP($A2,donors!$A:$C,2,FALSE)</f>
        <v xml:space="preserve"> richard white</v>
      </c>
      <c r="H2" t="str">
        <f>VLOOKUP($A2,donors!$A:$C,3,FALSE)</f>
        <v xml:space="preserve"> law</v>
      </c>
      <c r="I2" t="s">
        <v>4646</v>
      </c>
    </row>
    <row r="3" spans="1:9">
      <c r="A3">
        <v>2</v>
      </c>
      <c r="B3">
        <v>21</v>
      </c>
      <c r="C3" s="1">
        <v>39368</v>
      </c>
      <c r="D3">
        <v>100</v>
      </c>
      <c r="E3" t="s">
        <v>4187</v>
      </c>
      <c r="F3" t="str">
        <f>VLOOKUP(B3,judges!A:B,2,FALSE)</f>
        <v>charlotte walter woolard</v>
      </c>
      <c r="G3" t="str">
        <f>VLOOKUP(A3,donors!A:C,2,FALSE)</f>
        <v xml:space="preserve"> san francisco trial lawyers assn</v>
      </c>
      <c r="H3" t="str">
        <f>VLOOKUP($A3,donors!$A:$C,3,FALSE)</f>
        <v xml:space="preserve"> bar association</v>
      </c>
      <c r="I3" t="s">
        <v>4647</v>
      </c>
    </row>
    <row r="4" spans="1:9">
      <c r="A4">
        <v>2</v>
      </c>
      <c r="B4">
        <v>21</v>
      </c>
      <c r="C4" s="1">
        <v>39368</v>
      </c>
      <c r="D4">
        <v>50</v>
      </c>
      <c r="E4" t="s">
        <v>4188</v>
      </c>
      <c r="F4" t="str">
        <f>VLOOKUP(B4,judges!A:B,2,FALSE)</f>
        <v>charlotte walter woolard</v>
      </c>
      <c r="G4" t="str">
        <f>VLOOKUP(A4,donors!A:C,2,FALSE)</f>
        <v xml:space="preserve"> san francisco trial lawyers assn</v>
      </c>
      <c r="H4" t="str">
        <f>VLOOKUP($A4,donors!$A:$C,3,FALSE)</f>
        <v xml:space="preserve"> bar association</v>
      </c>
      <c r="I4" t="s">
        <v>4647</v>
      </c>
    </row>
    <row r="5" spans="1:9">
      <c r="A5">
        <v>3</v>
      </c>
      <c r="B5">
        <v>24</v>
      </c>
      <c r="C5" s="1">
        <v>39536</v>
      </c>
      <c r="D5">
        <v>50</v>
      </c>
      <c r="E5" t="s">
        <v>4189</v>
      </c>
      <c r="F5" t="str">
        <f>VLOOKUP(B5,judges!A:B,2,FALSE)</f>
        <v>norvell frederick (fred) woods jr.</v>
      </c>
      <c r="G5" t="str">
        <f>VLOOKUP(A5,donors!A:C,2,FALSE)</f>
        <v xml:space="preserve"> christopher &amp; lexi lahera   dirk &amp; lynn moyer</v>
      </c>
      <c r="H5" t="str">
        <f>VLOOKUP($A5,donors!$A:$C,3,FALSE)</f>
        <v xml:space="preserve"> --blank--</v>
      </c>
      <c r="I5" t="s">
        <v>4648</v>
      </c>
    </row>
    <row r="6" spans="1:9">
      <c r="A6">
        <v>4</v>
      </c>
      <c r="B6">
        <v>28</v>
      </c>
      <c r="C6" s="1">
        <v>39368</v>
      </c>
      <c r="D6">
        <v>100</v>
      </c>
      <c r="E6" t="s">
        <v>4190</v>
      </c>
      <c r="F6" t="str">
        <f>VLOOKUP(B6,judges!A:B,2,FALSE)</f>
        <v>garrett lee wong</v>
      </c>
      <c r="G6" t="str">
        <f>VLOOKUP(A6,donors!A:C,2,FALSE)</f>
        <v xml:space="preserve"> san francisco trial lawyer's association</v>
      </c>
      <c r="H6" t="str">
        <f>VLOOKUP($A6,donors!$A:$C,3,FALSE)</f>
        <v xml:space="preserve"> bar association/professional organization</v>
      </c>
      <c r="I6" t="s">
        <v>4649</v>
      </c>
    </row>
    <row r="7" spans="1:9">
      <c r="A7">
        <v>5</v>
      </c>
      <c r="B7">
        <v>32</v>
      </c>
      <c r="C7" s="1">
        <v>39357</v>
      </c>
      <c r="D7">
        <v>390</v>
      </c>
      <c r="E7" t="s">
        <v>4191</v>
      </c>
      <c r="F7" t="str">
        <f>VLOOKUP(B7,judges!A:B,2,FALSE)</f>
        <v>mary e. wiss</v>
      </c>
      <c r="G7" t="str">
        <f>VLOOKUP(A7,donors!A:C,2,FALSE)</f>
        <v xml:space="preserve"> san francisco trial lawyers association</v>
      </c>
      <c r="H7" t="str">
        <f>VLOOKUP($A7,donors!$A:$C,3,FALSE)</f>
        <v xml:space="preserve"> bar association</v>
      </c>
      <c r="I7" t="s">
        <v>4650</v>
      </c>
    </row>
    <row r="8" spans="1:9">
      <c r="A8">
        <v>6</v>
      </c>
      <c r="B8">
        <v>32</v>
      </c>
      <c r="C8" s="1">
        <v>39289</v>
      </c>
      <c r="D8">
        <v>90</v>
      </c>
      <c r="E8" t="s">
        <v>4192</v>
      </c>
      <c r="F8" t="str">
        <f>VLOOKUP(B8,judges!A:B,2,FALSE)</f>
        <v>mary e. wiss</v>
      </c>
      <c r="G8" t="str">
        <f>VLOOKUP(A8,donors!A:C,2,FALSE)</f>
        <v xml:space="preserve"> queen's bench</v>
      </c>
      <c r="H8" t="str">
        <f>VLOOKUP($A8,donors!$A:$C,3,FALSE)</f>
        <v xml:space="preserve"> bar association</v>
      </c>
      <c r="I8" t="s">
        <v>4650</v>
      </c>
    </row>
    <row r="9" spans="1:9">
      <c r="A9">
        <v>7</v>
      </c>
      <c r="B9">
        <v>32</v>
      </c>
      <c r="C9" s="1">
        <v>39108</v>
      </c>
      <c r="D9">
        <v>120</v>
      </c>
      <c r="E9" t="s">
        <v>4193</v>
      </c>
      <c r="F9" t="str">
        <f>VLOOKUP(B9,judges!A:B,2,FALSE)</f>
        <v>mary e. wiss</v>
      </c>
      <c r="G9" t="str">
        <f>VLOOKUP(A9,donors!A:C,2,FALSE)</f>
        <v xml:space="preserve"> american board of trial advocates</v>
      </c>
      <c r="H9" t="str">
        <f>VLOOKUP($A9,donors!$A:$C,3,FALSE)</f>
        <v xml:space="preserve"> bar association</v>
      </c>
      <c r="I9" t="s">
        <v>4650</v>
      </c>
    </row>
    <row r="10" spans="1:9">
      <c r="A10">
        <v>7</v>
      </c>
      <c r="B10">
        <v>32</v>
      </c>
      <c r="C10" s="1">
        <v>39424</v>
      </c>
      <c r="D10">
        <v>395</v>
      </c>
      <c r="E10" t="s">
        <v>4194</v>
      </c>
      <c r="F10" t="str">
        <f>VLOOKUP(B10,judges!A:B,2,FALSE)</f>
        <v>mary e. wiss</v>
      </c>
      <c r="G10" t="str">
        <f>VLOOKUP(A10,donors!A:C,2,FALSE)</f>
        <v xml:space="preserve"> american board of trial advocates</v>
      </c>
      <c r="H10" t="str">
        <f>VLOOKUP($A10,donors!$A:$C,3,FALSE)</f>
        <v xml:space="preserve"> bar association</v>
      </c>
      <c r="I10" t="s">
        <v>4650</v>
      </c>
    </row>
    <row r="11" spans="1:9">
      <c r="A11">
        <v>8</v>
      </c>
      <c r="B11">
        <v>32</v>
      </c>
      <c r="C11" s="1">
        <v>39428</v>
      </c>
      <c r="D11">
        <v>120</v>
      </c>
      <c r="E11" t="s">
        <v>4195</v>
      </c>
      <c r="F11" t="str">
        <f>VLOOKUP(B11,judges!A:B,2,FALSE)</f>
        <v>mary e. wiss</v>
      </c>
      <c r="G11" t="str">
        <f>VLOOKUP(A11,donors!A:C,2,FALSE)</f>
        <v xml:space="preserve"> association of business trial lawyers</v>
      </c>
      <c r="H11" t="str">
        <f>VLOOKUP($A11,donors!$A:$C,3,FALSE)</f>
        <v xml:space="preserve"> bar association</v>
      </c>
      <c r="I11" t="s">
        <v>4650</v>
      </c>
    </row>
    <row r="12" spans="1:9">
      <c r="A12">
        <v>9</v>
      </c>
      <c r="B12">
        <v>33</v>
      </c>
      <c r="C12" s="1">
        <v>39175</v>
      </c>
      <c r="D12">
        <v>110</v>
      </c>
      <c r="E12" t="s">
        <v>4196</v>
      </c>
      <c r="F12" t="str">
        <f>VLOOKUP(B12,judges!A:B,2,FALSE)</f>
        <v>rebecca ann wiseman</v>
      </c>
      <c r="G12" t="str">
        <f>VLOOKUP(A12,donors!A:C,2,FALSE)</f>
        <v xml:space="preserve"> monterey bay aquarium</v>
      </c>
      <c r="H12" t="str">
        <f>VLOOKUP($A12,donors!$A:$C,3,FALSE)</f>
        <v xml:space="preserve"> ocean protection</v>
      </c>
      <c r="I12" t="s">
        <v>4651</v>
      </c>
    </row>
    <row r="13" spans="1:9">
      <c r="A13">
        <v>8</v>
      </c>
      <c r="B13">
        <v>36</v>
      </c>
      <c r="C13" s="1">
        <v>39113</v>
      </c>
      <c r="D13">
        <v>40</v>
      </c>
      <c r="E13" t="s">
        <v>4197</v>
      </c>
      <c r="F13" t="str">
        <f>VLOOKUP(B13,judges!A:B,2,FALSE)</f>
        <v>peter john wilson</v>
      </c>
      <c r="G13" t="str">
        <f>VLOOKUP(A13,donors!A:C,2,FALSE)</f>
        <v xml:space="preserve"> association of business trial lawyers</v>
      </c>
      <c r="H13" t="str">
        <f>VLOOKUP($A13,donors!$A:$C,3,FALSE)</f>
        <v xml:space="preserve"> bar association</v>
      </c>
      <c r="I13" t="s">
        <v>4652</v>
      </c>
    </row>
    <row r="14" spans="1:9">
      <c r="A14">
        <v>8</v>
      </c>
      <c r="B14">
        <v>36</v>
      </c>
      <c r="C14" s="1">
        <v>39170</v>
      </c>
      <c r="D14">
        <v>40</v>
      </c>
      <c r="E14" t="s">
        <v>4197</v>
      </c>
      <c r="F14" t="str">
        <f>VLOOKUP(B14,judges!A:B,2,FALSE)</f>
        <v>peter john wilson</v>
      </c>
      <c r="G14" t="str">
        <f>VLOOKUP(A14,donors!A:C,2,FALSE)</f>
        <v xml:space="preserve"> association of business trial lawyers</v>
      </c>
      <c r="H14" t="str">
        <f>VLOOKUP($A14,donors!$A:$C,3,FALSE)</f>
        <v xml:space="preserve"> bar association</v>
      </c>
      <c r="I14" t="s">
        <v>4652</v>
      </c>
    </row>
    <row r="15" spans="1:9">
      <c r="A15">
        <v>8</v>
      </c>
      <c r="B15">
        <v>36</v>
      </c>
      <c r="C15" s="2">
        <v>39546</v>
      </c>
      <c r="D15">
        <v>150</v>
      </c>
      <c r="E15" t="s">
        <v>4198</v>
      </c>
      <c r="F15" t="str">
        <f>VLOOKUP(B15,judges!A:B,2,FALSE)</f>
        <v>peter john wilson</v>
      </c>
      <c r="G15" t="str">
        <f>VLOOKUP(A15,donors!A:C,2,FALSE)</f>
        <v xml:space="preserve"> association of business trial lawyers</v>
      </c>
      <c r="H15" t="str">
        <f>VLOOKUP($A15,donors!$A:$C,3,FALSE)</f>
        <v xml:space="preserve"> bar association</v>
      </c>
      <c r="I15" t="s">
        <v>4652</v>
      </c>
    </row>
    <row r="16" spans="1:9">
      <c r="A16">
        <v>10</v>
      </c>
      <c r="B16">
        <v>43</v>
      </c>
      <c r="C16" s="1">
        <v>39109</v>
      </c>
      <c r="D16">
        <v>125</v>
      </c>
      <c r="E16" t="s">
        <v>4199</v>
      </c>
      <c r="F16" t="str">
        <f>VLOOKUP(B16,judges!A:B,2,FALSE)</f>
        <v>william g. willett</v>
      </c>
      <c r="G16" t="str">
        <f>VLOOKUP(A16,donors!A:C,2,FALSE)</f>
        <v xml:space="preserve"> south bay bar association of los angeles county</v>
      </c>
      <c r="H16" t="str">
        <f>VLOOKUP($A16,donors!$A:$C,3,FALSE)</f>
        <v xml:space="preserve"> --blank--</v>
      </c>
      <c r="I16" t="s">
        <v>4653</v>
      </c>
    </row>
    <row r="17" spans="1:9">
      <c r="A17">
        <v>11</v>
      </c>
      <c r="B17">
        <v>55</v>
      </c>
      <c r="C17" s="1">
        <v>39267</v>
      </c>
      <c r="D17">
        <v>2500</v>
      </c>
      <c r="E17" t="s">
        <v>4200</v>
      </c>
      <c r="F17" t="str">
        <f>VLOOKUP(B17,judges!A:B,2,FALSE)</f>
        <v>stephen w. white</v>
      </c>
      <c r="G17" t="str">
        <f>VLOOKUP(A17,donors!A:C,2,FALSE)</f>
        <v xml:space="preserve"> ray and jan mcnally</v>
      </c>
      <c r="H17" t="str">
        <f>VLOOKUP($A17,donors!$A:$C,3,FALSE)</f>
        <v xml:space="preserve"> media consulting</v>
      </c>
      <c r="I17" t="s">
        <v>4654</v>
      </c>
    </row>
    <row r="18" spans="1:9">
      <c r="A18">
        <v>12</v>
      </c>
      <c r="B18">
        <v>71</v>
      </c>
      <c r="C18" s="2">
        <v>39457</v>
      </c>
      <c r="D18">
        <v>74</v>
      </c>
      <c r="E18" t="s">
        <v>4201</v>
      </c>
      <c r="F18" t="str">
        <f>VLOOKUP(B18,judges!A:B,2,FALSE)</f>
        <v>marie s weiner</v>
      </c>
      <c r="G18" t="str">
        <f>VLOOKUP(A18,donors!A:C,2,FALSE)</f>
        <v xml:space="preserve"> california judges association</v>
      </c>
      <c r="H18" t="str">
        <f>VLOOKUP($A18,donors!$A:$C,3,FALSE)</f>
        <v xml:space="preserve"> professional association (board member</v>
      </c>
      <c r="I18" t="s">
        <v>4655</v>
      </c>
    </row>
    <row r="19" spans="1:9">
      <c r="A19">
        <v>12</v>
      </c>
      <c r="B19">
        <v>71</v>
      </c>
      <c r="C19" t="s">
        <v>2991</v>
      </c>
      <c r="D19">
        <v>20</v>
      </c>
      <c r="E19" t="s">
        <v>4202</v>
      </c>
      <c r="F19" t="str">
        <f>VLOOKUP(B19,judges!A:B,2,FALSE)</f>
        <v>marie s weiner</v>
      </c>
      <c r="G19" t="str">
        <f>VLOOKUP(A19,donors!A:C,2,FALSE)</f>
        <v xml:space="preserve"> california judges association</v>
      </c>
      <c r="H19" t="str">
        <f>VLOOKUP($A19,donors!$A:$C,3,FALSE)</f>
        <v xml:space="preserve"> professional association (board member</v>
      </c>
      <c r="I19" t="s">
        <v>4655</v>
      </c>
    </row>
    <row r="20" spans="1:9">
      <c r="A20">
        <v>12</v>
      </c>
      <c r="B20">
        <v>71</v>
      </c>
      <c r="C20" s="2">
        <v>39548</v>
      </c>
      <c r="D20">
        <v>66</v>
      </c>
      <c r="E20" t="s">
        <v>4202</v>
      </c>
      <c r="F20" t="str">
        <f>VLOOKUP(B20,judges!A:B,2,FALSE)</f>
        <v>marie s weiner</v>
      </c>
      <c r="G20" t="str">
        <f>VLOOKUP(A20,donors!A:C,2,FALSE)</f>
        <v xml:space="preserve"> california judges association</v>
      </c>
      <c r="H20" t="str">
        <f>VLOOKUP($A20,donors!$A:$C,3,FALSE)</f>
        <v xml:space="preserve"> professional association (board member</v>
      </c>
      <c r="I20" t="s">
        <v>4655</v>
      </c>
    </row>
    <row r="21" spans="1:9">
      <c r="A21">
        <v>13</v>
      </c>
      <c r="B21">
        <v>71</v>
      </c>
      <c r="C21" s="1">
        <v>39093</v>
      </c>
      <c r="D21">
        <v>45</v>
      </c>
      <c r="E21" t="s">
        <v>4202</v>
      </c>
      <c r="F21" t="str">
        <f>VLOOKUP(B21,judges!A:B,2,FALSE)</f>
        <v>marie s weiner</v>
      </c>
      <c r="G21" t="str">
        <f>VLOOKUP(A21,donors!A:C,2,FALSE)</f>
        <v xml:space="preserve"> san mateo county bar association</v>
      </c>
      <c r="H21" t="str">
        <f>VLOOKUP($A21,donors!$A:$C,3,FALSE)</f>
        <v xml:space="preserve"> attorney professional association</v>
      </c>
      <c r="I21" t="s">
        <v>4655</v>
      </c>
    </row>
    <row r="22" spans="1:9">
      <c r="A22">
        <v>13</v>
      </c>
      <c r="B22">
        <v>71</v>
      </c>
      <c r="C22" s="1">
        <v>39211</v>
      </c>
      <c r="D22">
        <v>45</v>
      </c>
      <c r="E22" t="s">
        <v>4202</v>
      </c>
      <c r="F22" t="str">
        <f>VLOOKUP(B22,judges!A:B,2,FALSE)</f>
        <v>marie s weiner</v>
      </c>
      <c r="G22" t="str">
        <f>VLOOKUP(A22,donors!A:C,2,FALSE)</f>
        <v xml:space="preserve"> san mateo county bar association</v>
      </c>
      <c r="H22" t="str">
        <f>VLOOKUP($A22,donors!$A:$C,3,FALSE)</f>
        <v xml:space="preserve"> attorney professional association</v>
      </c>
      <c r="I22" t="s">
        <v>4655</v>
      </c>
    </row>
    <row r="23" spans="1:9">
      <c r="A23">
        <v>13</v>
      </c>
      <c r="B23">
        <v>71</v>
      </c>
      <c r="C23" t="s">
        <v>2992</v>
      </c>
      <c r="D23">
        <v>45</v>
      </c>
      <c r="E23" t="s">
        <v>4202</v>
      </c>
      <c r="F23" t="str">
        <f>VLOOKUP(B23,judges!A:B,2,FALSE)</f>
        <v>marie s weiner</v>
      </c>
      <c r="G23" t="str">
        <f>VLOOKUP(A23,donors!A:C,2,FALSE)</f>
        <v xml:space="preserve"> san mateo county bar association</v>
      </c>
      <c r="H23" t="str">
        <f>VLOOKUP($A23,donors!$A:$C,3,FALSE)</f>
        <v xml:space="preserve"> attorney professional association</v>
      </c>
      <c r="I23" t="s">
        <v>4655</v>
      </c>
    </row>
    <row r="24" spans="1:9">
      <c r="A24">
        <v>12</v>
      </c>
      <c r="B24">
        <v>71</v>
      </c>
      <c r="C24" s="1">
        <v>39233</v>
      </c>
      <c r="D24">
        <v>438</v>
      </c>
      <c r="E24" t="s">
        <v>4203</v>
      </c>
      <c r="F24" t="str">
        <f>VLOOKUP(B24,judges!A:B,2,FALSE)</f>
        <v>marie s weiner</v>
      </c>
      <c r="G24" t="str">
        <f>VLOOKUP(A24,donors!A:C,2,FALSE)</f>
        <v xml:space="preserve"> california judges association</v>
      </c>
      <c r="H24" t="str">
        <f>VLOOKUP($A24,donors!$A:$C,3,FALSE)</f>
        <v xml:space="preserve"> professional association (board member</v>
      </c>
      <c r="I24" t="s">
        <v>4655</v>
      </c>
    </row>
    <row r="25" spans="1:9">
      <c r="A25">
        <v>12</v>
      </c>
      <c r="B25">
        <v>71</v>
      </c>
      <c r="C25" s="2">
        <v>39701</v>
      </c>
      <c r="D25">
        <v>320</v>
      </c>
      <c r="E25" t="s">
        <v>4204</v>
      </c>
      <c r="F25" t="str">
        <f>VLOOKUP(B25,judges!A:B,2,FALSE)</f>
        <v>marie s weiner</v>
      </c>
      <c r="G25" t="str">
        <f>VLOOKUP(A25,donors!A:C,2,FALSE)</f>
        <v xml:space="preserve"> california judges association</v>
      </c>
      <c r="H25" t="str">
        <f>VLOOKUP($A25,donors!$A:$C,3,FALSE)</f>
        <v xml:space="preserve"> professional association (board member</v>
      </c>
      <c r="I25" t="s">
        <v>4655</v>
      </c>
    </row>
    <row r="26" spans="1:9">
      <c r="A26">
        <v>12</v>
      </c>
      <c r="B26">
        <v>71</v>
      </c>
      <c r="C26" s="2">
        <v>39762</v>
      </c>
      <c r="D26">
        <v>122</v>
      </c>
      <c r="E26" t="s">
        <v>4205</v>
      </c>
      <c r="F26" t="str">
        <f>VLOOKUP(B26,judges!A:B,2,FALSE)</f>
        <v>marie s weiner</v>
      </c>
      <c r="G26" t="str">
        <f>VLOOKUP(A26,donors!A:C,2,FALSE)</f>
        <v xml:space="preserve"> california judges association</v>
      </c>
      <c r="H26" t="str">
        <f>VLOOKUP($A26,donors!$A:$C,3,FALSE)</f>
        <v xml:space="preserve"> professional association (board member</v>
      </c>
      <c r="I26" t="s">
        <v>4655</v>
      </c>
    </row>
    <row r="27" spans="1:9">
      <c r="A27">
        <v>13</v>
      </c>
      <c r="B27">
        <v>71</v>
      </c>
      <c r="C27" s="1">
        <v>39344</v>
      </c>
      <c r="D27">
        <v>45</v>
      </c>
      <c r="E27" t="s">
        <v>4202</v>
      </c>
      <c r="F27" t="str">
        <f>VLOOKUP(B27,judges!A:B,2,FALSE)</f>
        <v>marie s weiner</v>
      </c>
      <c r="G27" t="str">
        <f>VLOOKUP(A27,donors!A:C,2,FALSE)</f>
        <v xml:space="preserve"> san mateo county bar association</v>
      </c>
      <c r="H27" t="str">
        <f>VLOOKUP($A27,donors!$A:$C,3,FALSE)</f>
        <v xml:space="preserve"> attorney professional association</v>
      </c>
      <c r="I27" t="s">
        <v>4655</v>
      </c>
    </row>
    <row r="28" spans="1:9">
      <c r="A28">
        <v>13</v>
      </c>
      <c r="B28">
        <v>71</v>
      </c>
      <c r="C28" s="1">
        <v>39351</v>
      </c>
      <c r="D28">
        <v>45</v>
      </c>
      <c r="E28" t="s">
        <v>4202</v>
      </c>
      <c r="F28" t="str">
        <f>VLOOKUP(B28,judges!A:B,2,FALSE)</f>
        <v>marie s weiner</v>
      </c>
      <c r="G28" t="str">
        <f>VLOOKUP(A28,donors!A:C,2,FALSE)</f>
        <v xml:space="preserve"> san mateo county bar association</v>
      </c>
      <c r="H28" t="str">
        <f>VLOOKUP($A28,donors!$A:$C,3,FALSE)</f>
        <v xml:space="preserve"> attorney professional association</v>
      </c>
      <c r="I28" t="s">
        <v>4655</v>
      </c>
    </row>
    <row r="29" spans="1:9">
      <c r="A29">
        <v>13</v>
      </c>
      <c r="B29">
        <v>71</v>
      </c>
      <c r="C29" s="1">
        <v>39421</v>
      </c>
      <c r="D29">
        <v>45</v>
      </c>
      <c r="E29" t="s">
        <v>4202</v>
      </c>
      <c r="F29" t="str">
        <f>VLOOKUP(B29,judges!A:B,2,FALSE)</f>
        <v>marie s weiner</v>
      </c>
      <c r="G29" t="str">
        <f>VLOOKUP(A29,donors!A:C,2,FALSE)</f>
        <v xml:space="preserve"> san mateo county bar association</v>
      </c>
      <c r="H29" t="str">
        <f>VLOOKUP($A29,donors!$A:$C,3,FALSE)</f>
        <v xml:space="preserve"> attorney professional association</v>
      </c>
      <c r="I29" t="s">
        <v>4655</v>
      </c>
    </row>
    <row r="30" spans="1:9">
      <c r="A30">
        <v>14</v>
      </c>
      <c r="B30">
        <v>82</v>
      </c>
      <c r="C30" s="1">
        <v>39096</v>
      </c>
      <c r="D30">
        <v>500</v>
      </c>
      <c r="E30" t="s">
        <v>4206</v>
      </c>
      <c r="F30" t="str">
        <f>VLOOKUP(B30,judges!A:B,2,FALSE)</f>
        <v>james l. waltz</v>
      </c>
      <c r="G30" t="str">
        <f>VLOOKUP(A30,donors!A:C,2,FALSE)</f>
        <v xml:space="preserve"> american academy of matrimonial lawyers</v>
      </c>
      <c r="H30" t="str">
        <f>VLOOKUP($A30,donors!$A:$C,3,FALSE)</f>
        <v xml:space="preserve"> professional association</v>
      </c>
      <c r="I30" t="s">
        <v>4656</v>
      </c>
    </row>
    <row r="31" spans="1:9">
      <c r="A31">
        <v>14</v>
      </c>
      <c r="B31">
        <v>82</v>
      </c>
      <c r="C31" s="1">
        <v>39318</v>
      </c>
      <c r="D31">
        <v>60</v>
      </c>
      <c r="E31" t="s">
        <v>4207</v>
      </c>
      <c r="F31" t="str">
        <f>VLOOKUP(B31,judges!A:B,2,FALSE)</f>
        <v>james l. waltz</v>
      </c>
      <c r="G31" t="str">
        <f>VLOOKUP(A31,donors!A:C,2,FALSE)</f>
        <v xml:space="preserve"> american academy of matrimonial lawyers</v>
      </c>
      <c r="H31" t="str">
        <f>VLOOKUP($A31,donors!$A:$C,3,FALSE)</f>
        <v xml:space="preserve"> professional association</v>
      </c>
      <c r="I31" t="s">
        <v>4656</v>
      </c>
    </row>
    <row r="32" spans="1:9">
      <c r="A32">
        <v>15</v>
      </c>
      <c r="B32">
        <v>87</v>
      </c>
      <c r="C32" s="1">
        <v>39387</v>
      </c>
      <c r="D32">
        <v>150</v>
      </c>
      <c r="E32" t="s">
        <v>4208</v>
      </c>
      <c r="F32" t="str">
        <f>VLOOKUP(B32,judges!A:B,2,FALSE)</f>
        <v>brian connor walsh</v>
      </c>
      <c r="G32" t="str">
        <f>VLOOKUP(A32,donors!A:C,2,FALSE)</f>
        <v xml:space="preserve"> sccba</v>
      </c>
      <c r="H32" t="str">
        <f>VLOOKUP($A32,donors!$A:$C,3,FALSE)</f>
        <v xml:space="preserve"> bar associaton</v>
      </c>
      <c r="I32" t="s">
        <v>4657</v>
      </c>
    </row>
    <row r="33" spans="1:9">
      <c r="A33">
        <v>16</v>
      </c>
      <c r="B33">
        <v>87</v>
      </c>
      <c r="C33" s="1">
        <v>39206</v>
      </c>
      <c r="D33">
        <v>75</v>
      </c>
      <c r="E33" t="s">
        <v>4209</v>
      </c>
      <c r="F33" t="str">
        <f>VLOOKUP(B33,judges!A:B,2,FALSE)</f>
        <v>brian connor walsh</v>
      </c>
      <c r="G33" t="str">
        <f>VLOOKUP(A33,donors!A:C,2,FALSE)</f>
        <v xml:space="preserve"> shea &amp; shea- law offices of</v>
      </c>
      <c r="H33" t="str">
        <f>VLOOKUP($A33,donors!$A:$C,3,FALSE)</f>
        <v xml:space="preserve"> law firm</v>
      </c>
      <c r="I33" t="s">
        <v>4657</v>
      </c>
    </row>
    <row r="34" spans="1:9">
      <c r="A34">
        <v>17</v>
      </c>
      <c r="B34">
        <v>113</v>
      </c>
      <c r="C34" s="1">
        <v>39188</v>
      </c>
      <c r="D34">
        <v>150</v>
      </c>
      <c r="E34" t="s">
        <v>4210</v>
      </c>
      <c r="F34" t="str">
        <f>VLOOKUP(B34,judges!A:B,2,FALSE)</f>
        <v>judith ann vander lans</v>
      </c>
      <c r="G34" t="str">
        <f>VLOOKUP(A34,donors!A:C,2,FALSE)</f>
        <v xml:space="preserve"> keesal young &amp; logan</v>
      </c>
      <c r="H34" t="str">
        <f>VLOOKUP($A34,donors!$A:$C,3,FALSE)</f>
        <v xml:space="preserve"> law</v>
      </c>
      <c r="I34" t="s">
        <v>4658</v>
      </c>
    </row>
    <row r="35" spans="1:9">
      <c r="A35">
        <v>18</v>
      </c>
      <c r="B35">
        <v>126</v>
      </c>
      <c r="C35" s="1">
        <v>39428</v>
      </c>
      <c r="D35">
        <v>104</v>
      </c>
      <c r="E35" t="s">
        <v>4211</v>
      </c>
      <c r="F35" t="str">
        <f>VLOOKUP(B35,judges!A:B,2,FALSE)</f>
        <v>ingrid adamson uhler</v>
      </c>
      <c r="G35" t="str">
        <f>VLOOKUP(A35,donors!A:C,2,FALSE)</f>
        <v xml:space="preserve"> knott's berry farm</v>
      </c>
      <c r="H35" t="str">
        <f>VLOOKUP($A35,donors!$A:$C,3,FALSE)</f>
        <v xml:space="preserve"> law enforcement days</v>
      </c>
      <c r="I35" t="s">
        <v>4659</v>
      </c>
    </row>
    <row r="36" spans="1:9">
      <c r="A36">
        <v>19</v>
      </c>
      <c r="B36">
        <v>145</v>
      </c>
      <c r="C36" s="1">
        <v>39113</v>
      </c>
      <c r="D36">
        <v>100</v>
      </c>
      <c r="E36" t="s">
        <v>4212</v>
      </c>
      <c r="F36" t="str">
        <f>VLOOKUP(B36,judges!A:B,2,FALSE)</f>
        <v>patrick eugene tondreau</v>
      </c>
      <c r="G36" t="str">
        <f>VLOOKUP(A36,donors!A:C,2,FALSE)</f>
        <v xml:space="preserve"> ryan park &amp; family</v>
      </c>
      <c r="H36" t="str">
        <f>VLOOKUP($A36,donors!$A:$C,3,FALSE)</f>
        <v xml:space="preserve"> --blank--</v>
      </c>
      <c r="I36" t="s">
        <v>4660</v>
      </c>
    </row>
    <row r="37" spans="1:9">
      <c r="A37">
        <v>20</v>
      </c>
      <c r="B37">
        <v>152</v>
      </c>
      <c r="C37" s="1">
        <v>39359</v>
      </c>
      <c r="D37">
        <v>400</v>
      </c>
      <c r="E37" t="s">
        <v>4213</v>
      </c>
      <c r="F37" t="str">
        <f>VLOOKUP(B37,judges!A:B,2,FALSE)</f>
        <v>leland herbert tipton</v>
      </c>
      <c r="G37" t="str">
        <f>VLOOKUP(A37,donors!A:C,2,FALSE)</f>
        <v xml:space="preserve"> daniel a. nardoni</v>
      </c>
      <c r="H37" t="str">
        <f>VLOOKUP($A37,donors!$A:$C,3,FALSE)</f>
        <v xml:space="preserve"> attorney</v>
      </c>
      <c r="I37" t="s">
        <v>4661</v>
      </c>
    </row>
    <row r="38" spans="1:9">
      <c r="A38">
        <v>21</v>
      </c>
      <c r="B38">
        <v>154</v>
      </c>
      <c r="C38" s="1">
        <v>39376</v>
      </c>
      <c r="D38">
        <v>125</v>
      </c>
      <c r="E38" t="s">
        <v>4214</v>
      </c>
      <c r="F38" t="str">
        <f>VLOOKUP(B38,judges!A:B,2,FALSE)</f>
        <v>jon steven tigar</v>
      </c>
      <c r="G38" t="str">
        <f>VLOOKUP(A38,donors!A:C,2,FALSE)</f>
        <v xml:space="preserve"> debra farb</v>
      </c>
      <c r="H38" t="str">
        <f>VLOOKUP($A38,donors!$A:$C,3,FALSE)</f>
        <v xml:space="preserve"> none</v>
      </c>
      <c r="I38" t="s">
        <v>4662</v>
      </c>
    </row>
    <row r="39" spans="1:9">
      <c r="A39">
        <v>22</v>
      </c>
      <c r="B39">
        <v>154</v>
      </c>
      <c r="C39" s="1">
        <v>39200</v>
      </c>
      <c r="D39">
        <v>350</v>
      </c>
      <c r="E39" t="s">
        <v>4215</v>
      </c>
      <c r="F39" t="str">
        <f>VLOOKUP(B39,judges!A:B,2,FALSE)</f>
        <v>jon steven tigar</v>
      </c>
      <c r="G39" t="str">
        <f>VLOOKUP(A39,donors!A:C,2,FALSE)</f>
        <v xml:space="preserve"> james donato</v>
      </c>
      <c r="H39" t="str">
        <f>VLOOKUP($A39,donors!$A:$C,3,FALSE)</f>
        <v xml:space="preserve"> attorney</v>
      </c>
      <c r="I39" t="s">
        <v>4662</v>
      </c>
    </row>
    <row r="40" spans="1:9">
      <c r="A40">
        <v>8</v>
      </c>
      <c r="B40">
        <v>154</v>
      </c>
      <c r="D40">
        <v>55</v>
      </c>
      <c r="E40" t="s">
        <v>4187</v>
      </c>
      <c r="F40" t="str">
        <f>VLOOKUP(B40,judges!A:B,2,FALSE)</f>
        <v>jon steven tigar</v>
      </c>
      <c r="G40" t="str">
        <f>VLOOKUP(A40,donors!A:C,2,FALSE)</f>
        <v xml:space="preserve"> association of business trial lawyers</v>
      </c>
      <c r="H40" t="str">
        <f>VLOOKUP($A40,donors!$A:$C,3,FALSE)</f>
        <v xml:space="preserve"> bar association</v>
      </c>
      <c r="I40" t="s">
        <v>4662</v>
      </c>
    </row>
    <row r="41" spans="1:9">
      <c r="A41">
        <v>8</v>
      </c>
      <c r="B41">
        <v>154</v>
      </c>
      <c r="D41">
        <v>55</v>
      </c>
      <c r="E41" t="s">
        <v>4187</v>
      </c>
      <c r="F41" t="str">
        <f>VLOOKUP(B41,judges!A:B,2,FALSE)</f>
        <v>jon steven tigar</v>
      </c>
      <c r="G41" t="str">
        <f>VLOOKUP(A41,donors!A:C,2,FALSE)</f>
        <v xml:space="preserve"> association of business trial lawyers</v>
      </c>
      <c r="H41" t="str">
        <f>VLOOKUP($A41,donors!$A:$C,3,FALSE)</f>
        <v xml:space="preserve"> bar association</v>
      </c>
      <c r="I41" t="s">
        <v>4662</v>
      </c>
    </row>
    <row r="42" spans="1:9">
      <c r="A42">
        <v>23</v>
      </c>
      <c r="B42">
        <v>157</v>
      </c>
      <c r="C42" s="1">
        <v>39334</v>
      </c>
      <c r="D42">
        <v>130</v>
      </c>
      <c r="E42" t="s">
        <v>4216</v>
      </c>
      <c r="F42" t="str">
        <f>VLOOKUP(B42,judges!A:B,2,FALSE)</f>
        <v>trina lynn thompson stanley</v>
      </c>
      <c r="G42" t="str">
        <f>VLOOKUP(A42,donors!A:C,2,FALSE)</f>
        <v xml:space="preserve"> california county boards of education</v>
      </c>
      <c r="H42" t="str">
        <f>VLOOKUP($A42,donors!$A:$C,3,FALSE)</f>
        <v xml:space="preserve"> guest speaker - seminar</v>
      </c>
      <c r="I42" t="s">
        <v>4663</v>
      </c>
    </row>
    <row r="43" spans="1:9">
      <c r="A43">
        <v>24</v>
      </c>
      <c r="B43">
        <v>158</v>
      </c>
      <c r="C43" s="1">
        <v>39385</v>
      </c>
      <c r="D43">
        <v>25</v>
      </c>
      <c r="E43" t="s">
        <v>4217</v>
      </c>
      <c r="F43" t="str">
        <f>VLOOKUP(B43,judges!A:B,2,FALSE)</f>
        <v xml:space="preserve"> superior court thompsonsandra ann</v>
      </c>
      <c r="G43" t="str">
        <f>VLOOKUP(A43,donors!A:C,2,FALSE)</f>
        <v xml:space="preserve"> carl cappozzola</v>
      </c>
      <c r="H43" t="str">
        <f>VLOOKUP($A43,donors!$A:$C,3,FALSE)</f>
        <v xml:space="preserve"> law offices</v>
      </c>
      <c r="I43" t="s">
        <v>4664</v>
      </c>
    </row>
    <row r="44" spans="1:9">
      <c r="A44">
        <v>25</v>
      </c>
      <c r="B44">
        <v>172</v>
      </c>
      <c r="C44" s="1">
        <v>39172</v>
      </c>
      <c r="D44">
        <v>75</v>
      </c>
      <c r="E44" t="s">
        <v>4207</v>
      </c>
      <c r="F44" t="str">
        <f>VLOOKUP(B44,judges!A:B,2,FALSE)</f>
        <v>donna l. tarter</v>
      </c>
      <c r="G44" t="str">
        <f>VLOOKUP(A44,donors!A:C,2,FALSE)</f>
        <v xml:space="preserve"> kings county bar association</v>
      </c>
      <c r="H44" t="str">
        <f>VLOOKUP($A44,donors!$A:$C,3,FALSE)</f>
        <v xml:space="preserve"> county bar association</v>
      </c>
      <c r="I44" t="s">
        <v>4665</v>
      </c>
    </row>
    <row r="45" spans="1:9">
      <c r="A45">
        <v>25</v>
      </c>
      <c r="B45">
        <v>172</v>
      </c>
      <c r="C45" s="1">
        <v>39352</v>
      </c>
      <c r="D45">
        <v>75</v>
      </c>
      <c r="E45" t="s">
        <v>4207</v>
      </c>
      <c r="F45" t="str">
        <f>VLOOKUP(B45,judges!A:B,2,FALSE)</f>
        <v>donna l. tarter</v>
      </c>
      <c r="G45" t="str">
        <f>VLOOKUP(A45,donors!A:C,2,FALSE)</f>
        <v xml:space="preserve"> kings county bar association</v>
      </c>
      <c r="H45" t="str">
        <f>VLOOKUP($A45,donors!$A:$C,3,FALSE)</f>
        <v xml:space="preserve"> county bar association</v>
      </c>
      <c r="I45" t="s">
        <v>4665</v>
      </c>
    </row>
    <row r="46" spans="1:9">
      <c r="A46">
        <v>26</v>
      </c>
      <c r="B46">
        <v>172</v>
      </c>
      <c r="C46" s="1">
        <v>39156</v>
      </c>
      <c r="D46">
        <v>75</v>
      </c>
      <c r="E46" t="s">
        <v>4218</v>
      </c>
      <c r="F46" t="str">
        <f>VLOOKUP(B46,judges!A:B,2,FALSE)</f>
        <v>donna l. tarter</v>
      </c>
      <c r="G46" t="str">
        <f>VLOOKUP(A46,donors!A:C,2,FALSE)</f>
        <v xml:space="preserve"> *abtl (c/o mccormick barstow)</v>
      </c>
      <c r="H46" t="str">
        <f>VLOOKUP($A46,donors!$A:$C,3,FALSE)</f>
        <v xml:space="preserve"> bar association</v>
      </c>
      <c r="I46" t="s">
        <v>4665</v>
      </c>
    </row>
    <row r="47" spans="1:9">
      <c r="A47">
        <v>26</v>
      </c>
      <c r="B47">
        <v>172</v>
      </c>
      <c r="C47" s="1">
        <v>39395</v>
      </c>
      <c r="D47">
        <v>75</v>
      </c>
      <c r="E47" t="s">
        <v>4218</v>
      </c>
      <c r="F47" t="str">
        <f>VLOOKUP(B47,judges!A:B,2,FALSE)</f>
        <v>donna l. tarter</v>
      </c>
      <c r="G47" t="str">
        <f>VLOOKUP(A47,donors!A:C,2,FALSE)</f>
        <v xml:space="preserve"> *abtl (c/o mccormick barstow)</v>
      </c>
      <c r="H47" t="str">
        <f>VLOOKUP($A47,donors!$A:$C,3,FALSE)</f>
        <v xml:space="preserve"> bar association</v>
      </c>
      <c r="I47" t="s">
        <v>4665</v>
      </c>
    </row>
    <row r="48" spans="1:9">
      <c r="A48">
        <v>27</v>
      </c>
      <c r="B48">
        <v>183</v>
      </c>
      <c r="C48" s="1">
        <v>39110</v>
      </c>
      <c r="D48">
        <v>1000</v>
      </c>
      <c r="E48" t="s">
        <v>4219</v>
      </c>
      <c r="F48" t="str">
        <f>VLOOKUP(B48,judges!A:B,2,FALSE)</f>
        <v>ariadne  symons</v>
      </c>
      <c r="G48" t="str">
        <f>VLOOKUP(A48,donors!A:C,2,FALSE)</f>
        <v xml:space="preserve"> jim &amp; barbara thompson</v>
      </c>
      <c r="H48" t="str">
        <f>VLOOKUP($A48,donors!$A:$C,3,FALSE)</f>
        <v xml:space="preserve"> --blank--</v>
      </c>
      <c r="I48" t="s">
        <v>4666</v>
      </c>
    </row>
    <row r="49" spans="1:9">
      <c r="A49">
        <v>28</v>
      </c>
      <c r="B49">
        <v>183</v>
      </c>
      <c r="C49" s="1">
        <v>39179</v>
      </c>
      <c r="D49">
        <v>3000</v>
      </c>
      <c r="E49" t="s">
        <v>4220</v>
      </c>
      <c r="F49" t="str">
        <f>VLOOKUP(B49,judges!A:B,2,FALSE)</f>
        <v>ariadne  symons</v>
      </c>
      <c r="G49" t="str">
        <f>VLOOKUP(A49,donors!A:C,2,FALSE)</f>
        <v xml:space="preserve"> miles miracle/ rotary</v>
      </c>
      <c r="H49" t="str">
        <f>VLOOKUP($A49,donors!$A:$C,3,FALSE)</f>
        <v xml:space="preserve"> non-profit service club</v>
      </c>
      <c r="I49" t="s">
        <v>4666</v>
      </c>
    </row>
    <row r="50" spans="1:9">
      <c r="A50">
        <v>13</v>
      </c>
      <c r="B50">
        <v>184</v>
      </c>
      <c r="C50" s="1">
        <v>39241</v>
      </c>
      <c r="D50">
        <v>65</v>
      </c>
      <c r="E50" t="s">
        <v>4187</v>
      </c>
      <c r="F50" t="str">
        <f>VLOOKUP(B50,judges!A:B,2,FALSE)</f>
        <v>virgil raymond swope iii</v>
      </c>
      <c r="G50" t="str">
        <f>VLOOKUP(A50,donors!A:C,2,FALSE)</f>
        <v xml:space="preserve"> san mateo county bar association</v>
      </c>
      <c r="H50" t="str">
        <f>VLOOKUP($A50,donors!$A:$C,3,FALSE)</f>
        <v xml:space="preserve"> attorney professional association</v>
      </c>
      <c r="I50" t="s">
        <v>4667</v>
      </c>
    </row>
    <row r="51" spans="1:9">
      <c r="A51">
        <v>13</v>
      </c>
      <c r="B51">
        <v>184</v>
      </c>
      <c r="C51" s="1">
        <v>39211</v>
      </c>
      <c r="D51">
        <v>47.5</v>
      </c>
      <c r="E51" t="s">
        <v>4217</v>
      </c>
      <c r="F51" t="str">
        <f>VLOOKUP(B51,judges!A:B,2,FALSE)</f>
        <v>virgil raymond swope iii</v>
      </c>
      <c r="G51" t="str">
        <f>VLOOKUP(A51,donors!A:C,2,FALSE)</f>
        <v xml:space="preserve"> san mateo county bar association</v>
      </c>
      <c r="H51" t="str">
        <f>VLOOKUP($A51,donors!$A:$C,3,FALSE)</f>
        <v xml:space="preserve"> attorney professional association</v>
      </c>
      <c r="I51" t="s">
        <v>4667</v>
      </c>
    </row>
    <row r="52" spans="1:9">
      <c r="A52">
        <v>29</v>
      </c>
      <c r="B52">
        <v>184</v>
      </c>
      <c r="C52" s="1">
        <v>39388</v>
      </c>
      <c r="D52">
        <v>100</v>
      </c>
      <c r="E52" t="s">
        <v>4187</v>
      </c>
      <c r="F52" t="str">
        <f>VLOOKUP(B52,judges!A:B,2,FALSE)</f>
        <v>virgil raymond swope iii</v>
      </c>
      <c r="G52" t="str">
        <f>VLOOKUP(A52,donors!A:C,2,FALSE)</f>
        <v xml:space="preserve"> san mateo county trial lawyers association</v>
      </c>
      <c r="H52" t="str">
        <f>VLOOKUP($A52,donors!$A:$C,3,FALSE)</f>
        <v xml:space="preserve"> judges' night</v>
      </c>
      <c r="I52" t="s">
        <v>4667</v>
      </c>
    </row>
    <row r="53" spans="1:9">
      <c r="A53">
        <v>13</v>
      </c>
      <c r="B53">
        <v>184</v>
      </c>
      <c r="C53" s="1">
        <v>39207</v>
      </c>
      <c r="D53">
        <v>55</v>
      </c>
      <c r="E53" t="s">
        <v>4217</v>
      </c>
      <c r="F53" t="str">
        <f>VLOOKUP(B53,judges!A:B,2,FALSE)</f>
        <v>virgil raymond swope iii</v>
      </c>
      <c r="G53" t="str">
        <f>VLOOKUP(A53,donors!A:C,2,FALSE)</f>
        <v xml:space="preserve"> san mateo county bar association</v>
      </c>
      <c r="H53" t="str">
        <f>VLOOKUP($A53,donors!$A:$C,3,FALSE)</f>
        <v xml:space="preserve"> attorney professional association</v>
      </c>
      <c r="I53" t="s">
        <v>4667</v>
      </c>
    </row>
    <row r="54" spans="1:9">
      <c r="A54">
        <v>2</v>
      </c>
      <c r="B54">
        <v>191</v>
      </c>
      <c r="C54" s="1">
        <v>39101</v>
      </c>
      <c r="D54">
        <v>75</v>
      </c>
      <c r="E54" t="s">
        <v>4187</v>
      </c>
      <c r="F54" t="str">
        <f>VLOOKUP(B54,judges!A:B,2,FALSE)</f>
        <v>donald james sullivan</v>
      </c>
      <c r="G54" t="str">
        <f>VLOOKUP(A54,donors!A:C,2,FALSE)</f>
        <v xml:space="preserve"> san francisco trial lawyers assn</v>
      </c>
      <c r="H54" t="str">
        <f>VLOOKUP($A54,donors!$A:$C,3,FALSE)</f>
        <v xml:space="preserve"> bar association</v>
      </c>
      <c r="I54" t="s">
        <v>4668</v>
      </c>
    </row>
    <row r="55" spans="1:9">
      <c r="A55">
        <v>2</v>
      </c>
      <c r="B55">
        <v>191</v>
      </c>
      <c r="C55" s="1">
        <v>39199</v>
      </c>
      <c r="D55">
        <v>125</v>
      </c>
      <c r="E55" t="s">
        <v>4187</v>
      </c>
      <c r="F55" t="str">
        <f>VLOOKUP(B55,judges!A:B,2,FALSE)</f>
        <v>donald james sullivan</v>
      </c>
      <c r="G55" t="str">
        <f>VLOOKUP(A55,donors!A:C,2,FALSE)</f>
        <v xml:space="preserve"> san francisco trial lawyers assn</v>
      </c>
      <c r="H55" t="str">
        <f>VLOOKUP($A55,donors!$A:$C,3,FALSE)</f>
        <v xml:space="preserve"> bar association</v>
      </c>
      <c r="I55" t="s">
        <v>4668</v>
      </c>
    </row>
    <row r="56" spans="1:9">
      <c r="A56">
        <v>2</v>
      </c>
      <c r="B56">
        <v>191</v>
      </c>
      <c r="C56" s="1">
        <v>39368</v>
      </c>
      <c r="D56">
        <v>150</v>
      </c>
      <c r="E56" t="s">
        <v>4187</v>
      </c>
      <c r="F56" t="str">
        <f>VLOOKUP(B56,judges!A:B,2,FALSE)</f>
        <v>donald james sullivan</v>
      </c>
      <c r="G56" t="str">
        <f>VLOOKUP(A56,donors!A:C,2,FALSE)</f>
        <v xml:space="preserve"> san francisco trial lawyers assn</v>
      </c>
      <c r="H56" t="str">
        <f>VLOOKUP($A56,donors!$A:$C,3,FALSE)</f>
        <v xml:space="preserve"> bar association</v>
      </c>
      <c r="I56" t="s">
        <v>4668</v>
      </c>
    </row>
    <row r="57" spans="1:9">
      <c r="A57">
        <v>30</v>
      </c>
      <c r="B57">
        <v>191</v>
      </c>
      <c r="C57" s="1">
        <v>39424</v>
      </c>
      <c r="D57">
        <v>75</v>
      </c>
      <c r="E57" t="s">
        <v>4217</v>
      </c>
      <c r="F57" t="str">
        <f>VLOOKUP(B57,judges!A:B,2,FALSE)</f>
        <v>donald james sullivan</v>
      </c>
      <c r="G57" t="str">
        <f>VLOOKUP(A57,donors!A:C,2,FALSE)</f>
        <v xml:space="preserve"> italian american bar assn</v>
      </c>
      <c r="H57" t="str">
        <f>VLOOKUP($A57,donors!$A:$C,3,FALSE)</f>
        <v xml:space="preserve"> bar assn</v>
      </c>
      <c r="I57" t="s">
        <v>4668</v>
      </c>
    </row>
    <row r="58" spans="1:9">
      <c r="A58">
        <v>31</v>
      </c>
      <c r="B58">
        <v>193</v>
      </c>
      <c r="C58" s="1">
        <v>39136</v>
      </c>
      <c r="D58">
        <v>50</v>
      </c>
      <c r="E58" t="s">
        <v>4207</v>
      </c>
      <c r="F58" t="str">
        <f>VLOOKUP(B58,judges!A:B,2,FALSE)</f>
        <v>richard k sueyoshi</v>
      </c>
      <c r="G58" t="str">
        <f>VLOOKUP(A58,donors!A:C,2,FALSE)</f>
        <v xml:space="preserve"> sacramento asian pacific chamber of commerce</v>
      </c>
      <c r="H58" t="str">
        <f>VLOOKUP($A58,donors!$A:$C,3,FALSE)</f>
        <v xml:space="preserve"> non-profit association</v>
      </c>
      <c r="I58" t="s">
        <v>4669</v>
      </c>
    </row>
    <row r="59" spans="1:9">
      <c r="A59">
        <v>32</v>
      </c>
      <c r="B59">
        <v>193</v>
      </c>
      <c r="C59" s="1">
        <v>39155</v>
      </c>
      <c r="D59">
        <v>50</v>
      </c>
      <c r="E59" t="s">
        <v>4221</v>
      </c>
      <c r="F59" t="str">
        <f>VLOOKUP(B59,judges!A:B,2,FALSE)</f>
        <v>richard k sueyoshi</v>
      </c>
      <c r="G59" t="str">
        <f>VLOOKUP(A59,donors!A:C,2,FALSE)</f>
        <v xml:space="preserve"> edwin prather</v>
      </c>
      <c r="H59" t="str">
        <f>VLOOKUP($A59,donors!$A:$C,3,FALSE)</f>
        <v xml:space="preserve"> attorney</v>
      </c>
      <c r="I59" t="s">
        <v>4669</v>
      </c>
    </row>
    <row r="60" spans="1:9">
      <c r="A60">
        <v>33</v>
      </c>
      <c r="B60">
        <v>194</v>
      </c>
      <c r="C60" s="1">
        <v>39416</v>
      </c>
      <c r="D60">
        <v>120</v>
      </c>
      <c r="E60" t="s">
        <v>4222</v>
      </c>
      <c r="F60" t="str">
        <f>VLOOKUP(B60,judges!A:B,2,FALSE)</f>
        <v>ronald l styn</v>
      </c>
      <c r="G60" t="str">
        <f>VLOOKUP(A60,donors!A:C,2,FALSE)</f>
        <v xml:space="preserve"> san diego apartment brokers</v>
      </c>
      <c r="H60" t="str">
        <f>VLOOKUP($A60,donors!$A:$C,3,FALSE)</f>
        <v xml:space="preserve"> apartment managers</v>
      </c>
      <c r="I60" t="s">
        <v>4670</v>
      </c>
    </row>
    <row r="61" spans="1:9">
      <c r="A61">
        <v>34</v>
      </c>
      <c r="B61">
        <v>210</v>
      </c>
      <c r="C61">
        <v>2011</v>
      </c>
      <c r="D61">
        <v>100</v>
      </c>
      <c r="E61" t="s">
        <v>4223</v>
      </c>
      <c r="F61" t="str">
        <f>VLOOKUP(B61,judges!A:B,2,FALSE)</f>
        <v>nancy wieben stock</v>
      </c>
      <c r="G61" t="str">
        <f>VLOOKUP(A61,donors!A:C,2,FALSE)</f>
        <v xml:space="preserve"> association business trial lawyers-abtl</v>
      </c>
      <c r="H61" t="str">
        <f>VLOOKUP($A61,donors!$A:$C,3,FALSE)</f>
        <v xml:space="preserve"> business bar association</v>
      </c>
      <c r="I61" t="s">
        <v>4671</v>
      </c>
    </row>
    <row r="62" spans="1:9">
      <c r="A62">
        <v>35</v>
      </c>
      <c r="B62">
        <v>211</v>
      </c>
      <c r="C62" t="s">
        <v>2993</v>
      </c>
      <c r="D62">
        <v>100</v>
      </c>
      <c r="E62" t="s">
        <v>4224</v>
      </c>
      <c r="F62" t="str">
        <f>VLOOKUP(B62,judges!A:B,2,FALSE)</f>
        <v>william david stewart</v>
      </c>
      <c r="G62" t="str">
        <f>VLOOKUP(A62,donors!A:C,2,FALSE)</f>
        <v xml:space="preserve"> consumer attorneys of california</v>
      </c>
      <c r="H62" t="str">
        <f>VLOOKUP($A62,donors!$A:$C,3,FALSE)</f>
        <v xml:space="preserve"> voluntary bar association</v>
      </c>
      <c r="I62" t="s">
        <v>4672</v>
      </c>
    </row>
    <row r="63" spans="1:9">
      <c r="A63">
        <v>36</v>
      </c>
      <c r="B63">
        <v>211</v>
      </c>
      <c r="C63" s="1">
        <v>39108</v>
      </c>
      <c r="D63">
        <v>100</v>
      </c>
      <c r="E63" t="s">
        <v>4202</v>
      </c>
      <c r="F63" t="str">
        <f>VLOOKUP(B63,judges!A:B,2,FALSE)</f>
        <v>william david stewart</v>
      </c>
      <c r="G63" t="str">
        <f>VLOOKUP(A63,donors!A:C,2,FALSE)</f>
        <v xml:space="preserve"> girardi keese</v>
      </c>
      <c r="H63" t="str">
        <f>VLOOKUP($A63,donors!$A:$C,3,FALSE)</f>
        <v xml:space="preserve"> law firm</v>
      </c>
      <c r="I63" t="s">
        <v>4672</v>
      </c>
    </row>
    <row r="64" spans="1:9">
      <c r="A64">
        <v>37</v>
      </c>
      <c r="B64">
        <v>239</v>
      </c>
      <c r="C64" s="1">
        <v>39109</v>
      </c>
      <c r="D64">
        <v>125</v>
      </c>
      <c r="E64" t="s">
        <v>4187</v>
      </c>
      <c r="F64" t="str">
        <f>VLOOKUP(B64,judges!A:B,2,FALSE)</f>
        <v>thomas r sokolov</v>
      </c>
      <c r="G64" t="str">
        <f>VLOOKUP(A64,donors!A:C,2,FALSE)</f>
        <v xml:space="preserve"> south bay bar association</v>
      </c>
      <c r="H64" t="str">
        <f>VLOOKUP($A64,donors!$A:$C,3,FALSE)</f>
        <v xml:space="preserve"> bar association</v>
      </c>
      <c r="I64" t="s">
        <v>4673</v>
      </c>
    </row>
    <row r="65" spans="1:9">
      <c r="A65">
        <v>38</v>
      </c>
      <c r="B65">
        <v>248</v>
      </c>
      <c r="C65" s="1">
        <v>39101</v>
      </c>
      <c r="D65">
        <v>50</v>
      </c>
      <c r="E65" t="s">
        <v>4225</v>
      </c>
      <c r="F65" t="str">
        <f>VLOOKUP(B65,judges!A:B,2,FALSE)</f>
        <v>clay m. smith</v>
      </c>
      <c r="G65" t="str">
        <f>VLOOKUP(A65,donors!A:C,2,FALSE)</f>
        <v xml:space="preserve"> orange county bar ass'n</v>
      </c>
      <c r="H65" t="str">
        <f>VLOOKUP($A65,donors!$A:$C,3,FALSE)</f>
        <v xml:space="preserve"> --blank--</v>
      </c>
      <c r="I65" t="s">
        <v>4674</v>
      </c>
    </row>
    <row r="66" spans="1:9">
      <c r="A66">
        <v>38</v>
      </c>
      <c r="B66">
        <v>248</v>
      </c>
      <c r="C66" s="1">
        <v>39136</v>
      </c>
      <c r="D66">
        <v>25</v>
      </c>
      <c r="E66" t="s">
        <v>4226</v>
      </c>
      <c r="F66" t="str">
        <f>VLOOKUP(B66,judges!A:B,2,FALSE)</f>
        <v>clay m. smith</v>
      </c>
      <c r="G66" t="str">
        <f>VLOOKUP(A66,donors!A:C,2,FALSE)</f>
        <v xml:space="preserve"> orange county bar ass'n</v>
      </c>
      <c r="H66" t="str">
        <f>VLOOKUP($A66,donors!$A:$C,3,FALSE)</f>
        <v xml:space="preserve"> --blank--</v>
      </c>
      <c r="I66" t="s">
        <v>4674</v>
      </c>
    </row>
    <row r="67" spans="1:9">
      <c r="A67">
        <v>38</v>
      </c>
      <c r="B67">
        <v>248</v>
      </c>
      <c r="C67" s="1">
        <v>39192</v>
      </c>
      <c r="D67">
        <v>25</v>
      </c>
      <c r="E67" t="s">
        <v>4226</v>
      </c>
      <c r="F67" t="str">
        <f>VLOOKUP(B67,judges!A:B,2,FALSE)</f>
        <v>clay m. smith</v>
      </c>
      <c r="G67" t="str">
        <f>VLOOKUP(A67,donors!A:C,2,FALSE)</f>
        <v xml:space="preserve"> orange county bar ass'n</v>
      </c>
      <c r="H67" t="str">
        <f>VLOOKUP($A67,donors!$A:$C,3,FALSE)</f>
        <v xml:space="preserve"> --blank--</v>
      </c>
      <c r="I67" t="s">
        <v>4674</v>
      </c>
    </row>
    <row r="68" spans="1:9">
      <c r="A68">
        <v>39</v>
      </c>
      <c r="B68">
        <v>248</v>
      </c>
      <c r="C68" s="1">
        <v>39219</v>
      </c>
      <c r="D68">
        <v>25</v>
      </c>
      <c r="E68" t="s">
        <v>4226</v>
      </c>
      <c r="F68" t="str">
        <f>VLOOKUP(B68,judges!A:B,2,FALSE)</f>
        <v>clay m. smith</v>
      </c>
      <c r="G68" t="str">
        <f>VLOOKUP(A68,donors!A:C,2,FALSE)</f>
        <v xml:space="preserve"> same as above</v>
      </c>
      <c r="H68" t="str">
        <f>VLOOKUP($A68,donors!$A:$C,3,FALSE)</f>
        <v xml:space="preserve"> --blank--</v>
      </c>
      <c r="I68" t="s">
        <v>4674</v>
      </c>
    </row>
    <row r="69" spans="1:9">
      <c r="A69">
        <v>39</v>
      </c>
      <c r="B69">
        <v>248</v>
      </c>
      <c r="C69" s="1">
        <v>39282</v>
      </c>
      <c r="D69">
        <v>25</v>
      </c>
      <c r="E69" t="s">
        <v>4226</v>
      </c>
      <c r="F69" t="str">
        <f>VLOOKUP(B69,judges!A:B,2,FALSE)</f>
        <v>clay m. smith</v>
      </c>
      <c r="G69" t="str">
        <f>VLOOKUP(A69,donors!A:C,2,FALSE)</f>
        <v xml:space="preserve"> same as above</v>
      </c>
      <c r="H69" t="str">
        <f>VLOOKUP($A69,donors!$A:$C,3,FALSE)</f>
        <v xml:space="preserve"> --blank--</v>
      </c>
      <c r="I69" t="s">
        <v>4674</v>
      </c>
    </row>
    <row r="70" spans="1:9">
      <c r="A70">
        <v>39</v>
      </c>
      <c r="B70">
        <v>248</v>
      </c>
      <c r="C70" s="1">
        <v>39373</v>
      </c>
      <c r="D70">
        <v>25</v>
      </c>
      <c r="E70" t="s">
        <v>4226</v>
      </c>
      <c r="F70" t="str">
        <f>VLOOKUP(B70,judges!A:B,2,FALSE)</f>
        <v>clay m. smith</v>
      </c>
      <c r="G70" t="str">
        <f>VLOOKUP(A70,donors!A:C,2,FALSE)</f>
        <v xml:space="preserve"> same as above</v>
      </c>
      <c r="H70" t="str">
        <f>VLOOKUP($A70,donors!$A:$C,3,FALSE)</f>
        <v xml:space="preserve"> --blank--</v>
      </c>
      <c r="I70" t="s">
        <v>4674</v>
      </c>
    </row>
    <row r="71" spans="1:9">
      <c r="A71">
        <v>40</v>
      </c>
      <c r="B71">
        <v>269</v>
      </c>
      <c r="D71">
        <v>160</v>
      </c>
      <c r="E71" t="s">
        <v>4227</v>
      </c>
      <c r="F71" t="str">
        <f>VLOOKUP(B71,judges!A:B,2,FALSE)</f>
        <v>clandia  silbar</v>
      </c>
      <c r="G71" t="str">
        <f>VLOOKUP(A71,donors!A:C,2,FALSE)</f>
        <v xml:space="preserve"> ocba - fl section</v>
      </c>
      <c r="H71" t="str">
        <f>VLOOKUP($A71,donors!$A:$C,3,FALSE)</f>
        <v xml:space="preserve"> educational</v>
      </c>
      <c r="I71" t="s">
        <v>4675</v>
      </c>
    </row>
    <row r="72" spans="1:9">
      <c r="A72">
        <v>41</v>
      </c>
      <c r="B72">
        <v>269</v>
      </c>
      <c r="C72" t="s">
        <v>2995</v>
      </c>
      <c r="D72">
        <v>75</v>
      </c>
      <c r="E72" t="s">
        <v>4187</v>
      </c>
      <c r="F72" t="str">
        <f>VLOOKUP(B72,judges!A:B,2,FALSE)</f>
        <v>clandia  silbar</v>
      </c>
      <c r="G72" t="str">
        <f>VLOOKUP(A72,donors!A:C,2,FALSE)</f>
        <v xml:space="preserve"> matrimonial lawyers-aaml</v>
      </c>
      <c r="H72" t="str">
        <f>VLOOKUP($A72,donors!$A:$C,3,FALSE)</f>
        <v xml:space="preserve"> educational/social</v>
      </c>
      <c r="I72" t="s">
        <v>4675</v>
      </c>
    </row>
    <row r="73" spans="1:9">
      <c r="A73">
        <v>42</v>
      </c>
      <c r="B73">
        <v>279</v>
      </c>
      <c r="C73" s="1">
        <v>39440</v>
      </c>
      <c r="D73">
        <v>300</v>
      </c>
      <c r="E73" t="s">
        <v>4228</v>
      </c>
      <c r="F73" t="str">
        <f>VLOOKUP(B73,judges!A:B,2,FALSE)</f>
        <v>norm j. shapiro</v>
      </c>
      <c r="G73" t="str">
        <f>VLOOKUP(A73,donors!A:C,2,FALSE)</f>
        <v xml:space="preserve"> los angeles lakers</v>
      </c>
      <c r="H73" t="str">
        <f>VLOOKUP($A73,donors!$A:$C,3,FALSE)</f>
        <v xml:space="preserve"> professional basketball team</v>
      </c>
      <c r="I73" t="s">
        <v>4676</v>
      </c>
    </row>
    <row r="74" spans="1:9">
      <c r="A74">
        <v>43</v>
      </c>
      <c r="B74">
        <v>284</v>
      </c>
      <c r="C74" s="1">
        <v>39299</v>
      </c>
      <c r="D74">
        <v>250</v>
      </c>
      <c r="E74" t="s">
        <v>4229</v>
      </c>
      <c r="F74" t="str">
        <f>VLOOKUP(B74,judges!A:B,2,FALSE)</f>
        <v>gerald  sevier</v>
      </c>
      <c r="G74" t="str">
        <f>VLOOKUP(A74,donors!A:C,2,FALSE)</f>
        <v xml:space="preserve"> robert brown</v>
      </c>
      <c r="H74" t="str">
        <f>VLOOKUP($A74,donors!$A:$C,3,FALSE)</f>
        <v xml:space="preserve"> --blank--</v>
      </c>
      <c r="I74" t="s">
        <v>4677</v>
      </c>
    </row>
    <row r="75" spans="1:9">
      <c r="A75">
        <v>44</v>
      </c>
      <c r="B75">
        <v>294</v>
      </c>
      <c r="C75" s="1">
        <v>39388</v>
      </c>
      <c r="D75">
        <v>75</v>
      </c>
      <c r="E75" t="s">
        <v>4230</v>
      </c>
      <c r="F75" t="str">
        <f>VLOOKUP(B75,judges!A:B,2,FALSE)</f>
        <v>joseph c. scott</v>
      </c>
      <c r="G75" t="str">
        <f>VLOOKUP(A75,donors!A:C,2,FALSE)</f>
        <v xml:space="preserve"> san mateo county trial lawyers</v>
      </c>
      <c r="H75" t="str">
        <f>VLOOKUP($A75,donors!$A:$C,3,FALSE)</f>
        <v xml:space="preserve"> association of trial lawyers</v>
      </c>
      <c r="I75" t="s">
        <v>4678</v>
      </c>
    </row>
    <row r="76" spans="1:9">
      <c r="A76">
        <v>13</v>
      </c>
      <c r="B76">
        <v>294</v>
      </c>
      <c r="C76" s="1">
        <v>39093</v>
      </c>
      <c r="D76">
        <v>50</v>
      </c>
      <c r="E76" t="s">
        <v>4231</v>
      </c>
      <c r="F76" t="str">
        <f>VLOOKUP(B76,judges!A:B,2,FALSE)</f>
        <v>joseph c. scott</v>
      </c>
      <c r="G76" t="str">
        <f>VLOOKUP(A76,donors!A:C,2,FALSE)</f>
        <v xml:space="preserve"> san mateo county bar association</v>
      </c>
      <c r="H76" t="str">
        <f>VLOOKUP($A76,donors!$A:$C,3,FALSE)</f>
        <v xml:space="preserve"> attorney professional association</v>
      </c>
      <c r="I76" t="s">
        <v>4678</v>
      </c>
    </row>
    <row r="77" spans="1:9">
      <c r="A77">
        <v>13</v>
      </c>
      <c r="B77">
        <v>294</v>
      </c>
      <c r="C77" s="1">
        <v>39211</v>
      </c>
      <c r="D77">
        <v>35</v>
      </c>
      <c r="E77" t="s">
        <v>4232</v>
      </c>
      <c r="F77" t="str">
        <f>VLOOKUP(B77,judges!A:B,2,FALSE)</f>
        <v>joseph c. scott</v>
      </c>
      <c r="G77" t="str">
        <f>VLOOKUP(A77,donors!A:C,2,FALSE)</f>
        <v xml:space="preserve"> san mateo county bar association</v>
      </c>
      <c r="H77" t="str">
        <f>VLOOKUP($A77,donors!$A:$C,3,FALSE)</f>
        <v xml:space="preserve"> attorney professional association</v>
      </c>
      <c r="I77" t="s">
        <v>4678</v>
      </c>
    </row>
    <row r="78" spans="1:9">
      <c r="A78">
        <v>13</v>
      </c>
      <c r="B78">
        <v>294</v>
      </c>
      <c r="C78" s="1">
        <v>39241</v>
      </c>
      <c r="D78">
        <v>50</v>
      </c>
      <c r="E78" t="s">
        <v>4230</v>
      </c>
      <c r="F78" t="str">
        <f>VLOOKUP(B78,judges!A:B,2,FALSE)</f>
        <v>joseph c. scott</v>
      </c>
      <c r="G78" t="str">
        <f>VLOOKUP(A78,donors!A:C,2,FALSE)</f>
        <v xml:space="preserve"> san mateo county bar association</v>
      </c>
      <c r="H78" t="str">
        <f>VLOOKUP($A78,donors!$A:$C,3,FALSE)</f>
        <v xml:space="preserve"> attorney professional association</v>
      </c>
      <c r="I78" t="s">
        <v>4678</v>
      </c>
    </row>
    <row r="79" spans="1:9">
      <c r="A79">
        <v>13</v>
      </c>
      <c r="B79">
        <v>294</v>
      </c>
      <c r="C79" s="1">
        <v>39351</v>
      </c>
      <c r="D79">
        <v>35</v>
      </c>
      <c r="E79" t="s">
        <v>4233</v>
      </c>
      <c r="F79" t="str">
        <f>VLOOKUP(B79,judges!A:B,2,FALSE)</f>
        <v>joseph c. scott</v>
      </c>
      <c r="G79" t="str">
        <f>VLOOKUP(A79,donors!A:C,2,FALSE)</f>
        <v xml:space="preserve"> san mateo county bar association</v>
      </c>
      <c r="H79" t="str">
        <f>VLOOKUP($A79,donors!$A:$C,3,FALSE)</f>
        <v xml:space="preserve"> attorney professional association</v>
      </c>
      <c r="I79" t="s">
        <v>4678</v>
      </c>
    </row>
    <row r="80" spans="1:9">
      <c r="A80">
        <v>13</v>
      </c>
      <c r="B80">
        <v>294</v>
      </c>
      <c r="C80" s="1">
        <v>39421</v>
      </c>
      <c r="D80">
        <v>35</v>
      </c>
      <c r="E80" t="s">
        <v>4232</v>
      </c>
      <c r="F80" t="str">
        <f>VLOOKUP(B80,judges!A:B,2,FALSE)</f>
        <v>joseph c. scott</v>
      </c>
      <c r="G80" t="str">
        <f>VLOOKUP(A80,donors!A:C,2,FALSE)</f>
        <v xml:space="preserve"> san mateo county bar association</v>
      </c>
      <c r="H80" t="str">
        <f>VLOOKUP($A80,donors!$A:$C,3,FALSE)</f>
        <v xml:space="preserve"> attorney professional association</v>
      </c>
      <c r="I80" t="s">
        <v>4678</v>
      </c>
    </row>
    <row r="81" spans="1:9">
      <c r="A81">
        <v>45</v>
      </c>
      <c r="B81">
        <v>294</v>
      </c>
      <c r="C81" s="1">
        <v>39384</v>
      </c>
      <c r="D81">
        <v>170</v>
      </c>
      <c r="E81" t="s">
        <v>4234</v>
      </c>
      <c r="F81" t="str">
        <f>VLOOKUP(B81,judges!A:B,2,FALSE)</f>
        <v>joseph c. scott</v>
      </c>
      <c r="G81" t="str">
        <f>VLOOKUP(A81,donors!A:C,2,FALSE)</f>
        <v xml:space="preserve"> don and clara urie</v>
      </c>
      <c r="H81" t="str">
        <f>VLOOKUP($A81,donors!$A:$C,3,FALSE)</f>
        <v xml:space="preserve"> real estate management</v>
      </c>
      <c r="I81" t="s">
        <v>4678</v>
      </c>
    </row>
    <row r="82" spans="1:9">
      <c r="A82">
        <v>46</v>
      </c>
      <c r="B82">
        <v>301</v>
      </c>
      <c r="C82" s="1">
        <v>39402</v>
      </c>
      <c r="D82">
        <v>250</v>
      </c>
      <c r="E82" t="s">
        <v>4235</v>
      </c>
      <c r="F82" t="str">
        <f>VLOOKUP(B82,judges!A:B,2,FALSE)</f>
        <v>tam bk schumann</v>
      </c>
      <c r="G82" t="str">
        <f>VLOOKUP(A82,donors!A:C,2,FALSE)</f>
        <v xml:space="preserve"> kevin s. burke</v>
      </c>
      <c r="H82" t="str">
        <f>VLOOKUP($A82,donors!$A:$C,3,FALSE)</f>
        <v xml:space="preserve"> minneapolis mn</v>
      </c>
      <c r="I82" t="s">
        <v>4679</v>
      </c>
    </row>
    <row r="83" spans="1:9">
      <c r="A83">
        <v>47</v>
      </c>
      <c r="B83">
        <v>302</v>
      </c>
      <c r="C83" s="1">
        <v>39277</v>
      </c>
      <c r="D83">
        <v>200</v>
      </c>
      <c r="E83" t="s">
        <v>4236</v>
      </c>
      <c r="F83" t="str">
        <f>VLOOKUP(B83,judges!A:B,2,FALSE)</f>
        <v>mury fingal schulte</v>
      </c>
      <c r="G83" t="str">
        <f>VLOOKUP(A83,donors!A:C,2,FALSE)</f>
        <v xml:space="preserve"> contacts of orange county 12572 hinton way santa ana ca</v>
      </c>
      <c r="H83" t="str">
        <f>VLOOKUP($A83,donors!$A:$C,3,FALSE)</f>
        <v xml:space="preserve"> group</v>
      </c>
      <c r="I83" t="s">
        <v>4680</v>
      </c>
    </row>
    <row r="84" spans="1:9">
      <c r="A84">
        <v>48</v>
      </c>
      <c r="B84">
        <v>304</v>
      </c>
      <c r="C84" s="1">
        <v>39200</v>
      </c>
      <c r="D84">
        <v>150</v>
      </c>
      <c r="E84" t="s">
        <v>4237</v>
      </c>
      <c r="F84" t="str">
        <f>VLOOKUP(B84,judges!A:B,2,FALSE)</f>
        <v>stephen d. schuett</v>
      </c>
      <c r="G84" t="str">
        <f>VLOOKUP(A84,donors!A:C,2,FALSE)</f>
        <v xml:space="preserve"> independent oil producers agency</v>
      </c>
      <c r="H84" t="str">
        <f>VLOOKUP($A84,donors!$A:$C,3,FALSE)</f>
        <v xml:space="preserve"> oil production and representation</v>
      </c>
      <c r="I84" t="s">
        <v>4681</v>
      </c>
    </row>
    <row r="85" spans="1:9">
      <c r="A85">
        <v>49</v>
      </c>
      <c r="B85">
        <v>316</v>
      </c>
      <c r="C85" t="s">
        <v>2996</v>
      </c>
      <c r="D85">
        <v>35</v>
      </c>
      <c r="E85" t="s">
        <v>4238</v>
      </c>
      <c r="F85" t="str">
        <f>VLOOKUP(B85,judges!A:B,2,FALSE)</f>
        <v>brian d saunders</v>
      </c>
      <c r="G85" t="str">
        <f>VLOOKUP(A85,donors!A:C,2,FALSE)</f>
        <v xml:space="preserve"> san bernardino police officer's association</v>
      </c>
      <c r="H85" t="str">
        <f>VLOOKUP($A85,donors!$A:$C,3,FALSE)</f>
        <v xml:space="preserve"> union</v>
      </c>
      <c r="I85" t="s">
        <v>4682</v>
      </c>
    </row>
    <row r="86" spans="1:9">
      <c r="A86">
        <v>8</v>
      </c>
      <c r="B86">
        <v>328</v>
      </c>
      <c r="C86" s="1">
        <v>39113</v>
      </c>
      <c r="D86">
        <v>30</v>
      </c>
      <c r="E86" t="s">
        <v>4197</v>
      </c>
      <c r="F86" t="str">
        <f>VLOOKUP(B86,judges!A:B,2,FALSE)</f>
        <v>glenda (none)deputy sanders</v>
      </c>
      <c r="G86" t="str">
        <f>VLOOKUP(A86,donors!A:C,2,FALSE)</f>
        <v xml:space="preserve"> association of business trial lawyers</v>
      </c>
      <c r="H86" t="str">
        <f>VLOOKUP($A86,donors!$A:$C,3,FALSE)</f>
        <v xml:space="preserve"> bar association</v>
      </c>
      <c r="I86" t="s">
        <v>4683</v>
      </c>
    </row>
    <row r="87" spans="1:9">
      <c r="A87">
        <v>8</v>
      </c>
      <c r="B87">
        <v>328</v>
      </c>
      <c r="C87" s="1">
        <v>39170</v>
      </c>
      <c r="D87">
        <v>30</v>
      </c>
      <c r="E87" t="s">
        <v>4197</v>
      </c>
      <c r="F87" t="str">
        <f>VLOOKUP(B87,judges!A:B,2,FALSE)</f>
        <v>glenda (none)deputy sanders</v>
      </c>
      <c r="G87" t="str">
        <f>VLOOKUP(A87,donors!A:C,2,FALSE)</f>
        <v xml:space="preserve"> association of business trial lawyers</v>
      </c>
      <c r="H87" t="str">
        <f>VLOOKUP($A87,donors!$A:$C,3,FALSE)</f>
        <v xml:space="preserve"> bar association</v>
      </c>
      <c r="I87" t="s">
        <v>4683</v>
      </c>
    </row>
    <row r="88" spans="1:9">
      <c r="A88">
        <v>8</v>
      </c>
      <c r="B88">
        <v>328</v>
      </c>
      <c r="C88" s="1">
        <v>39180</v>
      </c>
      <c r="D88">
        <v>150</v>
      </c>
      <c r="E88" t="s">
        <v>4198</v>
      </c>
      <c r="F88" t="str">
        <f>VLOOKUP(B88,judges!A:B,2,FALSE)</f>
        <v>glenda (none)deputy sanders</v>
      </c>
      <c r="G88" t="str">
        <f>VLOOKUP(A88,donors!A:C,2,FALSE)</f>
        <v xml:space="preserve"> association of business trial lawyers</v>
      </c>
      <c r="H88" t="str">
        <f>VLOOKUP($A88,donors!$A:$C,3,FALSE)</f>
        <v xml:space="preserve"> bar association</v>
      </c>
      <c r="I88" t="s">
        <v>4683</v>
      </c>
    </row>
    <row r="89" spans="1:9">
      <c r="A89">
        <v>50</v>
      </c>
      <c r="B89">
        <v>337</v>
      </c>
      <c r="C89" s="1">
        <v>39155</v>
      </c>
      <c r="D89">
        <v>150</v>
      </c>
      <c r="E89" t="s">
        <v>4239</v>
      </c>
      <c r="F89" t="str">
        <f>VLOOKUP(B89,judges!A:B,2,FALSE)</f>
        <v>john steven salazar</v>
      </c>
      <c r="G89" t="str">
        <f>VLOOKUP(A89,donors!A:C,2,FALSE)</f>
        <v xml:space="preserve"> aptos high school mock trial team</v>
      </c>
      <c r="H89" t="str">
        <f>VLOOKUP($A89,donors!$A:$C,3,FALSE)</f>
        <v xml:space="preserve"> --blank--</v>
      </c>
      <c r="I89" t="s">
        <v>4684</v>
      </c>
    </row>
    <row r="90" spans="1:9">
      <c r="A90">
        <v>51</v>
      </c>
      <c r="B90">
        <v>346</v>
      </c>
      <c r="C90" s="1">
        <v>39206</v>
      </c>
      <c r="D90">
        <v>75</v>
      </c>
      <c r="E90" t="s">
        <v>4240</v>
      </c>
      <c r="F90" t="str">
        <f>VLOOKUP(B90,judges!A:B,2,FALSE)</f>
        <v>ignazio john ruvolo</v>
      </c>
      <c r="G90" t="str">
        <f>VLOOKUP(A90,donors!A:C,2,FALSE)</f>
        <v xml:space="preserve"> acctla</v>
      </c>
      <c r="H90" t="str">
        <f>VLOOKUP($A90,donors!$A:$C,3,FALSE)</f>
        <v xml:space="preserve"> trial lawyers ass'n</v>
      </c>
      <c r="I90" t="s">
        <v>4685</v>
      </c>
    </row>
    <row r="91" spans="1:9">
      <c r="A91">
        <v>52</v>
      </c>
      <c r="B91">
        <v>346</v>
      </c>
      <c r="C91" s="1">
        <v>39396</v>
      </c>
      <c r="D91">
        <v>50</v>
      </c>
      <c r="E91" t="s">
        <v>4241</v>
      </c>
      <c r="F91" t="str">
        <f>VLOOKUP(B91,judges!A:B,2,FALSE)</f>
        <v>ignazio john ruvolo</v>
      </c>
      <c r="G91" t="str">
        <f>VLOOKUP(A91,donors!A:C,2,FALSE)</f>
        <v xml:space="preserve"> hastings college of the law</v>
      </c>
      <c r="H91" t="str">
        <f>VLOOKUP($A91,donors!$A:$C,3,FALSE)</f>
        <v xml:space="preserve"> law school</v>
      </c>
      <c r="I91" t="s">
        <v>4685</v>
      </c>
    </row>
    <row r="92" spans="1:9">
      <c r="A92">
        <v>53</v>
      </c>
      <c r="B92">
        <v>346</v>
      </c>
      <c r="C92" s="1">
        <v>39275</v>
      </c>
      <c r="D92">
        <v>100</v>
      </c>
      <c r="E92" t="s">
        <v>4242</v>
      </c>
      <c r="F92" t="str">
        <f>VLOOKUP(B92,judges!A:B,2,FALSE)</f>
        <v>ignazio john ruvolo</v>
      </c>
      <c r="G92" t="str">
        <f>VLOOKUP(A92,donors!A:C,2,FALSE)</f>
        <v xml:space="preserve"> barristers club of s.f.</v>
      </c>
      <c r="H92" t="str">
        <f>VLOOKUP($A92,donors!$A:$C,3,FALSE)</f>
        <v xml:space="preserve"> association of attorneys</v>
      </c>
      <c r="I92" t="s">
        <v>4685</v>
      </c>
    </row>
    <row r="93" spans="1:9">
      <c r="A93">
        <v>54</v>
      </c>
      <c r="B93">
        <v>346</v>
      </c>
      <c r="C93" s="1">
        <v>39110</v>
      </c>
      <c r="D93">
        <v>54</v>
      </c>
      <c r="E93" t="s">
        <v>4243</v>
      </c>
      <c r="F93" t="str">
        <f>VLOOKUP(B93,judges!A:B,2,FALSE)</f>
        <v>ignazio john ruvolo</v>
      </c>
      <c r="G93" t="str">
        <f>VLOOKUP(A93,donors!A:C,2,FALSE)</f>
        <v xml:space="preserve"> california judges assn</v>
      </c>
      <c r="H93" t="str">
        <f>VLOOKUP($A93,donors!$A:$C,3,FALSE)</f>
        <v xml:space="preserve"> prof. assoc. of judges</v>
      </c>
      <c r="I93" t="s">
        <v>4685</v>
      </c>
    </row>
    <row r="94" spans="1:9">
      <c r="A94">
        <v>55</v>
      </c>
      <c r="B94">
        <v>346</v>
      </c>
      <c r="C94" s="1">
        <v>39424</v>
      </c>
      <c r="D94">
        <v>100</v>
      </c>
      <c r="E94" t="s">
        <v>4244</v>
      </c>
      <c r="F94" t="str">
        <f>VLOOKUP(B94,judges!A:B,2,FALSE)</f>
        <v>ignazio john ruvolo</v>
      </c>
      <c r="G94" t="str">
        <f>VLOOKUP(A94,donors!A:C,2,FALSE)</f>
        <v xml:space="preserve"> contra costa bar family law sec.</v>
      </c>
      <c r="H94" t="str">
        <f>VLOOKUP($A94,donors!$A:$C,3,FALSE)</f>
        <v xml:space="preserve"> association of attorneys</v>
      </c>
      <c r="I94" t="s">
        <v>4685</v>
      </c>
    </row>
    <row r="95" spans="1:9">
      <c r="A95">
        <v>56</v>
      </c>
      <c r="B95">
        <v>347</v>
      </c>
      <c r="C95" s="1">
        <v>39299</v>
      </c>
      <c r="D95">
        <v>1400</v>
      </c>
      <c r="E95" t="s">
        <v>4245</v>
      </c>
      <c r="F95" t="str">
        <f>VLOOKUP(B95,judges!A:B,2,FALSE)</f>
        <v>michael joseph rushton</v>
      </c>
      <c r="G95" t="str">
        <f>VLOOKUP(A95,donors!A:C,2,FALSE)</f>
        <v xml:space="preserve"> darrel payne</v>
      </c>
      <c r="H95" t="str">
        <f>VLOOKUP($A95,donors!$A:$C,3,FALSE)</f>
        <v xml:space="preserve"> tile manufacturers/contractors</v>
      </c>
      <c r="I95" t="s">
        <v>4686</v>
      </c>
    </row>
    <row r="96" spans="1:9">
      <c r="A96">
        <v>56</v>
      </c>
      <c r="B96">
        <v>347</v>
      </c>
      <c r="C96" s="1">
        <v>39280</v>
      </c>
      <c r="D96">
        <v>1000</v>
      </c>
      <c r="E96" t="s">
        <v>4246</v>
      </c>
      <c r="F96" t="str">
        <f>VLOOKUP(B96,judges!A:B,2,FALSE)</f>
        <v>michael joseph rushton</v>
      </c>
      <c r="G96" t="str">
        <f>VLOOKUP(A96,donors!A:C,2,FALSE)</f>
        <v xml:space="preserve"> darrel payne</v>
      </c>
      <c r="H96" t="str">
        <f>VLOOKUP($A96,donors!$A:$C,3,FALSE)</f>
        <v xml:space="preserve"> tile manufacturers/contractors</v>
      </c>
      <c r="I96" t="s">
        <v>4686</v>
      </c>
    </row>
    <row r="97" spans="1:9">
      <c r="A97">
        <v>57</v>
      </c>
      <c r="B97">
        <v>347</v>
      </c>
      <c r="C97" s="1">
        <v>39331</v>
      </c>
      <c r="D97">
        <v>150</v>
      </c>
      <c r="E97" t="s">
        <v>4247</v>
      </c>
      <c r="F97" t="str">
        <f>VLOOKUP(B97,judges!A:B,2,FALSE)</f>
        <v>michael joseph rushton</v>
      </c>
      <c r="G97" t="str">
        <f>VLOOKUP(A97,donors!A:C,2,FALSE)</f>
        <v xml:space="preserve"> courtney van tress</v>
      </c>
      <c r="H97" t="str">
        <f>VLOOKUP($A97,donors!$A:$C,3,FALSE)</f>
        <v xml:space="preserve"> employee of marriott</v>
      </c>
      <c r="I97" t="s">
        <v>4686</v>
      </c>
    </row>
    <row r="98" spans="1:9">
      <c r="A98">
        <v>56</v>
      </c>
      <c r="B98">
        <v>347</v>
      </c>
      <c r="C98" s="1">
        <v>39331</v>
      </c>
      <c r="D98">
        <v>150</v>
      </c>
      <c r="E98" t="s">
        <v>4247</v>
      </c>
      <c r="F98" t="str">
        <f>VLOOKUP(B98,judges!A:B,2,FALSE)</f>
        <v>michael joseph rushton</v>
      </c>
      <c r="G98" t="str">
        <f>VLOOKUP(A98,donors!A:C,2,FALSE)</f>
        <v xml:space="preserve"> darrel payne</v>
      </c>
      <c r="H98" t="str">
        <f>VLOOKUP($A98,donors!$A:$C,3,FALSE)</f>
        <v xml:space="preserve"> tile manufacturers/contractors</v>
      </c>
      <c r="I98" t="s">
        <v>4686</v>
      </c>
    </row>
    <row r="99" spans="1:9">
      <c r="A99">
        <v>58</v>
      </c>
      <c r="B99">
        <v>347</v>
      </c>
      <c r="C99" s="1">
        <v>39088</v>
      </c>
      <c r="D99">
        <v>140</v>
      </c>
      <c r="E99" t="s">
        <v>4248</v>
      </c>
      <c r="F99" t="str">
        <f>VLOOKUP(B99,judges!A:B,2,FALSE)</f>
        <v>michael joseph rushton</v>
      </c>
      <c r="G99" t="str">
        <f>VLOOKUP(A99,donors!A:C,2,FALSE)</f>
        <v xml:space="preserve"> deanne gescheider</v>
      </c>
      <c r="H99" t="str">
        <f>VLOOKUP($A99,donors!$A:$C,3,FALSE)</f>
        <v xml:space="preserve"> executive employee at alpine meadows</v>
      </c>
      <c r="I99" t="s">
        <v>4686</v>
      </c>
    </row>
    <row r="100" spans="1:9">
      <c r="A100">
        <v>5</v>
      </c>
      <c r="B100">
        <v>357</v>
      </c>
      <c r="C100" s="1">
        <v>39368</v>
      </c>
      <c r="D100">
        <v>195</v>
      </c>
      <c r="E100" t="s">
        <v>4249</v>
      </c>
      <c r="F100" t="str">
        <f>VLOOKUP(B100,judges!A:B,2,FALSE)</f>
        <v>jeffrey steven ross</v>
      </c>
      <c r="G100" t="str">
        <f>VLOOKUP(A100,donors!A:C,2,FALSE)</f>
        <v xml:space="preserve"> san francisco trial lawyers association</v>
      </c>
      <c r="H100" t="str">
        <f>VLOOKUP($A100,donors!$A:$C,3,FALSE)</f>
        <v xml:space="preserve"> bar association</v>
      </c>
      <c r="I100" t="s">
        <v>4687</v>
      </c>
    </row>
    <row r="101" spans="1:9">
      <c r="A101">
        <v>59</v>
      </c>
      <c r="B101">
        <v>378</v>
      </c>
      <c r="C101" s="1">
        <v>39110</v>
      </c>
      <c r="D101">
        <v>150</v>
      </c>
      <c r="E101" t="s">
        <v>4250</v>
      </c>
      <c r="F101" t="str">
        <f>VLOOKUP(B101,judges!A:B,2,FALSE)</f>
        <v>ronald boyd robie</v>
      </c>
      <c r="G101" t="str">
        <f>VLOOKUP(A101,donors!A:C,2,FALSE)</f>
        <v xml:space="preserve"> american board of trial advocates (abota)</v>
      </c>
      <c r="H101" t="str">
        <f>VLOOKUP($A101,donors!$A:$C,3,FALSE)</f>
        <v xml:space="preserve"> association of trail lawyers</v>
      </c>
      <c r="I101" t="s">
        <v>4688</v>
      </c>
    </row>
    <row r="102" spans="1:9">
      <c r="A102">
        <v>60</v>
      </c>
      <c r="B102">
        <v>379</v>
      </c>
      <c r="C102" s="1">
        <v>39082</v>
      </c>
      <c r="D102">
        <v>140</v>
      </c>
      <c r="E102" t="s">
        <v>4251</v>
      </c>
      <c r="F102" t="str">
        <f>VLOOKUP(B102,judges!A:B,2,FALSE)</f>
        <v>armand james robertson ii</v>
      </c>
      <c r="G102" t="str">
        <f>VLOOKUP(A102,donors!A:C,2,FALSE)</f>
        <v xml:space="preserve"> michel &amp; jennifer berline</v>
      </c>
      <c r="H102" t="str">
        <f>VLOOKUP($A102,donors!$A:$C,3,FALSE)</f>
        <v xml:space="preserve"> none</v>
      </c>
      <c r="I102" t="s">
        <v>4689</v>
      </c>
    </row>
    <row r="103" spans="1:9">
      <c r="A103">
        <v>60</v>
      </c>
      <c r="B103">
        <v>379</v>
      </c>
      <c r="C103" s="1">
        <v>39396</v>
      </c>
      <c r="D103">
        <v>75</v>
      </c>
      <c r="E103" t="s">
        <v>4217</v>
      </c>
      <c r="F103" t="str">
        <f>VLOOKUP(B103,judges!A:B,2,FALSE)</f>
        <v>armand james robertson ii</v>
      </c>
      <c r="G103" t="str">
        <f>VLOOKUP(A103,donors!A:C,2,FALSE)</f>
        <v xml:space="preserve"> michel &amp; jennifer berline</v>
      </c>
      <c r="H103" t="str">
        <f>VLOOKUP($A103,donors!$A:$C,3,FALSE)</f>
        <v xml:space="preserve"> none</v>
      </c>
      <c r="I103" t="s">
        <v>4689</v>
      </c>
    </row>
    <row r="104" spans="1:9">
      <c r="A104">
        <v>61</v>
      </c>
      <c r="B104">
        <v>379</v>
      </c>
      <c r="C104" s="1">
        <v>39265</v>
      </c>
      <c r="D104">
        <v>150</v>
      </c>
      <c r="E104" t="s">
        <v>4251</v>
      </c>
      <c r="F104" t="str">
        <f>VLOOKUP(B104,judges!A:B,2,FALSE)</f>
        <v>armand james robertson ii</v>
      </c>
      <c r="G104" t="str">
        <f>VLOOKUP(A104,donors!A:C,2,FALSE)</f>
        <v xml:space="preserve"> george breed</v>
      </c>
      <c r="H104" t="str">
        <f>VLOOKUP($A104,donors!$A:$C,3,FALSE)</f>
        <v xml:space="preserve"> none</v>
      </c>
      <c r="I104" t="s">
        <v>4689</v>
      </c>
    </row>
    <row r="105" spans="1:9">
      <c r="A105">
        <v>62</v>
      </c>
      <c r="B105">
        <v>379</v>
      </c>
      <c r="C105" t="s">
        <v>2998</v>
      </c>
      <c r="D105">
        <v>1600</v>
      </c>
      <c r="E105" t="s">
        <v>4252</v>
      </c>
      <c r="F105" t="str">
        <f>VLOOKUP(B105,judges!A:B,2,FALSE)</f>
        <v>armand james robertson ii</v>
      </c>
      <c r="G105" t="str">
        <f>VLOOKUP(A105,donors!A:C,2,FALSE)</f>
        <v xml:space="preserve"> *howard rice nemerovski canady falk &amp; rabkin pc</v>
      </c>
      <c r="H105" t="str">
        <f>VLOOKUP($A105,donors!$A:$C,3,FALSE)</f>
        <v xml:space="preserve"> --blank--</v>
      </c>
      <c r="I105" t="s">
        <v>4689</v>
      </c>
    </row>
    <row r="106" spans="1:9">
      <c r="A106">
        <v>63</v>
      </c>
      <c r="B106">
        <v>381</v>
      </c>
      <c r="C106" s="1">
        <v>39403</v>
      </c>
      <c r="D106">
        <v>250</v>
      </c>
      <c r="E106" t="s">
        <v>4253</v>
      </c>
      <c r="F106" t="str">
        <f>VLOOKUP(B106,judges!A:B,2,FALSE)</f>
        <v>barbara louise roberts (aka schill)</v>
      </c>
      <c r="G106" t="str">
        <f>VLOOKUP(A106,donors!A:C,2,FALSE)</f>
        <v xml:space="preserve"> tate snyder kimsey</v>
      </c>
      <c r="H106" t="str">
        <f>VLOOKUP($A106,donors!$A:$C,3,FALSE)</f>
        <v xml:space="preserve"> architect</v>
      </c>
      <c r="I106" t="s">
        <v>4690</v>
      </c>
    </row>
    <row r="107" spans="1:9">
      <c r="A107">
        <v>63</v>
      </c>
      <c r="B107">
        <v>406</v>
      </c>
      <c r="C107" s="1">
        <v>39403</v>
      </c>
      <c r="D107">
        <v>250</v>
      </c>
      <c r="E107" t="s">
        <v>4253</v>
      </c>
      <c r="F107" t="str">
        <f>VLOOKUP(B107,judges!A:B,2,FALSE)</f>
        <v>james francis reilley</v>
      </c>
      <c r="G107" t="str">
        <f>VLOOKUP(A107,donors!A:C,2,FALSE)</f>
        <v xml:space="preserve"> tate snyder kimsey</v>
      </c>
      <c r="H107" t="str">
        <f>VLOOKUP($A107,donors!$A:$C,3,FALSE)</f>
        <v xml:space="preserve"> architect</v>
      </c>
      <c r="I107" t="s">
        <v>4691</v>
      </c>
    </row>
    <row r="108" spans="1:9">
      <c r="A108">
        <v>64</v>
      </c>
      <c r="B108">
        <v>436</v>
      </c>
      <c r="C108" s="1">
        <v>39415</v>
      </c>
      <c r="D108">
        <v>197</v>
      </c>
      <c r="E108" t="s">
        <v>4254</v>
      </c>
      <c r="F108" t="str">
        <f>VLOOKUP(B108,judges!A:B,2,FALSE)</f>
        <v>margaret a powers</v>
      </c>
      <c r="G108" t="str">
        <f>VLOOKUP(A108,donors!A:C,2,FALSE)</f>
        <v xml:space="preserve"> michael o'rourke</v>
      </c>
      <c r="H108" t="str">
        <f>VLOOKUP($A108,donors!$A:$C,3,FALSE)</f>
        <v xml:space="preserve"> retired law enforcement</v>
      </c>
      <c r="I108" t="s">
        <v>4692</v>
      </c>
    </row>
    <row r="109" spans="1:9">
      <c r="A109">
        <v>65</v>
      </c>
      <c r="B109">
        <v>436</v>
      </c>
      <c r="C109" s="1">
        <v>39415</v>
      </c>
      <c r="D109">
        <v>50</v>
      </c>
      <c r="E109" t="s">
        <v>4255</v>
      </c>
      <c r="F109" t="str">
        <f>VLOOKUP(B109,judges!A:B,2,FALSE)</f>
        <v>margaret a powers</v>
      </c>
      <c r="G109" t="str">
        <f>VLOOKUP(A109,donors!A:C,2,FALSE)</f>
        <v xml:space="preserve"> lee &amp; carol cribb</v>
      </c>
      <c r="H109" t="str">
        <f>VLOOKUP($A109,donors!$A:$C,3,FALSE)</f>
        <v xml:space="preserve"> 11.30.11  $50.00  el polo loco gift</v>
      </c>
      <c r="I109" t="s">
        <v>4692</v>
      </c>
    </row>
    <row r="110" spans="1:9">
      <c r="A110">
        <v>66</v>
      </c>
      <c r="B110">
        <v>437</v>
      </c>
      <c r="C110" s="1">
        <v>39159</v>
      </c>
      <c r="D110">
        <v>75</v>
      </c>
      <c r="E110" t="s">
        <v>4187</v>
      </c>
      <c r="F110" t="str">
        <f>VLOOKUP(B110,judges!A:B,2,FALSE)</f>
        <v>david edwin power</v>
      </c>
      <c r="G110" t="str">
        <f>VLOOKUP(A110,donors!A:C,2,FALSE)</f>
        <v xml:space="preserve"> santa clara university</v>
      </c>
      <c r="H110" t="str">
        <f>VLOOKUP($A110,donors!$A:$C,3,FALSE)</f>
        <v xml:space="preserve"> --blank--</v>
      </c>
      <c r="I110" t="s">
        <v>4693</v>
      </c>
    </row>
    <row r="111" spans="1:9">
      <c r="A111">
        <v>67</v>
      </c>
      <c r="B111">
        <v>441</v>
      </c>
      <c r="C111" s="1">
        <v>39295</v>
      </c>
      <c r="D111">
        <v>110</v>
      </c>
      <c r="E111" t="s">
        <v>4256</v>
      </c>
      <c r="F111" t="str">
        <f>VLOOKUP(B111,judges!A:B,2,FALSE)</f>
        <v>lynn m poncin</v>
      </c>
      <c r="G111" t="str">
        <f>VLOOKUP(A111,donors!A:C,2,FALSE)</f>
        <v xml:space="preserve"> dda karen khim</v>
      </c>
      <c r="H111" t="str">
        <f>VLOOKUP($A111,donors!$A:$C,3,FALSE)</f>
        <v xml:space="preserve"> --blank--</v>
      </c>
      <c r="I111" t="s">
        <v>4694</v>
      </c>
    </row>
    <row r="112" spans="1:9">
      <c r="A112">
        <v>67</v>
      </c>
      <c r="B112">
        <v>441</v>
      </c>
      <c r="C112" s="1">
        <v>39140</v>
      </c>
      <c r="D112">
        <v>75</v>
      </c>
      <c r="E112" t="s">
        <v>4257</v>
      </c>
      <c r="F112" t="str">
        <f>VLOOKUP(B112,judges!A:B,2,FALSE)</f>
        <v>lynn m poncin</v>
      </c>
      <c r="G112" t="str">
        <f>VLOOKUP(A112,donors!A:C,2,FALSE)</f>
        <v xml:space="preserve"> dda karen khim</v>
      </c>
      <c r="H112" t="str">
        <f>VLOOKUP($A112,donors!$A:$C,3,FALSE)</f>
        <v xml:space="preserve"> --blank--</v>
      </c>
      <c r="I112" t="s">
        <v>4694</v>
      </c>
    </row>
    <row r="113" spans="1:9">
      <c r="A113">
        <v>68</v>
      </c>
      <c r="B113">
        <v>441</v>
      </c>
      <c r="C113" s="1">
        <v>39157</v>
      </c>
      <c r="D113">
        <v>50</v>
      </c>
      <c r="E113" t="s">
        <v>4258</v>
      </c>
      <c r="F113" t="str">
        <f>VLOOKUP(B113,judges!A:B,2,FALSE)</f>
        <v>lynn m poncin</v>
      </c>
      <c r="G113" t="str">
        <f>VLOOKUP(A113,donors!A:C,2,FALSE)</f>
        <v xml:space="preserve"> sean o'connor</v>
      </c>
      <c r="H113" t="str">
        <f>VLOOKUP($A113,donors!$A:$C,3,FALSE)</f>
        <v xml:space="preserve"> --blank--</v>
      </c>
      <c r="I113" t="s">
        <v>4694</v>
      </c>
    </row>
    <row r="114" spans="1:9">
      <c r="A114">
        <v>69</v>
      </c>
      <c r="B114">
        <v>442</v>
      </c>
      <c r="C114" s="1">
        <v>39082</v>
      </c>
      <c r="D114">
        <v>240</v>
      </c>
      <c r="E114" t="s">
        <v>4259</v>
      </c>
      <c r="F114" t="str">
        <f>VLOOKUP(B114,judges!A:B,2,FALSE)</f>
        <v>nancy a pollard</v>
      </c>
      <c r="G114" t="str">
        <f>VLOOKUP(A114,donors!A:C,2,FALSE)</f>
        <v xml:space="preserve"> orange county bar association</v>
      </c>
      <c r="H114" t="str">
        <f>VLOOKUP($A114,donors!$A:$C,3,FALSE)</f>
        <v xml:space="preserve"> bar association</v>
      </c>
      <c r="I114" t="s">
        <v>4695</v>
      </c>
    </row>
    <row r="115" spans="1:9">
      <c r="A115">
        <v>69</v>
      </c>
      <c r="B115">
        <v>456</v>
      </c>
      <c r="C115" s="1">
        <v>39101</v>
      </c>
      <c r="D115">
        <v>100</v>
      </c>
      <c r="E115" t="s">
        <v>4187</v>
      </c>
      <c r="F115" t="str">
        <f>VLOOKUP(B115,judges!A:B,2,FALSE)</f>
        <v>cheri thi pham</v>
      </c>
      <c r="G115" t="str">
        <f>VLOOKUP(A115,donors!A:C,2,FALSE)</f>
        <v xml:space="preserve"> orange county bar association</v>
      </c>
      <c r="H115" t="str">
        <f>VLOOKUP($A115,donors!$A:$C,3,FALSE)</f>
        <v xml:space="preserve"> bar association</v>
      </c>
      <c r="I115" t="s">
        <v>4696</v>
      </c>
    </row>
    <row r="116" spans="1:9">
      <c r="A116">
        <v>70</v>
      </c>
      <c r="B116">
        <v>456</v>
      </c>
      <c r="C116" s="1">
        <v>39282</v>
      </c>
      <c r="D116">
        <v>25</v>
      </c>
      <c r="E116" t="s">
        <v>4217</v>
      </c>
      <c r="F116" t="str">
        <f>VLOOKUP(B116,judges!A:B,2,FALSE)</f>
        <v>cheri thi pham</v>
      </c>
      <c r="G116" t="str">
        <f>VLOOKUP(A116,donors!A:C,2,FALSE)</f>
        <v xml:space="preserve"> orange county bar assoc. family law section</v>
      </c>
      <c r="H116" t="str">
        <f>VLOOKUP($A116,donors!$A:$C,3,FALSE)</f>
        <v xml:space="preserve"> legal professional association</v>
      </c>
      <c r="I116" t="s">
        <v>4696</v>
      </c>
    </row>
    <row r="117" spans="1:9">
      <c r="A117">
        <v>70</v>
      </c>
      <c r="B117">
        <v>456</v>
      </c>
      <c r="C117" s="1">
        <v>39310</v>
      </c>
      <c r="D117">
        <v>25</v>
      </c>
      <c r="E117" t="s">
        <v>4217</v>
      </c>
      <c r="F117" t="str">
        <f>VLOOKUP(B117,judges!A:B,2,FALSE)</f>
        <v>cheri thi pham</v>
      </c>
      <c r="G117" t="str">
        <f>VLOOKUP(A117,donors!A:C,2,FALSE)</f>
        <v xml:space="preserve"> orange county bar assoc. family law section</v>
      </c>
      <c r="H117" t="str">
        <f>VLOOKUP($A117,donors!$A:$C,3,FALSE)</f>
        <v xml:space="preserve"> legal professional association</v>
      </c>
      <c r="I117" t="s">
        <v>4696</v>
      </c>
    </row>
    <row r="118" spans="1:9">
      <c r="A118">
        <v>70</v>
      </c>
      <c r="B118">
        <v>456</v>
      </c>
      <c r="C118" s="1">
        <v>39345</v>
      </c>
      <c r="D118">
        <v>25</v>
      </c>
      <c r="E118" t="s">
        <v>4217</v>
      </c>
      <c r="F118" t="str">
        <f>VLOOKUP(B118,judges!A:B,2,FALSE)</f>
        <v>cheri thi pham</v>
      </c>
      <c r="G118" t="str">
        <f>VLOOKUP(A118,donors!A:C,2,FALSE)</f>
        <v xml:space="preserve"> orange county bar assoc. family law section</v>
      </c>
      <c r="H118" t="str">
        <f>VLOOKUP($A118,donors!$A:$C,3,FALSE)</f>
        <v xml:space="preserve"> legal professional association</v>
      </c>
      <c r="I118" t="s">
        <v>4696</v>
      </c>
    </row>
    <row r="119" spans="1:9">
      <c r="A119">
        <v>71</v>
      </c>
      <c r="B119">
        <v>456</v>
      </c>
      <c r="C119" s="1">
        <v>39100</v>
      </c>
      <c r="D119">
        <v>25</v>
      </c>
      <c r="E119" t="s">
        <v>4217</v>
      </c>
      <c r="F119" t="str">
        <f>VLOOKUP(B119,judges!A:B,2,FALSE)</f>
        <v>cheri thi pham</v>
      </c>
      <c r="G119" t="str">
        <f>VLOOKUP(A119,donors!A:C,2,FALSE)</f>
        <v xml:space="preserve"> orange county bar assoc. - family law section</v>
      </c>
      <c r="H119" t="str">
        <f>VLOOKUP($A119,donors!$A:$C,3,FALSE)</f>
        <v xml:space="preserve"> legal professional association</v>
      </c>
      <c r="I119" t="s">
        <v>4696</v>
      </c>
    </row>
    <row r="120" spans="1:9">
      <c r="A120">
        <v>71</v>
      </c>
      <c r="B120">
        <v>456</v>
      </c>
      <c r="C120" s="1">
        <v>39128</v>
      </c>
      <c r="D120">
        <v>25</v>
      </c>
      <c r="E120" t="s">
        <v>4217</v>
      </c>
      <c r="F120" t="str">
        <f>VLOOKUP(B120,judges!A:B,2,FALSE)</f>
        <v>cheri thi pham</v>
      </c>
      <c r="G120" t="str">
        <f>VLOOKUP(A120,donors!A:C,2,FALSE)</f>
        <v xml:space="preserve"> orange county bar assoc. - family law section</v>
      </c>
      <c r="H120" t="str">
        <f>VLOOKUP($A120,donors!$A:$C,3,FALSE)</f>
        <v xml:space="preserve"> legal professional association</v>
      </c>
      <c r="I120" t="s">
        <v>4696</v>
      </c>
    </row>
    <row r="121" spans="1:9">
      <c r="A121">
        <v>71</v>
      </c>
      <c r="B121">
        <v>456</v>
      </c>
      <c r="C121" s="1">
        <v>39156</v>
      </c>
      <c r="D121">
        <v>25</v>
      </c>
      <c r="E121" t="s">
        <v>4217</v>
      </c>
      <c r="F121" t="str">
        <f>VLOOKUP(B121,judges!A:B,2,FALSE)</f>
        <v>cheri thi pham</v>
      </c>
      <c r="G121" t="str">
        <f>VLOOKUP(A121,donors!A:C,2,FALSE)</f>
        <v xml:space="preserve"> orange county bar assoc. - family law section</v>
      </c>
      <c r="H121" t="str">
        <f>VLOOKUP($A121,donors!$A:$C,3,FALSE)</f>
        <v xml:space="preserve"> legal professional association</v>
      </c>
      <c r="I121" t="s">
        <v>4696</v>
      </c>
    </row>
    <row r="122" spans="1:9">
      <c r="A122">
        <v>70</v>
      </c>
      <c r="B122">
        <v>456</v>
      </c>
      <c r="C122" s="1">
        <v>39373</v>
      </c>
      <c r="D122">
        <v>25</v>
      </c>
      <c r="E122" t="s">
        <v>4217</v>
      </c>
      <c r="F122" t="str">
        <f>VLOOKUP(B122,judges!A:B,2,FALSE)</f>
        <v>cheri thi pham</v>
      </c>
      <c r="G122" t="str">
        <f>VLOOKUP(A122,donors!A:C,2,FALSE)</f>
        <v xml:space="preserve"> orange county bar assoc. family law section</v>
      </c>
      <c r="H122" t="str">
        <f>VLOOKUP($A122,donors!$A:$C,3,FALSE)</f>
        <v xml:space="preserve"> legal professional association</v>
      </c>
      <c r="I122" t="s">
        <v>4696</v>
      </c>
    </row>
    <row r="123" spans="1:9">
      <c r="A123">
        <v>70</v>
      </c>
      <c r="B123">
        <v>456</v>
      </c>
      <c r="C123" s="1">
        <v>39401</v>
      </c>
      <c r="D123">
        <v>25</v>
      </c>
      <c r="E123" t="s">
        <v>4217</v>
      </c>
      <c r="F123" t="str">
        <f>VLOOKUP(B123,judges!A:B,2,FALSE)</f>
        <v>cheri thi pham</v>
      </c>
      <c r="G123" t="str">
        <f>VLOOKUP(A123,donors!A:C,2,FALSE)</f>
        <v xml:space="preserve"> orange county bar assoc. family law section</v>
      </c>
      <c r="H123" t="str">
        <f>VLOOKUP($A123,donors!$A:$C,3,FALSE)</f>
        <v xml:space="preserve"> legal professional association</v>
      </c>
      <c r="I123" t="s">
        <v>4696</v>
      </c>
    </row>
    <row r="124" spans="1:9">
      <c r="A124">
        <v>72</v>
      </c>
      <c r="B124">
        <v>456</v>
      </c>
      <c r="C124" s="1">
        <v>39191</v>
      </c>
      <c r="D124">
        <v>25</v>
      </c>
      <c r="E124" t="s">
        <v>4217</v>
      </c>
      <c r="F124" t="str">
        <f>VLOOKUP(B124,judges!A:B,2,FALSE)</f>
        <v>cheri thi pham</v>
      </c>
      <c r="G124" t="str">
        <f>VLOOKUP(A124,donors!A:C,2,FALSE)</f>
        <v xml:space="preserve"> orange county bar assoc._family law section</v>
      </c>
      <c r="H124" t="str">
        <f>VLOOKUP($A124,donors!$A:$C,3,FALSE)</f>
        <v xml:space="preserve"> legal professional association</v>
      </c>
      <c r="I124" t="s">
        <v>4696</v>
      </c>
    </row>
    <row r="125" spans="1:9">
      <c r="A125">
        <v>72</v>
      </c>
      <c r="B125">
        <v>456</v>
      </c>
      <c r="C125" s="1">
        <v>39219</v>
      </c>
      <c r="D125">
        <v>2500</v>
      </c>
      <c r="E125" t="s">
        <v>4217</v>
      </c>
      <c r="F125" t="str">
        <f>VLOOKUP(B125,judges!A:B,2,FALSE)</f>
        <v>cheri thi pham</v>
      </c>
      <c r="G125" t="str">
        <f>VLOOKUP(A125,donors!A:C,2,FALSE)</f>
        <v xml:space="preserve"> orange county bar assoc._family law section</v>
      </c>
      <c r="H125" t="str">
        <f>VLOOKUP($A125,donors!$A:$C,3,FALSE)</f>
        <v xml:space="preserve"> legal professional association</v>
      </c>
      <c r="I125" t="s">
        <v>4696</v>
      </c>
    </row>
    <row r="126" spans="1:9">
      <c r="A126">
        <v>72</v>
      </c>
      <c r="B126">
        <v>456</v>
      </c>
      <c r="C126" s="1">
        <v>39247</v>
      </c>
      <c r="D126">
        <v>25</v>
      </c>
      <c r="E126" t="s">
        <v>4217</v>
      </c>
      <c r="F126" t="str">
        <f>VLOOKUP(B126,judges!A:B,2,FALSE)</f>
        <v>cheri thi pham</v>
      </c>
      <c r="G126" t="str">
        <f>VLOOKUP(A126,donors!A:C,2,FALSE)</f>
        <v xml:space="preserve"> orange county bar assoc._family law section</v>
      </c>
      <c r="H126" t="str">
        <f>VLOOKUP($A126,donors!$A:$C,3,FALSE)</f>
        <v xml:space="preserve"> legal professional association</v>
      </c>
      <c r="I126" t="s">
        <v>4696</v>
      </c>
    </row>
    <row r="127" spans="1:9">
      <c r="A127">
        <v>73</v>
      </c>
      <c r="B127">
        <v>458</v>
      </c>
      <c r="C127" s="1">
        <v>39340</v>
      </c>
      <c r="D127">
        <v>250</v>
      </c>
      <c r="E127" t="s">
        <v>4260</v>
      </c>
      <c r="F127" t="str">
        <f>VLOOKUP(B127,judges!A:B,2,FALSE)</f>
        <v>james m petrucelli</v>
      </c>
      <c r="G127" t="str">
        <f>VLOOKUP(A127,donors!A:C,2,FALSE)</f>
        <v xml:space="preserve"> dave wood</v>
      </c>
      <c r="H127" t="str">
        <f>VLOOKUP($A127,donors!$A:$C,3,FALSE)</f>
        <v xml:space="preserve"> cattleman</v>
      </c>
      <c r="I127" t="s">
        <v>4697</v>
      </c>
    </row>
    <row r="128" spans="1:9">
      <c r="A128">
        <v>73</v>
      </c>
      <c r="B128">
        <v>458</v>
      </c>
      <c r="C128" s="1">
        <v>39437</v>
      </c>
      <c r="D128">
        <v>100</v>
      </c>
      <c r="E128" t="s">
        <v>4261</v>
      </c>
      <c r="F128" t="str">
        <f>VLOOKUP(B128,judges!A:B,2,FALSE)</f>
        <v>james m petrucelli</v>
      </c>
      <c r="G128" t="str">
        <f>VLOOKUP(A128,donors!A:C,2,FALSE)</f>
        <v xml:space="preserve"> dave wood</v>
      </c>
      <c r="H128" t="str">
        <f>VLOOKUP($A128,donors!$A:$C,3,FALSE)</f>
        <v xml:space="preserve"> cattleman</v>
      </c>
      <c r="I128" t="s">
        <v>4697</v>
      </c>
    </row>
    <row r="129" spans="1:9">
      <c r="A129">
        <v>74</v>
      </c>
      <c r="B129">
        <v>459</v>
      </c>
      <c r="C129" s="1">
        <v>39099</v>
      </c>
      <c r="D129">
        <v>70</v>
      </c>
      <c r="E129" t="s">
        <v>4262</v>
      </c>
      <c r="F129" t="str">
        <f>VLOOKUP(B129,judges!A:B,2,FALSE)</f>
        <v>ioana  petrou</v>
      </c>
      <c r="G129" t="str">
        <f>VLOOKUP(A129,donors!A:C,2,FALSE)</f>
        <v xml:space="preserve"> alameda contra costra trial lawyers association</v>
      </c>
      <c r="H129" t="str">
        <f>VLOOKUP($A129,donors!$A:$C,3,FALSE)</f>
        <v xml:space="preserve"> none</v>
      </c>
      <c r="I129" t="s">
        <v>4698</v>
      </c>
    </row>
    <row r="130" spans="1:9">
      <c r="A130">
        <v>75</v>
      </c>
      <c r="B130">
        <v>464</v>
      </c>
      <c r="C130" s="1">
        <v>39305</v>
      </c>
      <c r="D130">
        <v>216</v>
      </c>
      <c r="E130" t="s">
        <v>4263</v>
      </c>
      <c r="F130" t="str">
        <f>VLOOKUP(B130,judges!A:B,2,FALSE)</f>
        <v>steven zalkind perren</v>
      </c>
      <c r="G130" t="str">
        <f>VLOOKUP(A130,donors!A:C,2,FALSE)</f>
        <v xml:space="preserve"> tom herman</v>
      </c>
      <c r="H130" t="str">
        <f>VLOOKUP($A130,donors!$A:$C,3,FALSE)</f>
        <v xml:space="preserve"> --blank--</v>
      </c>
      <c r="I130" t="s">
        <v>4699</v>
      </c>
    </row>
    <row r="131" spans="1:9">
      <c r="A131">
        <v>76</v>
      </c>
      <c r="B131">
        <v>466</v>
      </c>
      <c r="C131" s="1">
        <v>39415</v>
      </c>
      <c r="D131">
        <v>27</v>
      </c>
      <c r="E131" t="s">
        <v>4264</v>
      </c>
      <c r="F131" t="str">
        <f>VLOOKUP(B131,judges!A:B,2,FALSE)</f>
        <v xml:space="preserve"> g perkins</v>
      </c>
      <c r="G131" t="str">
        <f>VLOOKUP(A131,donors!A:C,2,FALSE)</f>
        <v xml:space="preserve"> wilke fleury hoffelt gould &amp; birney llp</v>
      </c>
      <c r="H131" t="str">
        <f>VLOOKUP($A131,donors!$A:$C,3,FALSE)</f>
        <v xml:space="preserve"> law firm</v>
      </c>
      <c r="I131" t="s">
        <v>4700</v>
      </c>
    </row>
    <row r="132" spans="1:9">
      <c r="A132">
        <v>77</v>
      </c>
      <c r="B132">
        <v>466</v>
      </c>
      <c r="C132" s="1">
        <v>39210</v>
      </c>
      <c r="D132">
        <v>20</v>
      </c>
      <c r="E132" t="s">
        <v>4265</v>
      </c>
      <c r="F132" t="str">
        <f>VLOOKUP(B132,judges!A:B,2,FALSE)</f>
        <v xml:space="preserve"> g perkins</v>
      </c>
      <c r="G132" t="str">
        <f>VLOOKUP(A132,donors!A:C,2,FALSE)</f>
        <v xml:space="preserve"> abota sacramento chapter</v>
      </c>
      <c r="H132" t="str">
        <f>VLOOKUP($A132,donors!$A:$C,3,FALSE)</f>
        <v xml:space="preserve"> trial atty. org.</v>
      </c>
      <c r="I132" t="s">
        <v>4700</v>
      </c>
    </row>
    <row r="133" spans="1:9">
      <c r="A133">
        <v>78</v>
      </c>
      <c r="B133">
        <v>466</v>
      </c>
      <c r="C133" s="1">
        <v>39094</v>
      </c>
      <c r="D133">
        <v>20</v>
      </c>
      <c r="E133" t="s">
        <v>4266</v>
      </c>
      <c r="F133" t="str">
        <f>VLOOKUP(B133,judges!A:B,2,FALSE)</f>
        <v xml:space="preserve"> g perkins</v>
      </c>
      <c r="G133" t="str">
        <f>VLOOKUP(A133,donors!A:C,2,FALSE)</f>
        <v xml:space="preserve"> stevens &amp; o'connell llp</v>
      </c>
      <c r="H133" t="str">
        <f>VLOOKUP($A133,donors!$A:$C,3,FALSE)</f>
        <v xml:space="preserve"> --blank--</v>
      </c>
      <c r="I133" t="s">
        <v>4700</v>
      </c>
    </row>
    <row r="134" spans="1:9">
      <c r="A134">
        <v>79</v>
      </c>
      <c r="B134">
        <v>466</v>
      </c>
      <c r="C134" s="1">
        <v>39423</v>
      </c>
      <c r="D134">
        <v>20</v>
      </c>
      <c r="E134" t="s">
        <v>4267</v>
      </c>
      <c r="F134" t="str">
        <f>VLOOKUP(B134,judges!A:B,2,FALSE)</f>
        <v xml:space="preserve"> g perkins</v>
      </c>
      <c r="G134" t="str">
        <f>VLOOKUP(A134,donors!A:C,2,FALSE)</f>
        <v xml:space="preserve"> cap. city trial lawyers</v>
      </c>
      <c r="H134" t="str">
        <f>VLOOKUP($A134,donors!$A:$C,3,FALSE)</f>
        <v xml:space="preserve"> legal org.</v>
      </c>
      <c r="I134" t="s">
        <v>4700</v>
      </c>
    </row>
    <row r="135" spans="1:9">
      <c r="A135">
        <v>80</v>
      </c>
      <c r="B135">
        <v>472</v>
      </c>
      <c r="C135" s="1">
        <v>39369</v>
      </c>
      <c r="D135">
        <v>240</v>
      </c>
      <c r="E135" t="s">
        <v>4268</v>
      </c>
      <c r="F135" t="str">
        <f>VLOOKUP(B135,judges!A:B,2,FALSE)</f>
        <v>rosendo  pena</v>
      </c>
      <c r="G135" t="str">
        <f>VLOOKUP(A135,donors!A:C,2,FALSE)</f>
        <v xml:space="preserve"> john welty</v>
      </c>
      <c r="H135" t="str">
        <f>VLOOKUP($A135,donors!$A:$C,3,FALSE)</f>
        <v xml:space="preserve"> president california state university fresno</v>
      </c>
      <c r="I135" t="s">
        <v>4701</v>
      </c>
    </row>
    <row r="136" spans="1:9">
      <c r="A136">
        <v>81</v>
      </c>
      <c r="B136">
        <v>484</v>
      </c>
      <c r="C136" s="1">
        <v>39096</v>
      </c>
      <c r="D136">
        <v>250</v>
      </c>
      <c r="E136" t="s">
        <v>4269</v>
      </c>
      <c r="F136" t="str">
        <f>VLOOKUP(B136,judges!A:B,2,FALSE)</f>
        <v>yvette marie palazuelos</v>
      </c>
      <c r="G136" t="str">
        <f>VLOOKUP(A136,donors!A:C,2,FALSE)</f>
        <v xml:space="preserve"> judicate west - adr</v>
      </c>
      <c r="H136" t="str">
        <f>VLOOKUP($A136,donors!$A:$C,3,FALSE)</f>
        <v xml:space="preserve"> santa ana ca 92705</v>
      </c>
      <c r="I136" t="s">
        <v>4702</v>
      </c>
    </row>
    <row r="137" spans="1:9">
      <c r="A137">
        <v>82</v>
      </c>
      <c r="B137">
        <v>489</v>
      </c>
      <c r="C137" s="2">
        <v>39082</v>
      </c>
      <c r="D137">
        <v>100</v>
      </c>
      <c r="E137" t="s">
        <v>4270</v>
      </c>
      <c r="F137" t="str">
        <f>VLOOKUP(B137,judges!A:B,2,FALSE)</f>
        <v>annemarie georgina pace</v>
      </c>
      <c r="G137" t="str">
        <f>VLOOKUP(A137,donors!A:C,2,FALSE)</f>
        <v xml:space="preserve"> court staff</v>
      </c>
      <c r="H137" t="str">
        <f>VLOOKUP($A137,donors!$A:$C,3,FALSE)</f>
        <v xml:space="preserve"> courthouse</v>
      </c>
      <c r="I137" t="s">
        <v>4703</v>
      </c>
    </row>
    <row r="138" spans="1:9">
      <c r="A138">
        <v>82</v>
      </c>
      <c r="B138">
        <v>489</v>
      </c>
      <c r="C138" t="s">
        <v>2999</v>
      </c>
      <c r="D138">
        <v>100</v>
      </c>
      <c r="E138" t="s">
        <v>4271</v>
      </c>
      <c r="F138" t="str">
        <f>VLOOKUP(B138,judges!A:B,2,FALSE)</f>
        <v>annemarie georgina pace</v>
      </c>
      <c r="G138" t="str">
        <f>VLOOKUP(A138,donors!A:C,2,FALSE)</f>
        <v xml:space="preserve"> court staff</v>
      </c>
      <c r="H138" t="str">
        <f>VLOOKUP($A138,donors!$A:$C,3,FALSE)</f>
        <v xml:space="preserve"> courthouse</v>
      </c>
      <c r="I138" t="s">
        <v>4703</v>
      </c>
    </row>
    <row r="139" spans="1:9">
      <c r="A139">
        <v>83</v>
      </c>
      <c r="B139">
        <v>489</v>
      </c>
      <c r="C139" s="1">
        <v>39233</v>
      </c>
      <c r="D139">
        <v>50</v>
      </c>
      <c r="E139" t="s">
        <v>4272</v>
      </c>
      <c r="F139" t="str">
        <f>VLOOKUP(B139,judges!A:B,2,FALSE)</f>
        <v>annemarie georgina pace</v>
      </c>
      <c r="G139" t="str">
        <f>VLOOKUP(A139,donors!A:C,2,FALSE)</f>
        <v xml:space="preserve"> rochelle keogh</v>
      </c>
      <c r="H139" t="str">
        <f>VLOOKUP($A139,donors!$A:$C,3,FALSE)</f>
        <v xml:space="preserve"> court reporting</v>
      </c>
      <c r="I139" t="s">
        <v>4703</v>
      </c>
    </row>
    <row r="140" spans="1:9">
      <c r="A140">
        <v>83</v>
      </c>
      <c r="B140">
        <v>489</v>
      </c>
      <c r="C140" s="1">
        <v>39416</v>
      </c>
      <c r="D140">
        <v>50</v>
      </c>
      <c r="E140" t="s">
        <v>4273</v>
      </c>
      <c r="F140" t="str">
        <f>VLOOKUP(B140,judges!A:B,2,FALSE)</f>
        <v>annemarie georgina pace</v>
      </c>
      <c r="G140" t="str">
        <f>VLOOKUP(A140,donors!A:C,2,FALSE)</f>
        <v xml:space="preserve"> rochelle keogh</v>
      </c>
      <c r="H140" t="str">
        <f>VLOOKUP($A140,donors!$A:$C,3,FALSE)</f>
        <v xml:space="preserve"> court reporting</v>
      </c>
      <c r="I140" t="s">
        <v>4703</v>
      </c>
    </row>
    <row r="141" spans="1:9">
      <c r="A141">
        <v>84</v>
      </c>
      <c r="B141">
        <v>495</v>
      </c>
      <c r="C141" s="1">
        <v>39172</v>
      </c>
      <c r="D141">
        <v>75</v>
      </c>
      <c r="E141" t="s">
        <v>4274</v>
      </c>
      <c r="F141" t="str">
        <f>VLOOKUP(B141,judges!A:B,2,FALSE)</f>
        <v>yolanda  orozco</v>
      </c>
      <c r="G141" t="str">
        <f>VLOOKUP(A141,donors!A:C,2,FALSE)</f>
        <v xml:space="preserve"> jones day</v>
      </c>
      <c r="H141" t="str">
        <f>VLOOKUP($A141,donors!$A:$C,3,FALSE)</f>
        <v xml:space="preserve"> law firm</v>
      </c>
      <c r="I141" t="s">
        <v>4704</v>
      </c>
    </row>
    <row r="142" spans="1:9">
      <c r="A142">
        <v>84</v>
      </c>
      <c r="B142">
        <v>495</v>
      </c>
      <c r="C142" s="1">
        <v>39250</v>
      </c>
      <c r="D142">
        <v>250</v>
      </c>
      <c r="E142" t="s">
        <v>4275</v>
      </c>
      <c r="F142" t="str">
        <f>VLOOKUP(B142,judges!A:B,2,FALSE)</f>
        <v>yolanda  orozco</v>
      </c>
      <c r="G142" t="str">
        <f>VLOOKUP(A142,donors!A:C,2,FALSE)</f>
        <v xml:space="preserve"> jones day</v>
      </c>
      <c r="H142" t="str">
        <f>VLOOKUP($A142,donors!$A:$C,3,FALSE)</f>
        <v xml:space="preserve"> law firm</v>
      </c>
      <c r="I142" t="s">
        <v>4704</v>
      </c>
    </row>
    <row r="143" spans="1:9">
      <c r="A143">
        <v>8</v>
      </c>
      <c r="B143">
        <v>495</v>
      </c>
      <c r="C143" s="1">
        <v>39415</v>
      </c>
      <c r="D143">
        <v>125</v>
      </c>
      <c r="E143" t="s">
        <v>4275</v>
      </c>
      <c r="F143" t="str">
        <f>VLOOKUP(B143,judges!A:B,2,FALSE)</f>
        <v>yolanda  orozco</v>
      </c>
      <c r="G143" t="str">
        <f>VLOOKUP(A143,donors!A:C,2,FALSE)</f>
        <v xml:space="preserve"> association of business trial lawyers</v>
      </c>
      <c r="H143" t="str">
        <f>VLOOKUP($A143,donors!$A:$C,3,FALSE)</f>
        <v xml:space="preserve"> bar association</v>
      </c>
      <c r="I143" t="s">
        <v>4704</v>
      </c>
    </row>
    <row r="144" spans="1:9">
      <c r="A144">
        <v>85</v>
      </c>
      <c r="B144">
        <v>498</v>
      </c>
      <c r="C144" s="1">
        <v>39220</v>
      </c>
      <c r="D144">
        <v>50</v>
      </c>
      <c r="E144" t="s">
        <v>4270</v>
      </c>
      <c r="F144" t="str">
        <f>VLOOKUP(B144,judges!A:B,2,FALSE)</f>
        <v>delbert william oros</v>
      </c>
      <c r="G144" t="str">
        <f>VLOOKUP(A144,donors!A:C,2,FALSE)</f>
        <v xml:space="preserve"> bryan college</v>
      </c>
      <c r="H144" t="str">
        <f>VLOOKUP($A144,donors!$A:$C,3,FALSE)</f>
        <v xml:space="preserve"> court reporting school</v>
      </c>
      <c r="I144" t="s">
        <v>4705</v>
      </c>
    </row>
    <row r="145" spans="1:9">
      <c r="A145">
        <v>25</v>
      </c>
      <c r="B145">
        <v>499</v>
      </c>
      <c r="C145" s="1">
        <v>39172</v>
      </c>
      <c r="D145">
        <v>75</v>
      </c>
      <c r="E145" t="s">
        <v>4207</v>
      </c>
      <c r="F145" t="str">
        <f>VLOOKUP(B145,judges!A:B,2,FALSE)</f>
        <v>george l orndoff</v>
      </c>
      <c r="G145" t="str">
        <f>VLOOKUP(A145,donors!A:C,2,FALSE)</f>
        <v xml:space="preserve"> kings county bar association</v>
      </c>
      <c r="H145" t="str">
        <f>VLOOKUP($A145,donors!$A:$C,3,FALSE)</f>
        <v xml:space="preserve"> county bar association</v>
      </c>
      <c r="I145" t="s">
        <v>4706</v>
      </c>
    </row>
    <row r="146" spans="1:9">
      <c r="A146">
        <v>25</v>
      </c>
      <c r="B146">
        <v>499</v>
      </c>
      <c r="C146" s="1">
        <v>39352</v>
      </c>
      <c r="D146">
        <v>20</v>
      </c>
      <c r="E146" t="s">
        <v>4276</v>
      </c>
      <c r="F146" t="str">
        <f>VLOOKUP(B146,judges!A:B,2,FALSE)</f>
        <v>george l orndoff</v>
      </c>
      <c r="G146" t="str">
        <f>VLOOKUP(A146,donors!A:C,2,FALSE)</f>
        <v xml:space="preserve"> kings county bar association</v>
      </c>
      <c r="H146" t="str">
        <f>VLOOKUP($A146,donors!$A:$C,3,FALSE)</f>
        <v xml:space="preserve"> county bar association</v>
      </c>
      <c r="I146" t="s">
        <v>4706</v>
      </c>
    </row>
    <row r="147" spans="1:9">
      <c r="A147">
        <v>86</v>
      </c>
      <c r="B147">
        <v>510</v>
      </c>
      <c r="C147" s="1">
        <v>2011</v>
      </c>
      <c r="D147">
        <v>40</v>
      </c>
      <c r="E147" s="3" t="s">
        <v>4277</v>
      </c>
      <c r="F147" t="str">
        <f>VLOOKUP(B147,judges!A:B,2,FALSE)</f>
        <v>robert harocn oliver</v>
      </c>
      <c r="G147" t="str">
        <f>VLOOKUP(A147,donors!A:C,2,FALSE)</f>
        <v xml:space="preserve"> cal state university fresno</v>
      </c>
      <c r="H147" t="str">
        <f>VLOOKUP($A147,donors!$A:$C,3,FALSE)</f>
        <v xml:space="preserve"> education</v>
      </c>
      <c r="I147" t="s">
        <v>4707</v>
      </c>
    </row>
    <row r="148" spans="1:9">
      <c r="A148">
        <v>87</v>
      </c>
      <c r="B148">
        <v>520</v>
      </c>
      <c r="C148" s="1">
        <v>39088</v>
      </c>
      <c r="D148">
        <v>74</v>
      </c>
      <c r="E148" t="s">
        <v>4201</v>
      </c>
      <c r="F148" t="str">
        <f>VLOOKUP(B148,judges!A:B,2,FALSE)</f>
        <v>joanne b. o'donnell</v>
      </c>
      <c r="G148" t="str">
        <f>VLOOKUP(A148,donors!A:C,2,FALSE)</f>
        <v xml:space="preserve"> california judges ass'n</v>
      </c>
      <c r="H148" t="str">
        <f>VLOOKUP($A148,donors!$A:$C,3,FALSE)</f>
        <v xml:space="preserve"> san francisco ca nonprofit judges assoc</v>
      </c>
      <c r="I148" t="s">
        <v>4708</v>
      </c>
    </row>
    <row r="149" spans="1:9">
      <c r="A149">
        <v>87</v>
      </c>
      <c r="B149">
        <v>520</v>
      </c>
      <c r="C149" s="1">
        <v>39144</v>
      </c>
      <c r="D149">
        <v>20</v>
      </c>
      <c r="E149" t="s">
        <v>4201</v>
      </c>
      <c r="F149" t="str">
        <f>VLOOKUP(B149,judges!A:B,2,FALSE)</f>
        <v>joanne b. o'donnell</v>
      </c>
      <c r="G149" t="str">
        <f>VLOOKUP(A149,donors!A:C,2,FALSE)</f>
        <v xml:space="preserve"> california judges ass'n</v>
      </c>
      <c r="H149" t="str">
        <f>VLOOKUP($A149,donors!$A:$C,3,FALSE)</f>
        <v xml:space="preserve"> san francisco ca nonprofit judges assoc</v>
      </c>
      <c r="I149" t="s">
        <v>4708</v>
      </c>
    </row>
    <row r="150" spans="1:9">
      <c r="A150">
        <v>87</v>
      </c>
      <c r="B150">
        <v>520</v>
      </c>
      <c r="C150" s="1">
        <v>39179</v>
      </c>
      <c r="D150">
        <v>66</v>
      </c>
      <c r="E150" t="s">
        <v>4201</v>
      </c>
      <c r="F150" t="str">
        <f>VLOOKUP(B150,judges!A:B,2,FALSE)</f>
        <v>joanne b. o'donnell</v>
      </c>
      <c r="G150" t="str">
        <f>VLOOKUP(A150,donors!A:C,2,FALSE)</f>
        <v xml:space="preserve"> california judges ass'n</v>
      </c>
      <c r="H150" t="str">
        <f>VLOOKUP($A150,donors!$A:$C,3,FALSE)</f>
        <v xml:space="preserve"> san francisco ca nonprofit judges assoc</v>
      </c>
      <c r="I150" t="s">
        <v>4708</v>
      </c>
    </row>
    <row r="151" spans="1:9">
      <c r="A151">
        <v>54</v>
      </c>
      <c r="B151">
        <v>520</v>
      </c>
      <c r="C151" s="1">
        <v>39239</v>
      </c>
      <c r="D151">
        <v>323</v>
      </c>
      <c r="E151" t="s">
        <v>4278</v>
      </c>
      <c r="F151" t="str">
        <f>VLOOKUP(B151,judges!A:B,2,FALSE)</f>
        <v>joanne b. o'donnell</v>
      </c>
      <c r="G151" t="str">
        <f>VLOOKUP(A151,donors!A:C,2,FALSE)</f>
        <v xml:space="preserve"> california judges assn</v>
      </c>
      <c r="H151" t="str">
        <f>VLOOKUP($A151,donors!$A:$C,3,FALSE)</f>
        <v xml:space="preserve"> prof. assoc. of judges</v>
      </c>
      <c r="I151" t="s">
        <v>4708</v>
      </c>
    </row>
    <row r="152" spans="1:9">
      <c r="A152">
        <v>54</v>
      </c>
      <c r="B152">
        <v>520</v>
      </c>
      <c r="C152" s="1">
        <v>39238</v>
      </c>
      <c r="D152">
        <v>202</v>
      </c>
      <c r="E152" t="s">
        <v>4279</v>
      </c>
      <c r="F152" t="str">
        <f>VLOOKUP(B152,judges!A:B,2,FALSE)</f>
        <v>joanne b. o'donnell</v>
      </c>
      <c r="G152" t="str">
        <f>VLOOKUP(A152,donors!A:C,2,FALSE)</f>
        <v xml:space="preserve"> california judges assn</v>
      </c>
      <c r="H152" t="str">
        <f>VLOOKUP($A152,donors!$A:$C,3,FALSE)</f>
        <v xml:space="preserve"> prof. assoc. of judges</v>
      </c>
      <c r="I152" t="s">
        <v>4708</v>
      </c>
    </row>
    <row r="153" spans="1:9">
      <c r="A153">
        <v>54</v>
      </c>
      <c r="B153">
        <v>520</v>
      </c>
      <c r="C153" s="1">
        <v>39339</v>
      </c>
      <c r="D153">
        <v>5</v>
      </c>
      <c r="E153" t="s">
        <v>4280</v>
      </c>
      <c r="F153" t="str">
        <f>VLOOKUP(B153,judges!A:B,2,FALSE)</f>
        <v>joanne b. o'donnell</v>
      </c>
      <c r="G153" t="str">
        <f>VLOOKUP(A153,donors!A:C,2,FALSE)</f>
        <v xml:space="preserve"> california judges assn</v>
      </c>
      <c r="H153" t="str">
        <f>VLOOKUP($A153,donors!$A:$C,3,FALSE)</f>
        <v xml:space="preserve"> prof. assoc. of judges</v>
      </c>
      <c r="I153" t="s">
        <v>4708</v>
      </c>
    </row>
    <row r="154" spans="1:9">
      <c r="A154">
        <v>87</v>
      </c>
      <c r="B154">
        <v>520</v>
      </c>
      <c r="C154" s="1">
        <v>39342</v>
      </c>
      <c r="D154">
        <v>40</v>
      </c>
      <c r="E154" t="s">
        <v>4201</v>
      </c>
      <c r="F154" t="str">
        <f>VLOOKUP(B154,judges!A:B,2,FALSE)</f>
        <v>joanne b. o'donnell</v>
      </c>
      <c r="G154" t="str">
        <f>VLOOKUP(A154,donors!A:C,2,FALSE)</f>
        <v xml:space="preserve"> california judges ass'n</v>
      </c>
      <c r="H154" t="str">
        <f>VLOOKUP($A154,donors!$A:$C,3,FALSE)</f>
        <v xml:space="preserve"> san francisco ca nonprofit judges assoc</v>
      </c>
      <c r="I154" t="s">
        <v>4708</v>
      </c>
    </row>
    <row r="155" spans="1:9">
      <c r="A155">
        <v>87</v>
      </c>
      <c r="B155">
        <v>520</v>
      </c>
      <c r="C155" s="1">
        <v>39389</v>
      </c>
      <c r="D155">
        <v>32</v>
      </c>
      <c r="E155" t="s">
        <v>4201</v>
      </c>
      <c r="F155" t="str">
        <f>VLOOKUP(B155,judges!A:B,2,FALSE)</f>
        <v>joanne b. o'donnell</v>
      </c>
      <c r="G155" t="str">
        <f>VLOOKUP(A155,donors!A:C,2,FALSE)</f>
        <v xml:space="preserve"> california judges ass'n</v>
      </c>
      <c r="H155" t="str">
        <f>VLOOKUP($A155,donors!$A:$C,3,FALSE)</f>
        <v xml:space="preserve"> san francisco ca nonprofit judges assoc</v>
      </c>
      <c r="I155" t="s">
        <v>4708</v>
      </c>
    </row>
    <row r="156" spans="1:9">
      <c r="A156">
        <v>88</v>
      </c>
      <c r="B156">
        <v>532</v>
      </c>
      <c r="C156" s="1">
        <v>39241</v>
      </c>
      <c r="D156">
        <v>65</v>
      </c>
      <c r="E156" t="s">
        <v>4281</v>
      </c>
      <c r="F156" t="str">
        <f>VLOOKUP(B156,judges!A:B,2,FALSE)</f>
        <v>lisa a novak</v>
      </c>
      <c r="G156" t="str">
        <f>VLOOKUP(A156,donors!A:C,2,FALSE)</f>
        <v xml:space="preserve"> san mateo county bar assoc</v>
      </c>
      <c r="H156" t="str">
        <f>VLOOKUP($A156,donors!$A:$C,3,FALSE)</f>
        <v xml:space="preserve"> non profit</v>
      </c>
      <c r="I156" t="s">
        <v>4709</v>
      </c>
    </row>
    <row r="157" spans="1:9">
      <c r="A157">
        <v>88</v>
      </c>
      <c r="B157">
        <v>532</v>
      </c>
      <c r="C157" s="1">
        <v>39351</v>
      </c>
      <c r="D157">
        <v>50</v>
      </c>
      <c r="E157" t="s">
        <v>4217</v>
      </c>
      <c r="F157" t="str">
        <f>VLOOKUP(B157,judges!A:B,2,FALSE)</f>
        <v>lisa a novak</v>
      </c>
      <c r="G157" t="str">
        <f>VLOOKUP(A157,donors!A:C,2,FALSE)</f>
        <v xml:space="preserve"> san mateo county bar assoc</v>
      </c>
      <c r="H157" t="str">
        <f>VLOOKUP($A157,donors!$A:$C,3,FALSE)</f>
        <v xml:space="preserve"> non profit</v>
      </c>
      <c r="I157" t="s">
        <v>4709</v>
      </c>
    </row>
    <row r="158" spans="1:9">
      <c r="A158">
        <v>88</v>
      </c>
      <c r="B158">
        <v>532</v>
      </c>
      <c r="C158" s="1">
        <v>39421</v>
      </c>
      <c r="D158">
        <v>50</v>
      </c>
      <c r="E158" t="s">
        <v>4217</v>
      </c>
      <c r="F158" t="str">
        <f>VLOOKUP(B158,judges!A:B,2,FALSE)</f>
        <v>lisa a novak</v>
      </c>
      <c r="G158" t="str">
        <f>VLOOKUP(A158,donors!A:C,2,FALSE)</f>
        <v xml:space="preserve"> san mateo county bar assoc</v>
      </c>
      <c r="H158" t="str">
        <f>VLOOKUP($A158,donors!$A:$C,3,FALSE)</f>
        <v xml:space="preserve"> non profit</v>
      </c>
      <c r="I158" t="s">
        <v>4709</v>
      </c>
    </row>
    <row r="159" spans="1:9">
      <c r="A159">
        <v>89</v>
      </c>
      <c r="B159">
        <v>532</v>
      </c>
      <c r="C159" s="1">
        <v>39431</v>
      </c>
      <c r="D159">
        <v>50</v>
      </c>
      <c r="E159" t="s">
        <v>4282</v>
      </c>
      <c r="F159" t="str">
        <f>VLOOKUP(B159,judges!A:B,2,FALSE)</f>
        <v>lisa a novak</v>
      </c>
      <c r="G159" t="str">
        <f>VLOOKUP(A159,donors!A:C,2,FALSE)</f>
        <v xml:space="preserve"> josh bentley</v>
      </c>
      <c r="H159" t="str">
        <f>VLOOKUP($A159,donors!$A:$C,3,FALSE)</f>
        <v xml:space="preserve"> attorney</v>
      </c>
      <c r="I159" t="s">
        <v>4709</v>
      </c>
    </row>
    <row r="160" spans="1:9">
      <c r="A160">
        <v>90</v>
      </c>
      <c r="B160">
        <v>541</v>
      </c>
      <c r="C160" s="1">
        <v>39424</v>
      </c>
      <c r="D160">
        <v>150</v>
      </c>
      <c r="E160" t="s">
        <v>4283</v>
      </c>
      <c r="F160" t="str">
        <f>VLOOKUP(B160,judges!A:B,2,FALSE)</f>
        <v>john nho trong nguyen</v>
      </c>
      <c r="G160" t="str">
        <f>VLOOKUP(A160,donors!A:C,2,FALSE)</f>
        <v xml:space="preserve"> robinson calcaignie robinson</v>
      </c>
      <c r="H160" t="str">
        <f>VLOOKUP($A160,donors!$A:$C,3,FALSE)</f>
        <v xml:space="preserve"> law firm</v>
      </c>
      <c r="I160" t="s">
        <v>4710</v>
      </c>
    </row>
    <row r="161" spans="1:9">
      <c r="A161">
        <v>91</v>
      </c>
      <c r="B161">
        <v>541</v>
      </c>
      <c r="C161" s="1">
        <v>39419</v>
      </c>
      <c r="D161">
        <v>100</v>
      </c>
      <c r="E161" t="s">
        <v>4284</v>
      </c>
      <c r="F161" t="str">
        <f>VLOOKUP(B161,judges!A:B,2,FALSE)</f>
        <v>john nho trong nguyen</v>
      </c>
      <c r="G161" t="str">
        <f>VLOOKUP(A161,donors!A:C,2,FALSE)</f>
        <v xml:space="preserve"> wylie aitken</v>
      </c>
      <c r="H161" t="str">
        <f>VLOOKUP($A161,donors!$A:$C,3,FALSE)</f>
        <v xml:space="preserve"> law firm</v>
      </c>
      <c r="I161" t="s">
        <v>4710</v>
      </c>
    </row>
    <row r="162" spans="1:9">
      <c r="A162">
        <v>92</v>
      </c>
      <c r="B162">
        <v>543</v>
      </c>
      <c r="C162" s="1">
        <v>39103</v>
      </c>
      <c r="D162">
        <v>70</v>
      </c>
      <c r="E162" t="s">
        <v>4285</v>
      </c>
      <c r="F162" t="str">
        <f>VLOOKUP(B162,judges!A:B,2,FALSE)</f>
        <v>william renwickjr nevitt</v>
      </c>
      <c r="G162" t="str">
        <f>VLOOKUP(A162,donors!A:C,2,FALSE)</f>
        <v xml:space="preserve"> otto feld</v>
      </c>
      <c r="H162" t="str">
        <f>VLOOKUP($A162,donors!$A:$C,3,FALSE)</f>
        <v xml:space="preserve"> professional musician</v>
      </c>
      <c r="I162" t="s">
        <v>4711</v>
      </c>
    </row>
    <row r="163" spans="1:9">
      <c r="A163">
        <v>92</v>
      </c>
      <c r="B163">
        <v>543</v>
      </c>
      <c r="C163" s="1">
        <v>39300</v>
      </c>
      <c r="D163">
        <v>70</v>
      </c>
      <c r="E163" t="s">
        <v>4285</v>
      </c>
      <c r="F163" t="str">
        <f>VLOOKUP(B163,judges!A:B,2,FALSE)</f>
        <v>william renwickjr nevitt</v>
      </c>
      <c r="G163" t="str">
        <f>VLOOKUP(A163,donors!A:C,2,FALSE)</f>
        <v xml:space="preserve"> otto feld</v>
      </c>
      <c r="H163" t="str">
        <f>VLOOKUP($A163,donors!$A:$C,3,FALSE)</f>
        <v xml:space="preserve"> professional musician</v>
      </c>
      <c r="I163" t="s">
        <v>4711</v>
      </c>
    </row>
    <row r="164" spans="1:9">
      <c r="A164">
        <v>93</v>
      </c>
      <c r="B164">
        <v>545</v>
      </c>
      <c r="C164" s="1">
        <v>39376</v>
      </c>
      <c r="D164">
        <v>300</v>
      </c>
      <c r="E164" t="s">
        <v>4286</v>
      </c>
      <c r="F164" t="str">
        <f>VLOOKUP(B164,judges!A:B,2,FALSE)</f>
        <v>maren e. nelson</v>
      </c>
      <c r="G164" t="str">
        <f>VLOOKUP(A164,donors!A:C,2,FALSE)</f>
        <v xml:space="preserve"> los angeles county bar association</v>
      </c>
      <c r="H164" t="str">
        <f>VLOOKUP($A164,donors!$A:$C,3,FALSE)</f>
        <v xml:space="preserve"> bar association</v>
      </c>
      <c r="I164" t="s">
        <v>4712</v>
      </c>
    </row>
    <row r="165" spans="1:9">
      <c r="A165">
        <v>94</v>
      </c>
      <c r="B165">
        <v>545</v>
      </c>
      <c r="C165" s="1">
        <v>39107</v>
      </c>
      <c r="D165">
        <v>150</v>
      </c>
      <c r="E165" t="s">
        <v>4287</v>
      </c>
      <c r="F165" t="str">
        <f>VLOOKUP(B165,judges!A:B,2,FALSE)</f>
        <v>maren e. nelson</v>
      </c>
      <c r="G165" t="str">
        <f>VLOOKUP(A165,donors!A:C,2,FALSE)</f>
        <v xml:space="preserve"> beverly hills bar association</v>
      </c>
      <c r="H165" t="str">
        <f>VLOOKUP($A165,donors!$A:$C,3,FALSE)</f>
        <v xml:space="preserve"> bar association</v>
      </c>
      <c r="I165" t="s">
        <v>4712</v>
      </c>
    </row>
    <row r="166" spans="1:9">
      <c r="A166">
        <v>95</v>
      </c>
      <c r="B166">
        <v>555</v>
      </c>
      <c r="C166" s="1">
        <v>39101</v>
      </c>
      <c r="D166">
        <v>100</v>
      </c>
      <c r="E166" t="s">
        <v>4187</v>
      </c>
      <c r="F166" t="str">
        <f>VLOOKUP(B166,judges!A:B,2,FALSE)</f>
        <v>kirk haruo nakamura</v>
      </c>
      <c r="G166" t="str">
        <f>VLOOKUP(A166,donors!A:C,2,FALSE)</f>
        <v xml:space="preserve"> oc bar assn.</v>
      </c>
      <c r="H166" t="str">
        <f>VLOOKUP($A166,donors!$A:$C,3,FALSE)</f>
        <v xml:space="preserve"> dinners</v>
      </c>
      <c r="I166" t="s">
        <v>4713</v>
      </c>
    </row>
    <row r="167" spans="1:9">
      <c r="A167">
        <v>96</v>
      </c>
      <c r="B167">
        <v>555</v>
      </c>
      <c r="C167" s="1">
        <v>39318</v>
      </c>
      <c r="D167">
        <v>800</v>
      </c>
      <c r="E167" t="s">
        <v>4288</v>
      </c>
      <c r="F167" t="str">
        <f>VLOOKUP(B167,judges!A:B,2,FALSE)</f>
        <v>kirk haruo nakamura</v>
      </c>
      <c r="G167" t="str">
        <f>VLOOKUP(A167,donors!A:C,2,FALSE)</f>
        <v xml:space="preserve"> ken +judy oda</v>
      </c>
      <c r="H167" t="str">
        <f>VLOOKUP($A167,donors!$A:$C,3,FALSE)</f>
        <v xml:space="preserve"> friend</v>
      </c>
      <c r="I167" t="s">
        <v>4713</v>
      </c>
    </row>
    <row r="168" spans="1:9">
      <c r="A168">
        <v>97</v>
      </c>
      <c r="B168">
        <v>556</v>
      </c>
      <c r="C168" s="1">
        <v>39082</v>
      </c>
      <c r="D168">
        <v>100</v>
      </c>
      <c r="E168" t="s">
        <v>4289</v>
      </c>
      <c r="F168" t="str">
        <f>VLOOKUP(B168,judges!A:B,2,FALSE)</f>
        <v>vernon k. nakshara</v>
      </c>
      <c r="G168" t="str">
        <f>VLOOKUP(A168,donors!A:C,2,FALSE)</f>
        <v xml:space="preserve"> almeda county law library</v>
      </c>
      <c r="H168" t="str">
        <f>VLOOKUP($A168,donors!$A:$C,3,FALSE)</f>
        <v xml:space="preserve"> trustee</v>
      </c>
      <c r="I168" t="s">
        <v>4714</v>
      </c>
    </row>
    <row r="169" spans="1:9">
      <c r="A169">
        <v>98</v>
      </c>
      <c r="B169">
        <v>561</v>
      </c>
      <c r="C169" s="1">
        <v>39198</v>
      </c>
      <c r="D169">
        <v>150</v>
      </c>
      <c r="E169" t="s">
        <v>4290</v>
      </c>
      <c r="F169" t="str">
        <f>VLOOKUP(B169,judges!A:B,2,FALSE)</f>
        <v>mary ann  murphy</v>
      </c>
      <c r="G169" t="str">
        <f>VLOOKUP(A169,donors!A:C,2,FALSE)</f>
        <v xml:space="preserve"> griardi keese 1126 wilshire blvd. la ca 90017</v>
      </c>
      <c r="H169" t="str">
        <f>VLOOKUP($A169,donors!$A:$C,3,FALSE)</f>
        <v xml:space="preserve"> ing of iaba and iala (see below)</v>
      </c>
      <c r="I169" t="s">
        <v>4715</v>
      </c>
    </row>
    <row r="170" spans="1:9">
      <c r="A170">
        <v>99</v>
      </c>
      <c r="B170">
        <v>561</v>
      </c>
      <c r="C170" s="1">
        <v>39241</v>
      </c>
      <c r="D170">
        <v>75</v>
      </c>
      <c r="E170" t="s">
        <v>4291</v>
      </c>
      <c r="F170" t="str">
        <f>VLOOKUP(B170,judges!A:B,2,FALSE)</f>
        <v>mary ann  murphy</v>
      </c>
      <c r="G170" t="str">
        <f>VLOOKUP(A170,donors!A:C,2,FALSE)</f>
        <v xml:space="preserve"> ass'n. of southern california defense counsel</v>
      </c>
      <c r="H170" t="str">
        <f>VLOOKUP($A170,donors!$A:$C,3,FALSE)</f>
        <v xml:space="preserve"> voluntary bar association</v>
      </c>
      <c r="I170" t="s">
        <v>4715</v>
      </c>
    </row>
    <row r="171" spans="1:9">
      <c r="A171">
        <v>100</v>
      </c>
      <c r="B171">
        <v>561</v>
      </c>
      <c r="C171" s="1">
        <v>39331</v>
      </c>
      <c r="D171">
        <v>55</v>
      </c>
      <c r="E171" t="s">
        <v>4290</v>
      </c>
      <c r="F171" t="str">
        <f>VLOOKUP(B171,judges!A:B,2,FALSE)</f>
        <v>mary ann  murphy</v>
      </c>
      <c r="G171" t="str">
        <f>VLOOKUP(A171,donors!A:C,2,FALSE)</f>
        <v xml:space="preserve"> girardi keese 1126 wilshire blvd. la ca 90017</v>
      </c>
      <c r="H171" t="str">
        <f>VLOOKUP($A171,donors!$A:$C,3,FALSE)</f>
        <v xml:space="preserve"> association dinner and entertainment</v>
      </c>
      <c r="I171" t="s">
        <v>4715</v>
      </c>
    </row>
    <row r="172" spans="1:9">
      <c r="A172">
        <v>101</v>
      </c>
      <c r="B172">
        <v>561</v>
      </c>
      <c r="C172" s="1">
        <v>39720</v>
      </c>
      <c r="D172">
        <v>75</v>
      </c>
      <c r="E172" t="s">
        <v>4292</v>
      </c>
      <c r="F172" t="str">
        <f>VLOOKUP(B172,judges!A:B,2,FALSE)</f>
        <v>mary ann  murphy</v>
      </c>
      <c r="G172" t="str">
        <f>VLOOKUP(A172,donors!A:C,2,FALSE)</f>
        <v xml:space="preserve"> loyola law school 919 albany street</v>
      </c>
      <c r="H172" t="str">
        <f>VLOOKUP($A172,donors!$A:$C,3,FALSE)</f>
        <v xml:space="preserve"> law school</v>
      </c>
      <c r="I172" t="s">
        <v>4715</v>
      </c>
    </row>
    <row r="173" spans="1:9">
      <c r="A173">
        <v>102</v>
      </c>
      <c r="B173">
        <v>561</v>
      </c>
      <c r="C173" s="1">
        <v>39429</v>
      </c>
      <c r="D173">
        <v>60</v>
      </c>
      <c r="E173" t="s">
        <v>4293</v>
      </c>
      <c r="F173" t="str">
        <f>VLOOKUP(B173,judges!A:B,2,FALSE)</f>
        <v>mary ann  murphy</v>
      </c>
      <c r="G173" t="str">
        <f>VLOOKUP(A173,donors!A:C,2,FALSE)</f>
        <v xml:space="preserve"> american board of trial advocates 5567 reseda</v>
      </c>
      <c r="H173" t="str">
        <f>VLOOKUP($A173,donors!$A:$C,3,FALSE)</f>
        <v xml:space="preserve"> voluntary bar association</v>
      </c>
      <c r="I173" t="s">
        <v>4715</v>
      </c>
    </row>
    <row r="174" spans="1:9">
      <c r="A174">
        <v>103</v>
      </c>
      <c r="B174">
        <v>561</v>
      </c>
      <c r="C174" s="1">
        <v>39091</v>
      </c>
      <c r="D174">
        <v>65</v>
      </c>
      <c r="E174" t="s">
        <v>4294</v>
      </c>
      <c r="F174" t="str">
        <f>VLOOKUP(B174,judges!A:B,2,FALSE)</f>
        <v>mary ann  murphy</v>
      </c>
      <c r="G174" t="str">
        <f>VLOOKUP(A174,donors!A:C,2,FALSE)</f>
        <v xml:space="preserve"> chancery club c/o harry hathaway fulbright &amp; jaw-</v>
      </c>
      <c r="H174" t="str">
        <f>VLOOKUP($A174,donors!$A:$C,3,FALSE)</f>
        <v xml:space="preserve"> voluntary bar association</v>
      </c>
      <c r="I174" t="s">
        <v>4716</v>
      </c>
    </row>
    <row r="175" spans="1:9">
      <c r="A175">
        <v>104</v>
      </c>
      <c r="B175">
        <v>561</v>
      </c>
      <c r="C175" s="1">
        <v>39103</v>
      </c>
      <c r="D175">
        <v>150</v>
      </c>
      <c r="E175" t="s">
        <v>4295</v>
      </c>
      <c r="F175" t="str">
        <f>VLOOKUP(B175,judges!A:B,2,FALSE)</f>
        <v>mary ann  murphy</v>
      </c>
      <c r="G175" t="str">
        <f>VLOOKUP(A175,donors!A:C,2,FALSE)</f>
        <v xml:space="preserve"> consumer attorneys association of los angeles 800</v>
      </c>
      <c r="H175" t="str">
        <f>VLOOKUP($A175,donors!$A:$C,3,FALSE)</f>
        <v xml:space="preserve"> voluntary bar association</v>
      </c>
      <c r="I175" t="s">
        <v>4716</v>
      </c>
    </row>
    <row r="176" spans="1:9">
      <c r="A176">
        <v>105</v>
      </c>
      <c r="B176">
        <v>561</v>
      </c>
      <c r="C176" s="1">
        <v>39107</v>
      </c>
      <c r="D176">
        <v>110</v>
      </c>
      <c r="E176" t="s">
        <v>4294</v>
      </c>
      <c r="F176" t="str">
        <f>VLOOKUP(B176,judges!A:B,2,FALSE)</f>
        <v>mary ann  murphy</v>
      </c>
      <c r="G176" t="str">
        <f>VLOOKUP(A176,donors!A:C,2,FALSE)</f>
        <v xml:space="preserve"> los angeles county bar association 1055 w. 7th st.</v>
      </c>
      <c r="H176" t="str">
        <f>VLOOKUP($A176,donors!$A:$C,3,FALSE)</f>
        <v xml:space="preserve"> voluntary bar association</v>
      </c>
      <c r="I176" t="s">
        <v>4716</v>
      </c>
    </row>
    <row r="177" spans="1:9">
      <c r="A177">
        <v>106</v>
      </c>
      <c r="B177">
        <v>561</v>
      </c>
      <c r="C177" s="1">
        <v>39108</v>
      </c>
      <c r="D177">
        <v>150</v>
      </c>
      <c r="E177" t="s">
        <v>4296</v>
      </c>
      <c r="F177" t="str">
        <f>VLOOKUP(B177,judges!A:B,2,FALSE)</f>
        <v>mary ann  murphy</v>
      </c>
      <c r="G177" t="str">
        <f>VLOOKUP(A177,donors!A:C,2,FALSE)</f>
        <v xml:space="preserve"> girardi keese 1126 wilshire blvd. la ca 90017</v>
      </c>
      <c r="H177" t="str">
        <f>VLOOKUP($A177,donors!$A:$C,3,FALSE)</f>
        <v xml:space="preserve"> association annual installation dinner</v>
      </c>
      <c r="I177" t="s">
        <v>4716</v>
      </c>
    </row>
    <row r="178" spans="1:9">
      <c r="A178">
        <v>107</v>
      </c>
      <c r="B178">
        <v>561</v>
      </c>
      <c r="C178" s="1">
        <v>39165</v>
      </c>
      <c r="D178">
        <v>300</v>
      </c>
      <c r="E178" t="s">
        <v>4297</v>
      </c>
      <c r="F178" t="str">
        <f>VLOOKUP(B178,judges!A:B,2,FALSE)</f>
        <v>mary ann  murphy</v>
      </c>
      <c r="G178" t="str">
        <f>VLOOKUP(A178,donors!A:C,2,FALSE)</f>
        <v xml:space="preserve"> association of corporate counsel so. cal. 777 so.</v>
      </c>
      <c r="H178" t="str">
        <f>VLOOKUP($A178,donors!$A:$C,3,FALSE)</f>
        <v xml:space="preserve"> voluntary bar association</v>
      </c>
      <c r="I178" t="s">
        <v>4716</v>
      </c>
    </row>
    <row r="179" spans="1:9">
      <c r="A179">
        <v>8</v>
      </c>
      <c r="B179">
        <v>561</v>
      </c>
      <c r="C179" s="1">
        <v>39176</v>
      </c>
      <c r="D179">
        <v>95</v>
      </c>
      <c r="E179" t="s">
        <v>4298</v>
      </c>
      <c r="F179" t="str">
        <f>VLOOKUP(B179,judges!A:B,2,FALSE)</f>
        <v>mary ann  murphy</v>
      </c>
      <c r="G179" t="str">
        <f>VLOOKUP(A179,donors!A:C,2,FALSE)</f>
        <v xml:space="preserve"> association of business trial lawyers</v>
      </c>
      <c r="H179" t="str">
        <f>VLOOKUP($A179,donors!$A:$C,3,FALSE)</f>
        <v xml:space="preserve"> bar association</v>
      </c>
      <c r="I179" t="s">
        <v>4716</v>
      </c>
    </row>
    <row r="180" spans="1:9">
      <c r="A180">
        <v>108</v>
      </c>
      <c r="B180">
        <v>564</v>
      </c>
      <c r="C180" s="1">
        <v>39127</v>
      </c>
      <c r="D180">
        <v>150</v>
      </c>
      <c r="E180" t="s">
        <v>4299</v>
      </c>
      <c r="F180" t="str">
        <f>VLOOKUP(B180,judges!A:B,2,FALSE)</f>
        <v>john edgar munter</v>
      </c>
      <c r="G180" t="str">
        <f>VLOOKUP(A180,donors!A:C,2,FALSE)</f>
        <v xml:space="preserve"> thomas h. gillespie jr. gillespie robinson &amp; grimm inc</v>
      </c>
      <c r="H180" t="str">
        <f>VLOOKUP($A180,donors!$A:$C,3,FALSE)</f>
        <v xml:space="preserve"> investment counsel</v>
      </c>
      <c r="I180" t="s">
        <v>4717</v>
      </c>
    </row>
    <row r="181" spans="1:9">
      <c r="A181">
        <v>109</v>
      </c>
      <c r="B181">
        <v>564</v>
      </c>
      <c r="C181" s="1" t="s">
        <v>4176</v>
      </c>
      <c r="D181">
        <v>120</v>
      </c>
      <c r="E181" t="s">
        <v>4300</v>
      </c>
      <c r="F181" t="str">
        <f>VLOOKUP(B181,judges!A:B,2,FALSE)</f>
        <v>john edgar munter</v>
      </c>
      <c r="G181" t="str">
        <f>VLOOKUP(A181,donors!A:C,2,FALSE)</f>
        <v xml:space="preserve"> richard and lorrie greene</v>
      </c>
      <c r="H181">
        <f>VLOOKUP($A181,donors!$A:$C,3,FALSE)</f>
        <v>0</v>
      </c>
      <c r="I181" t="s">
        <v>4717</v>
      </c>
    </row>
    <row r="182" spans="1:9">
      <c r="A182">
        <v>110</v>
      </c>
      <c r="B182">
        <v>564</v>
      </c>
      <c r="C182" s="1">
        <v>39280</v>
      </c>
      <c r="D182">
        <v>94</v>
      </c>
      <c r="E182" t="s">
        <v>4301</v>
      </c>
      <c r="F182" t="str">
        <f>VLOOKUP(B182,judges!A:B,2,FALSE)</f>
        <v>john edgar munter</v>
      </c>
      <c r="G182" t="str">
        <f>VLOOKUP(A182,donors!A:C,2,FALSE)</f>
        <v xml:space="preserve"> herm and james howerton</v>
      </c>
      <c r="H182" t="str">
        <f>VLOOKUP($A182,donors!$A:$C,3,FALSE)</f>
        <v xml:space="preserve"> n/a</v>
      </c>
      <c r="I182" t="s">
        <v>4717</v>
      </c>
    </row>
    <row r="183" spans="1:9">
      <c r="A183">
        <v>111</v>
      </c>
      <c r="B183">
        <v>564</v>
      </c>
      <c r="D183">
        <v>75</v>
      </c>
      <c r="E183" t="s">
        <v>4299</v>
      </c>
      <c r="F183" t="str">
        <f>VLOOKUP(B183,judges!A:B,2,FALSE)</f>
        <v>john edgar munter</v>
      </c>
      <c r="G183" t="str">
        <f>VLOOKUP(A183,donors!A:C,2,FALSE)</f>
        <v xml:space="preserve"> edward*marguerite middendorf 2 south ridge east</v>
      </c>
      <c r="H183" t="str">
        <f>VLOOKUP($A183,donors!$A:$C,3,FALSE)</f>
        <v xml:space="preserve"> n/a</v>
      </c>
      <c r="I183" t="s">
        <v>4717</v>
      </c>
    </row>
    <row r="184" spans="1:9">
      <c r="A184">
        <v>112</v>
      </c>
      <c r="B184">
        <v>564</v>
      </c>
      <c r="C184" s="1">
        <v>39115</v>
      </c>
      <c r="D184">
        <v>90</v>
      </c>
      <c r="E184" t="s">
        <v>4302</v>
      </c>
      <c r="F184" t="str">
        <f>VLOOKUP(B184,judges!A:B,2,FALSE)</f>
        <v>john edgar munter</v>
      </c>
      <c r="G184" t="str">
        <f>VLOOKUP(A184,donors!A:C,2,FALSE)</f>
        <v xml:space="preserve"> alfred chiantelli (ret. judge)</v>
      </c>
      <c r="H184" t="str">
        <f>VLOOKUP($A184,donors!$A:$C,3,FALSE)</f>
        <v xml:space="preserve"> n/a</v>
      </c>
      <c r="I184" t="s">
        <v>4717</v>
      </c>
    </row>
    <row r="185" spans="1:9">
      <c r="A185">
        <v>113</v>
      </c>
      <c r="B185">
        <v>564</v>
      </c>
      <c r="C185" s="1">
        <v>39320</v>
      </c>
      <c r="D185">
        <v>150</v>
      </c>
      <c r="E185" t="s">
        <v>4303</v>
      </c>
      <c r="F185" t="str">
        <f>VLOOKUP(B185,judges!A:B,2,FALSE)</f>
        <v>john edgar munter</v>
      </c>
      <c r="G185" t="str">
        <f>VLOOKUP(A185,donors!A:C,2,FALSE)</f>
        <v xml:space="preserve"> alex saldamando (ret.judge)</v>
      </c>
      <c r="H185">
        <f>VLOOKUP($A185,donors!$A:$C,3,FALSE)</f>
        <v>0</v>
      </c>
      <c r="I185" t="s">
        <v>4717</v>
      </c>
    </row>
    <row r="186" spans="1:9">
      <c r="A186">
        <v>114</v>
      </c>
      <c r="B186">
        <v>565</v>
      </c>
      <c r="C186" s="1">
        <v>39423</v>
      </c>
      <c r="D186">
        <v>140</v>
      </c>
      <c r="E186" t="s">
        <v>4304</v>
      </c>
      <c r="F186" t="str">
        <f>VLOOKUP(B186,judges!A:B,2,FALSE)</f>
        <v>gregory (nmn) munoz</v>
      </c>
      <c r="G186" t="str">
        <f>VLOOKUP(A186,donors!A:C,2,FALSE)</f>
        <v xml:space="preserve"> mark robinson</v>
      </c>
      <c r="H186" t="str">
        <f>VLOOKUP($A186,donors!$A:$C,3,FALSE)</f>
        <v xml:space="preserve"> attorney</v>
      </c>
      <c r="I186" t="s">
        <v>4718</v>
      </c>
    </row>
    <row r="187" spans="1:9">
      <c r="A187">
        <v>91</v>
      </c>
      <c r="B187">
        <v>565</v>
      </c>
      <c r="C187" s="1">
        <v>39303</v>
      </c>
      <c r="D187">
        <v>130</v>
      </c>
      <c r="E187" t="s">
        <v>4305</v>
      </c>
      <c r="F187" t="str">
        <f>VLOOKUP(B187,judges!A:B,2,FALSE)</f>
        <v>gregory (nmn) munoz</v>
      </c>
      <c r="G187" t="str">
        <f>VLOOKUP(A187,donors!A:C,2,FALSE)</f>
        <v xml:space="preserve"> wylie aitken</v>
      </c>
      <c r="H187" t="str">
        <f>VLOOKUP($A187,donors!$A:$C,3,FALSE)</f>
        <v xml:space="preserve"> law firm</v>
      </c>
      <c r="I187" t="s">
        <v>4718</v>
      </c>
    </row>
    <row r="188" spans="1:9">
      <c r="A188">
        <v>115</v>
      </c>
      <c r="B188">
        <v>568</v>
      </c>
      <c r="C188" s="1">
        <v>39186</v>
      </c>
      <c r="D188">
        <v>50</v>
      </c>
      <c r="E188" t="s">
        <v>4187</v>
      </c>
      <c r="F188" t="str">
        <f>VLOOKUP(B188,judges!A:B,2,FALSE)</f>
        <v>richard mitchell mosk 12 feb 23</v>
      </c>
      <c r="G188" t="str">
        <f>VLOOKUP(A188,donors!A:C,2,FALSE)</f>
        <v xml:space="preserve"> frances and loren rothschild</v>
      </c>
      <c r="H188" t="str">
        <f>VLOOKUP($A188,donors!$A:$C,3,FALSE)</f>
        <v xml:space="preserve"> judge/investment banker</v>
      </c>
      <c r="I188" t="s">
        <v>4719</v>
      </c>
    </row>
    <row r="189" spans="1:9">
      <c r="A189">
        <v>116</v>
      </c>
      <c r="B189">
        <v>568</v>
      </c>
      <c r="C189" s="1">
        <v>39088</v>
      </c>
      <c r="D189">
        <v>50</v>
      </c>
      <c r="E189" t="s">
        <v>4187</v>
      </c>
      <c r="F189" t="str">
        <f>VLOOKUP(B189,judges!A:B,2,FALSE)</f>
        <v>richard mitchell mosk 12 feb 23</v>
      </c>
      <c r="G189" t="str">
        <f>VLOOKUP(A189,donors!A:C,2,FALSE)</f>
        <v xml:space="preserve"> leo wyler</v>
      </c>
      <c r="H189" t="str">
        <f>VLOOKUP($A189,donors!$A:$C,3,FALSE)</f>
        <v xml:space="preserve"> retired</v>
      </c>
      <c r="I189" t="s">
        <v>4720</v>
      </c>
    </row>
    <row r="190" spans="1:9">
      <c r="A190">
        <v>117</v>
      </c>
      <c r="B190">
        <v>568</v>
      </c>
      <c r="C190" s="1">
        <v>39083</v>
      </c>
      <c r="D190">
        <v>70</v>
      </c>
      <c r="E190" t="s">
        <v>4306</v>
      </c>
      <c r="F190" t="str">
        <f>VLOOKUP(B190,judges!A:B,2,FALSE)</f>
        <v>richard mitchell mosk 12 feb 23</v>
      </c>
      <c r="G190" t="str">
        <f>VLOOKUP(A190,donors!A:C,2,FALSE)</f>
        <v xml:space="preserve"> alan isaacman</v>
      </c>
      <c r="H190" t="str">
        <f>VLOOKUP($A190,donors!$A:$C,3,FALSE)</f>
        <v xml:space="preserve"> attorney</v>
      </c>
      <c r="I190" t="s">
        <v>4720</v>
      </c>
    </row>
    <row r="191" spans="1:9">
      <c r="A191">
        <v>118</v>
      </c>
      <c r="B191">
        <v>568</v>
      </c>
      <c r="C191" s="1">
        <v>39097</v>
      </c>
      <c r="D191">
        <v>50</v>
      </c>
      <c r="E191" t="s">
        <v>4217</v>
      </c>
      <c r="F191" t="str">
        <f>VLOOKUP(B191,judges!A:B,2,FALSE)</f>
        <v>richard mitchell mosk 12 feb 23</v>
      </c>
      <c r="G191" t="str">
        <f>VLOOKUP(A191,donors!A:C,2,FALSE)</f>
        <v xml:space="preserve"> michael sanders</v>
      </c>
      <c r="H191" t="str">
        <f>VLOOKUP($A191,donors!$A:$C,3,FALSE)</f>
        <v xml:space="preserve"> attorney</v>
      </c>
      <c r="I191" t="s">
        <v>4720</v>
      </c>
    </row>
    <row r="192" spans="1:9">
      <c r="A192">
        <v>119</v>
      </c>
      <c r="B192">
        <v>568</v>
      </c>
      <c r="C192" s="1">
        <v>39125</v>
      </c>
      <c r="D192">
        <v>157</v>
      </c>
      <c r="E192" t="s">
        <v>4307</v>
      </c>
      <c r="F192" t="str">
        <f>VLOOKUP(B192,judges!A:B,2,FALSE)</f>
        <v>richard mitchell mosk 12 feb 23</v>
      </c>
      <c r="G192" t="str">
        <f>VLOOKUP(A192,donors!A:C,2,FALSE)</f>
        <v xml:space="preserve"> richard blake</v>
      </c>
      <c r="H192" t="str">
        <f>VLOOKUP($A192,donors!$A:$C,3,FALSE)</f>
        <v xml:space="preserve"> retired</v>
      </c>
      <c r="I192" t="s">
        <v>4720</v>
      </c>
    </row>
    <row r="193" spans="1:9">
      <c r="A193">
        <v>120</v>
      </c>
      <c r="B193">
        <v>568</v>
      </c>
      <c r="C193" s="1">
        <v>39438</v>
      </c>
      <c r="D193">
        <v>75</v>
      </c>
      <c r="E193" t="s">
        <v>4308</v>
      </c>
      <c r="F193" t="str">
        <f>VLOOKUP(B193,judges!A:B,2,FALSE)</f>
        <v>richard mitchell mosk 12 feb 23</v>
      </c>
      <c r="G193" t="str">
        <f>VLOOKUP(A193,donors!A:C,2,FALSE)</f>
        <v xml:space="preserve"> joe sugarman</v>
      </c>
      <c r="H193" t="str">
        <f>VLOOKUP($A193,donors!$A:$C,3,FALSE)</f>
        <v xml:space="preserve"> doctor</v>
      </c>
      <c r="I193" t="s">
        <v>4720</v>
      </c>
    </row>
    <row r="194" spans="1:9">
      <c r="A194">
        <v>121</v>
      </c>
      <c r="B194">
        <v>568</v>
      </c>
      <c r="C194" s="1">
        <v>39249</v>
      </c>
      <c r="D194">
        <v>255</v>
      </c>
      <c r="E194" t="s">
        <v>4309</v>
      </c>
      <c r="F194" t="str">
        <f>VLOOKUP(B194,judges!A:B,2,FALSE)</f>
        <v>richard mitchell mosk 12 feb 23</v>
      </c>
      <c r="G194" t="str">
        <f>VLOOKUP(A194,donors!A:C,2,FALSE)</f>
        <v xml:space="preserve"> theo epstein</v>
      </c>
      <c r="H194" t="str">
        <f>VLOOKUP($A194,donors!$A:$C,3,FALSE)</f>
        <v xml:space="preserve"> general manager/president</v>
      </c>
      <c r="I194" t="s">
        <v>4720</v>
      </c>
    </row>
    <row r="195" spans="1:9">
      <c r="A195">
        <v>63</v>
      </c>
      <c r="B195">
        <v>570</v>
      </c>
      <c r="C195" s="1">
        <v>39403</v>
      </c>
      <c r="D195">
        <v>250</v>
      </c>
      <c r="E195" t="s">
        <v>4310</v>
      </c>
      <c r="F195" t="str">
        <f>VLOOKUP(B195,judges!A:B,2,FALSE)</f>
        <v>tamara lynn mosbarger</v>
      </c>
      <c r="G195" t="str">
        <f>VLOOKUP(A195,donors!A:C,2,FALSE)</f>
        <v xml:space="preserve"> tate snyder kimsey</v>
      </c>
      <c r="H195" t="str">
        <f>VLOOKUP($A195,donors!$A:$C,3,FALSE)</f>
        <v xml:space="preserve"> architect</v>
      </c>
      <c r="I195" t="s">
        <v>4721</v>
      </c>
    </row>
    <row r="196" spans="1:9">
      <c r="A196">
        <v>122</v>
      </c>
      <c r="B196">
        <v>579</v>
      </c>
      <c r="C196" s="1">
        <v>39123</v>
      </c>
      <c r="D196">
        <v>162.47999999999999</v>
      </c>
      <c r="E196" t="s">
        <v>4311</v>
      </c>
      <c r="F196" t="str">
        <f>VLOOKUP(B196,judges!A:B,2,FALSE)</f>
        <v>ann carole moorman 12 feb 29</v>
      </c>
      <c r="G196" t="str">
        <f>VLOOKUP(A196,donors!A:C,2,FALSE)</f>
        <v xml:space="preserve"> mcfadden vineyards</v>
      </c>
      <c r="H196" t="str">
        <f>VLOOKUP($A196,donors!$A:$C,3,FALSE)</f>
        <v xml:space="preserve"> winery</v>
      </c>
      <c r="I196" t="s">
        <v>4722</v>
      </c>
    </row>
    <row r="197" spans="1:9">
      <c r="A197">
        <v>123</v>
      </c>
      <c r="B197">
        <v>583</v>
      </c>
      <c r="C197">
        <v>11</v>
      </c>
      <c r="D197">
        <v>150</v>
      </c>
      <c r="E197" t="s">
        <v>4312</v>
      </c>
      <c r="F197" t="str">
        <f>VLOOKUP(B197,judges!A:B,2,FALSE)</f>
        <v>john michael monterosso</v>
      </c>
      <c r="G197" t="str">
        <f>VLOOKUP(A197,donors!A:C,2,FALSE)</f>
        <v xml:space="preserve"> anthony agnello</v>
      </c>
      <c r="H197" t="str">
        <f>VLOOKUP($A197,donors!$A:$C,3,FALSE)</f>
        <v xml:space="preserve"> n/a</v>
      </c>
      <c r="I197" t="s">
        <v>4723</v>
      </c>
    </row>
    <row r="198" spans="1:9">
      <c r="A198">
        <v>124</v>
      </c>
      <c r="B198">
        <v>583</v>
      </c>
      <c r="C198" s="1">
        <v>39430</v>
      </c>
      <c r="D198">
        <v>50</v>
      </c>
      <c r="E198" t="s">
        <v>4313</v>
      </c>
      <c r="F198" t="str">
        <f>VLOOKUP(B198,judges!A:B,2,FALSE)</f>
        <v>john michael monterosso</v>
      </c>
      <c r="G198" t="str">
        <f>VLOOKUP(A198,donors!A:C,2,FALSE)</f>
        <v xml:space="preserve"> hemet/san jacinto bar association</v>
      </c>
      <c r="H198" t="str">
        <f>VLOOKUP($A198,donors!$A:$C,3,FALSE)</f>
        <v xml:space="preserve"> --blank--</v>
      </c>
      <c r="I198" t="s">
        <v>4723</v>
      </c>
    </row>
    <row r="199" spans="1:9">
      <c r="A199">
        <v>125</v>
      </c>
      <c r="B199">
        <v>588</v>
      </c>
      <c r="C199" s="1">
        <v>39305</v>
      </c>
      <c r="D199">
        <v>100</v>
      </c>
      <c r="E199" t="s">
        <v>4314</v>
      </c>
      <c r="F199" t="str">
        <f>VLOOKUP(B199,judges!A:B,2,FALSE)</f>
        <v>stephen m. moloney</v>
      </c>
      <c r="G199" t="str">
        <f>VLOOKUP(A199,donors!A:C,2,FALSE)</f>
        <v xml:space="preserve"> jim &amp; diane gilmartin</v>
      </c>
      <c r="H199" t="str">
        <f>VLOOKUP($A199,donors!$A:$C,3,FALSE)</f>
        <v xml:space="preserve"> 8/12/11 $100.00 della robia</v>
      </c>
      <c r="I199" t="s">
        <v>4724</v>
      </c>
    </row>
    <row r="200" spans="1:9">
      <c r="A200">
        <v>126</v>
      </c>
      <c r="B200">
        <v>588</v>
      </c>
      <c r="C200" s="1">
        <v>39149</v>
      </c>
      <c r="D200">
        <v>100</v>
      </c>
      <c r="E200" t="s">
        <v>4315</v>
      </c>
      <c r="F200" t="str">
        <f>VLOOKUP(B200,judges!A:B,2,FALSE)</f>
        <v>stephen m. moloney</v>
      </c>
      <c r="G200" t="str">
        <f>VLOOKUP(A200,donors!A:C,2,FALSE)</f>
        <v xml:space="preserve"> assoc. of so. calif. defense counsel</v>
      </c>
      <c r="H200" t="str">
        <f>VLOOKUP($A200,donors!$A:$C,3,FALSE)</f>
        <v xml:space="preserve"> 3/9/11 $100.00 complimentary dinner for self and wife at</v>
      </c>
      <c r="I200" t="s">
        <v>4724</v>
      </c>
    </row>
    <row r="201" spans="1:9">
      <c r="A201">
        <v>127</v>
      </c>
      <c r="B201">
        <v>590</v>
      </c>
      <c r="C201" s="1">
        <v>39338</v>
      </c>
      <c r="D201">
        <v>360</v>
      </c>
      <c r="E201" t="s">
        <v>4316</v>
      </c>
      <c r="F201" t="str">
        <f>VLOOKUP(B201,judges!A:B,2,FALSE)</f>
        <v>anthony j mohr</v>
      </c>
      <c r="G201" t="str">
        <f>VLOOKUP(A201,donors!A:C,2,FALSE)</f>
        <v xml:space="preserve"> maxter &amp; co</v>
      </c>
      <c r="H201" t="str">
        <f>VLOOKUP($A201,donors!$A:$C,3,FALSE)</f>
        <v xml:space="preserve"> real estate property management</v>
      </c>
      <c r="I201" t="s">
        <v>4725</v>
      </c>
    </row>
    <row r="202" spans="1:9">
      <c r="A202">
        <v>128</v>
      </c>
      <c r="B202">
        <v>593</v>
      </c>
      <c r="C202" s="1">
        <v>39179</v>
      </c>
      <c r="D202">
        <v>639.35</v>
      </c>
      <c r="E202" t="s">
        <v>4317</v>
      </c>
      <c r="F202" t="str">
        <f>VLOOKUP(B202,judges!A:B,2,FALSE)</f>
        <v>james m. mize</v>
      </c>
      <c r="G202" t="str">
        <f>VLOOKUP(A202,donors!A:C,2,FALSE)</f>
        <v xml:space="preserve"> california judges assoc/california judges foundation</v>
      </c>
      <c r="H202" t="str">
        <f>VLOOKUP($A202,donors!$A:$C,3,FALSE)</f>
        <v xml:space="preserve"> teaching &amp;meeting</v>
      </c>
      <c r="I202" t="s">
        <v>4726</v>
      </c>
    </row>
    <row r="203" spans="1:9">
      <c r="A203">
        <v>128</v>
      </c>
      <c r="B203">
        <v>593</v>
      </c>
      <c r="C203" s="1">
        <v>39179</v>
      </c>
      <c r="D203">
        <v>639.35</v>
      </c>
      <c r="E203" t="s">
        <v>4318</v>
      </c>
      <c r="F203" t="str">
        <f>VLOOKUP(B203,judges!A:B,2,FALSE)</f>
        <v>james m. mize</v>
      </c>
      <c r="G203" t="str">
        <f>VLOOKUP(A203,donors!A:C,2,FALSE)</f>
        <v xml:space="preserve"> california judges assoc/california judges foundation</v>
      </c>
      <c r="H203" t="str">
        <f>VLOOKUP($A203,donors!$A:$C,3,FALSE)</f>
        <v xml:space="preserve"> teaching &amp;meeting</v>
      </c>
      <c r="I203" t="s">
        <v>4726</v>
      </c>
    </row>
    <row r="204" spans="1:9">
      <c r="A204">
        <v>129</v>
      </c>
      <c r="B204">
        <v>593</v>
      </c>
      <c r="C204" s="1">
        <v>38992</v>
      </c>
      <c r="D204">
        <v>1072.08</v>
      </c>
      <c r="E204" t="s">
        <v>4319</v>
      </c>
      <c r="F204" t="str">
        <f>VLOOKUP(B204,judges!A:B,2,FALSE)</f>
        <v>james m. mize</v>
      </c>
      <c r="G204" t="str">
        <f>VLOOKUP(A204,donors!A:C,2,FALSE)</f>
        <v xml:space="preserve"> anthony m.kennedy ami of court</v>
      </c>
      <c r="H204" t="str">
        <f>VLOOKUP($A204,donors!$A:$C,3,FALSE)</f>
        <v xml:space="preserve"> wash dc meeting</v>
      </c>
      <c r="I204" t="s">
        <v>4726</v>
      </c>
    </row>
    <row r="205" spans="1:9">
      <c r="A205">
        <v>130</v>
      </c>
      <c r="B205">
        <v>593</v>
      </c>
      <c r="C205" t="s">
        <v>3000</v>
      </c>
      <c r="D205">
        <v>325.60000000000002</v>
      </c>
      <c r="E205" t="s">
        <v>4320</v>
      </c>
      <c r="F205" t="str">
        <f>VLOOKUP(B205,judges!A:B,2,FALSE)</f>
        <v>james m. mize</v>
      </c>
      <c r="G205" t="str">
        <f>VLOOKUP(A205,donors!A:C,2,FALSE)</f>
        <v xml:space="preserve"> california judges foundation</v>
      </c>
      <c r="H205" t="str">
        <f>VLOOKUP($A205,donors!$A:$C,3,FALSE)</f>
        <v xml:space="preserve"> meeting</v>
      </c>
      <c r="I205" t="s">
        <v>4726</v>
      </c>
    </row>
    <row r="206" spans="1:9">
      <c r="A206">
        <v>131</v>
      </c>
      <c r="B206">
        <v>598</v>
      </c>
      <c r="C206" s="1">
        <v>39320</v>
      </c>
      <c r="D206">
        <v>150</v>
      </c>
      <c r="E206" t="s">
        <v>4321</v>
      </c>
      <c r="F206" t="str">
        <f>VLOOKUP(B206,judges!A:B,2,FALSE)</f>
        <v>george antony miram</v>
      </c>
      <c r="G206" t="str">
        <f>VLOOKUP(A206,donors!A:C,2,FALSE)</f>
        <v xml:space="preserve"> san francisco 49ers football club</v>
      </c>
      <c r="H206" t="str">
        <f>VLOOKUP($A206,donors!$A:$C,3,FALSE)</f>
        <v xml:space="preserve"> santa clara ca. 95054</v>
      </c>
      <c r="I206" t="s">
        <v>4727</v>
      </c>
    </row>
    <row r="207" spans="1:9">
      <c r="A207">
        <v>132</v>
      </c>
      <c r="B207">
        <v>598</v>
      </c>
      <c r="C207" s="1">
        <v>39331</v>
      </c>
      <c r="D207">
        <v>170</v>
      </c>
      <c r="E207" t="s">
        <v>4322</v>
      </c>
      <c r="F207" t="str">
        <f>VLOOKUP(B207,judges!A:B,2,FALSE)</f>
        <v>george antony miram</v>
      </c>
      <c r="G207" t="str">
        <f>VLOOKUP(A207,donors!A:C,2,FALSE)</f>
        <v xml:space="preserve"> elizabeth hill</v>
      </c>
      <c r="H207" t="str">
        <f>VLOOKUP($A207,donors!$A:$C,3,FALSE)</f>
        <v xml:space="preserve"> court commissioner</v>
      </c>
      <c r="I207" t="s">
        <v>4727</v>
      </c>
    </row>
    <row r="208" spans="1:9">
      <c r="A208">
        <v>132</v>
      </c>
      <c r="B208">
        <v>598</v>
      </c>
      <c r="C208" s="1">
        <v>39382</v>
      </c>
      <c r="D208">
        <v>100</v>
      </c>
      <c r="E208" t="s">
        <v>4323</v>
      </c>
      <c r="F208" t="str">
        <f>VLOOKUP(B208,judges!A:B,2,FALSE)</f>
        <v>george antony miram</v>
      </c>
      <c r="G208" t="str">
        <f>VLOOKUP(A208,donors!A:C,2,FALSE)</f>
        <v xml:space="preserve"> elizabeth hill</v>
      </c>
      <c r="H208" t="str">
        <f>VLOOKUP($A208,donors!$A:$C,3,FALSE)</f>
        <v xml:space="preserve"> court commissioner</v>
      </c>
      <c r="I208" t="s">
        <v>4727</v>
      </c>
    </row>
    <row r="209" spans="1:9">
      <c r="A209">
        <v>133</v>
      </c>
      <c r="B209">
        <v>598</v>
      </c>
      <c r="C209" s="1">
        <v>39388</v>
      </c>
      <c r="D209">
        <v>65</v>
      </c>
      <c r="E209" t="s">
        <v>4324</v>
      </c>
      <c r="F209" t="str">
        <f>VLOOKUP(B209,judges!A:B,2,FALSE)</f>
        <v>george antony miram</v>
      </c>
      <c r="G209" t="str">
        <f>VLOOKUP(A209,donors!A:C,2,FALSE)</f>
        <v xml:space="preserve"> san mateo county bar assn.</v>
      </c>
      <c r="H209" t="str">
        <f>VLOOKUP($A209,donors!$A:$C,3,FALSE)</f>
        <v xml:space="preserve"> redwood city ca. - law</v>
      </c>
      <c r="I209" t="s">
        <v>4727</v>
      </c>
    </row>
    <row r="210" spans="1:9">
      <c r="A210">
        <v>133</v>
      </c>
      <c r="B210">
        <v>598</v>
      </c>
      <c r="C210" s="1">
        <v>39351</v>
      </c>
      <c r="D210">
        <v>65</v>
      </c>
      <c r="E210" t="s">
        <v>4325</v>
      </c>
      <c r="F210" t="str">
        <f>VLOOKUP(B210,judges!A:B,2,FALSE)</f>
        <v>george antony miram</v>
      </c>
      <c r="G210" t="str">
        <f>VLOOKUP(A210,donors!A:C,2,FALSE)</f>
        <v xml:space="preserve"> san mateo county bar assn.</v>
      </c>
      <c r="H210" t="str">
        <f>VLOOKUP($A210,donors!$A:$C,3,FALSE)</f>
        <v xml:space="preserve"> redwood city ca. - law</v>
      </c>
      <c r="I210" t="s">
        <v>4727</v>
      </c>
    </row>
    <row r="211" spans="1:9">
      <c r="A211">
        <v>133</v>
      </c>
      <c r="B211">
        <v>598</v>
      </c>
      <c r="C211" s="1">
        <v>39430</v>
      </c>
      <c r="D211">
        <v>140</v>
      </c>
      <c r="E211" t="s">
        <v>4326</v>
      </c>
      <c r="F211" t="str">
        <f>VLOOKUP(B211,judges!A:B,2,FALSE)</f>
        <v>george antony miram</v>
      </c>
      <c r="G211" t="str">
        <f>VLOOKUP(A211,donors!A:C,2,FALSE)</f>
        <v xml:space="preserve"> san mateo county bar assn.</v>
      </c>
      <c r="H211" t="str">
        <f>VLOOKUP($A211,donors!$A:$C,3,FALSE)</f>
        <v xml:space="preserve"> redwood city ca. - law</v>
      </c>
      <c r="I211" t="s">
        <v>4727</v>
      </c>
    </row>
    <row r="212" spans="1:9">
      <c r="A212">
        <v>134</v>
      </c>
      <c r="B212">
        <v>598</v>
      </c>
      <c r="C212" s="1">
        <v>39290</v>
      </c>
      <c r="D212">
        <v>80</v>
      </c>
      <c r="E212" t="s">
        <v>4327</v>
      </c>
      <c r="F212" t="str">
        <f>VLOOKUP(B212,judges!A:B,2,FALSE)</f>
        <v>george antony miram</v>
      </c>
      <c r="G212" t="str">
        <f>VLOOKUP(A212,donors!A:C,2,FALSE)</f>
        <v xml:space="preserve"> kathesine gallo</v>
      </c>
      <c r="H212" t="str">
        <f>VLOOKUP($A212,donors!$A:$C,3,FALSE)</f>
        <v xml:space="preserve"> discovery refeice/attorney</v>
      </c>
      <c r="I212" t="s">
        <v>4727</v>
      </c>
    </row>
    <row r="213" spans="1:9">
      <c r="A213">
        <v>135</v>
      </c>
      <c r="B213">
        <v>599</v>
      </c>
      <c r="C213" s="1">
        <v>39382</v>
      </c>
      <c r="D213">
        <v>25</v>
      </c>
      <c r="E213" t="s">
        <v>4328</v>
      </c>
      <c r="F213" t="str">
        <f>VLOOKUP(B213,judges!A:B,2,FALSE)</f>
        <v>lawrence joseph mira lawrence</v>
      </c>
      <c r="G213" t="str">
        <f>VLOOKUP(A213,donors!A:C,2,FALSE)</f>
        <v xml:space="preserve"> state of california/los angeles superior court</v>
      </c>
      <c r="H213" t="str">
        <f>VLOOKUP($A213,donors!$A:$C,3,FALSE)</f>
        <v xml:space="preserve"> seminars conferences</v>
      </c>
      <c r="I213" t="s">
        <v>4728</v>
      </c>
    </row>
    <row r="214" spans="1:9">
      <c r="A214">
        <v>135</v>
      </c>
      <c r="B214">
        <v>599</v>
      </c>
      <c r="C214" s="1">
        <v>39423</v>
      </c>
      <c r="D214">
        <v>25</v>
      </c>
      <c r="E214" t="s">
        <v>4328</v>
      </c>
      <c r="F214" t="str">
        <f>VLOOKUP(B214,judges!A:B,2,FALSE)</f>
        <v>lawrence joseph mira lawrence</v>
      </c>
      <c r="G214" t="str">
        <f>VLOOKUP(A214,donors!A:C,2,FALSE)</f>
        <v xml:space="preserve"> state of california/los angeles superior court</v>
      </c>
      <c r="H214" t="str">
        <f>VLOOKUP($A214,donors!$A:$C,3,FALSE)</f>
        <v xml:space="preserve"> seminars conferences</v>
      </c>
      <c r="I214" t="s">
        <v>4728</v>
      </c>
    </row>
    <row r="215" spans="1:9">
      <c r="A215">
        <v>136</v>
      </c>
      <c r="B215">
        <v>289</v>
      </c>
      <c r="C215" s="1">
        <v>39109</v>
      </c>
      <c r="D215">
        <v>100</v>
      </c>
      <c r="E215" t="s">
        <v>4329</v>
      </c>
      <c r="F215" t="str">
        <f>VLOOKUP(B215,judges!A:B,2,FALSE)</f>
        <v>r carlton seaver</v>
      </c>
      <c r="G215" t="str">
        <f>VLOOKUP(A215,donors!A:C,2,FALSE)</f>
        <v xml:space="preserve"> consumer attorneys of los angeles</v>
      </c>
      <c r="H215" t="str">
        <f>VLOOKUP($A215,donors!$A:$C,3,FALSE)</f>
        <v xml:space="preserve"> plaintiff personal injury attorneys association</v>
      </c>
      <c r="I215" t="s">
        <v>4729</v>
      </c>
    </row>
    <row r="216" spans="1:9">
      <c r="A216">
        <v>137</v>
      </c>
      <c r="B216">
        <v>289</v>
      </c>
      <c r="C216" s="1">
        <v>39165</v>
      </c>
      <c r="D216">
        <v>100</v>
      </c>
      <c r="E216" t="s">
        <v>4330</v>
      </c>
      <c r="F216" t="str">
        <f>VLOOKUP(B216,judges!A:B,2,FALSE)</f>
        <v>r carlton seaver</v>
      </c>
      <c r="G216" t="str">
        <f>VLOOKUP(A216,donors!A:C,2,FALSE)</f>
        <v xml:space="preserve"> association of so. california defense counsel</v>
      </c>
      <c r="H216" t="str">
        <f>VLOOKUP($A216,donors!$A:$C,3,FALSE)</f>
        <v xml:space="preserve"> trade association for insurance defense counsel</v>
      </c>
      <c r="I216" t="s">
        <v>4729</v>
      </c>
    </row>
    <row r="217" spans="1:9">
      <c r="A217">
        <v>138</v>
      </c>
      <c r="B217">
        <v>289</v>
      </c>
      <c r="C217" s="1">
        <v>39441</v>
      </c>
      <c r="D217">
        <v>100</v>
      </c>
      <c r="E217" t="s">
        <v>4331</v>
      </c>
      <c r="F217" t="str">
        <f>VLOOKUP(B217,judges!A:B,2,FALSE)</f>
        <v>r carlton seaver</v>
      </c>
      <c r="G217" t="str">
        <f>VLOOKUP(A217,donors!A:C,2,FALSE)</f>
        <v xml:space="preserve"> john tyre</v>
      </c>
      <c r="H217" t="str">
        <f>VLOOKUP($A217,donors!$A:$C,3,FALSE)</f>
        <v xml:space="preserve"> criminal defense attorney</v>
      </c>
      <c r="I217" t="s">
        <v>4729</v>
      </c>
    </row>
    <row r="218" spans="1:9">
      <c r="A218">
        <v>139</v>
      </c>
      <c r="B218">
        <v>289</v>
      </c>
      <c r="C218" t="s">
        <v>3001</v>
      </c>
      <c r="D218">
        <v>50</v>
      </c>
      <c r="E218" t="s">
        <v>4332</v>
      </c>
      <c r="F218" t="str">
        <f>VLOOKUP(B218,judges!A:B,2,FALSE)</f>
        <v>r carlton seaver</v>
      </c>
      <c r="G218" t="str">
        <f>VLOOKUP(A218,donors!A:C,2,FALSE)</f>
        <v xml:space="preserve"> michael and jeanette bidart c/o shernoff bidart &amp; ech</v>
      </c>
      <c r="H218" t="str">
        <f>VLOOKUP($A218,donors!$A:$C,3,FALSE)</f>
        <v xml:space="preserve"> civil attorney/law firm</v>
      </c>
      <c r="I218" t="s">
        <v>4729</v>
      </c>
    </row>
    <row r="219" spans="1:9">
      <c r="A219">
        <v>140</v>
      </c>
      <c r="B219">
        <v>289</v>
      </c>
      <c r="C219" s="1">
        <v>39372</v>
      </c>
      <c r="D219">
        <v>30</v>
      </c>
      <c r="E219" t="s">
        <v>4333</v>
      </c>
      <c r="F219" t="str">
        <f>VLOOKUP(B219,judges!A:B,2,FALSE)</f>
        <v>r carlton seaver</v>
      </c>
      <c r="G219" t="str">
        <f>VLOOKUP(A219,donors!A:C,2,FALSE)</f>
        <v xml:space="preserve"> hon. sam cianchetti</v>
      </c>
      <c r="H219" t="str">
        <f>VLOOKUP($A219,donors!$A:$C,3,FALSE)</f>
        <v xml:space="preserve"> mediator/retired judge</v>
      </c>
      <c r="I219" t="s">
        <v>4729</v>
      </c>
    </row>
    <row r="220" spans="1:9">
      <c r="A220">
        <v>141</v>
      </c>
      <c r="B220">
        <v>289</v>
      </c>
      <c r="C220" s="1">
        <v>39264</v>
      </c>
      <c r="D220">
        <v>180</v>
      </c>
      <c r="E220" t="s">
        <v>4334</v>
      </c>
      <c r="F220" t="str">
        <f>VLOOKUP(B220,judges!A:B,2,FALSE)</f>
        <v>r carlton seaver</v>
      </c>
      <c r="G220" t="str">
        <f>VLOOKUP(A220,donors!A:C,2,FALSE)</f>
        <v xml:space="preserve"> var fox judicate west</v>
      </c>
      <c r="H220" t="str">
        <f>VLOOKUP($A220,donors!$A:$C,3,FALSE)</f>
        <v xml:space="preserve"> mediation provider</v>
      </c>
      <c r="I220" t="s">
        <v>4729</v>
      </c>
    </row>
    <row r="221" spans="1:9">
      <c r="A221">
        <v>142</v>
      </c>
      <c r="B221">
        <v>608</v>
      </c>
      <c r="C221" s="1">
        <v>39103</v>
      </c>
      <c r="D221">
        <v>100</v>
      </c>
      <c r="E221" t="s">
        <v>4335</v>
      </c>
      <c r="F221" t="str">
        <f>VLOOKUP(B221,judges!A:B,2,FALSE)</f>
        <v>rita j. miller</v>
      </c>
      <c r="G221" t="str">
        <f>VLOOKUP(A221,donors!A:C,2,FALSE)</f>
        <v xml:space="preserve"> consumer attys assn of los angeles</v>
      </c>
      <c r="H221" t="str">
        <f>VLOOKUP($A221,donors!$A:$C,3,FALSE)</f>
        <v xml:space="preserve"> voluntary bar assh.</v>
      </c>
      <c r="I221" t="s">
        <v>4730</v>
      </c>
    </row>
    <row r="222" spans="1:9">
      <c r="A222">
        <v>143</v>
      </c>
      <c r="B222">
        <v>608</v>
      </c>
      <c r="C222" s="1">
        <v>39200</v>
      </c>
      <c r="D222">
        <v>50</v>
      </c>
      <c r="E222" t="s">
        <v>4336</v>
      </c>
      <c r="F222" t="str">
        <f>VLOOKUP(B222,judges!A:B,2,FALSE)</f>
        <v>rita j. miller</v>
      </c>
      <c r="G222" t="str">
        <f>VLOOKUP(A222,donors!A:C,2,FALSE)</f>
        <v xml:space="preserve"> california employment lawyers ass'n.</v>
      </c>
      <c r="H222" t="str">
        <f>VLOOKUP($A222,donors!$A:$C,3,FALSE)</f>
        <v xml:space="preserve"> voluntary bar assn</v>
      </c>
      <c r="I222" t="s">
        <v>4730</v>
      </c>
    </row>
    <row r="223" spans="1:9">
      <c r="A223">
        <v>144</v>
      </c>
      <c r="B223">
        <v>608</v>
      </c>
      <c r="C223" s="1">
        <v>39428</v>
      </c>
      <c r="D223">
        <v>75</v>
      </c>
      <c r="E223" t="s">
        <v>4337</v>
      </c>
      <c r="F223" t="str">
        <f>VLOOKUP(B223,judges!A:B,2,FALSE)</f>
        <v>rita j. miller</v>
      </c>
      <c r="G223" t="str">
        <f>VLOOKUP(A223,donors!A:C,2,FALSE)</f>
        <v xml:space="preserve"> assn. g so. cal. defense counsel</v>
      </c>
      <c r="H223" t="str">
        <f>VLOOKUP($A223,donors!$A:$C,3,FALSE)</f>
        <v xml:space="preserve"> voluntary bar ass'n</v>
      </c>
      <c r="I223" t="s">
        <v>4730</v>
      </c>
    </row>
    <row r="224" spans="1:9">
      <c r="A224">
        <v>144</v>
      </c>
      <c r="B224">
        <v>608</v>
      </c>
      <c r="C224" s="1">
        <v>39150</v>
      </c>
      <c r="D224">
        <v>75</v>
      </c>
      <c r="E224" t="s">
        <v>4338</v>
      </c>
      <c r="F224" t="str">
        <f>VLOOKUP(B224,judges!A:B,2,FALSE)</f>
        <v>rita j. miller</v>
      </c>
      <c r="G224" t="str">
        <f>VLOOKUP(A224,donors!A:C,2,FALSE)</f>
        <v xml:space="preserve"> assn. g so. cal. defense counsel</v>
      </c>
      <c r="H224" t="str">
        <f>VLOOKUP($A224,donors!$A:$C,3,FALSE)</f>
        <v xml:space="preserve"> voluntary bar ass'n</v>
      </c>
      <c r="I224" t="s">
        <v>4730</v>
      </c>
    </row>
    <row r="225" spans="1:9">
      <c r="A225">
        <v>144</v>
      </c>
      <c r="B225">
        <v>608</v>
      </c>
      <c r="C225" s="1">
        <v>39151</v>
      </c>
      <c r="D225">
        <v>75</v>
      </c>
      <c r="E225" t="s">
        <v>4339</v>
      </c>
      <c r="F225" t="str">
        <f>VLOOKUP(B225,judges!A:B,2,FALSE)</f>
        <v>rita j. miller</v>
      </c>
      <c r="G225" t="str">
        <f>VLOOKUP(A225,donors!A:C,2,FALSE)</f>
        <v xml:space="preserve"> assn. g so. cal. defense counsel</v>
      </c>
      <c r="H225" t="str">
        <f>VLOOKUP($A225,donors!$A:$C,3,FALSE)</f>
        <v xml:space="preserve"> voluntary bar ass'n</v>
      </c>
      <c r="I225" t="s">
        <v>4730</v>
      </c>
    </row>
    <row r="226" spans="1:9">
      <c r="A226">
        <v>145</v>
      </c>
      <c r="B226">
        <v>608</v>
      </c>
      <c r="C226" t="s">
        <v>3002</v>
      </c>
      <c r="D226">
        <v>50</v>
      </c>
      <c r="E226" t="s">
        <v>4340</v>
      </c>
      <c r="F226" t="str">
        <f>VLOOKUP(B226,judges!A:B,2,FALSE)</f>
        <v>rita j. miller</v>
      </c>
      <c r="G226" t="str">
        <f>VLOOKUP(A226,donors!A:C,2,FALSE)</f>
        <v xml:space="preserve"> korean community lawyer's assn.</v>
      </c>
      <c r="H226" t="str">
        <f>VLOOKUP($A226,donors!$A:$C,3,FALSE)</f>
        <v xml:space="preserve"> voluntary bar assn</v>
      </c>
      <c r="I226" t="s">
        <v>4730</v>
      </c>
    </row>
    <row r="227" spans="1:9">
      <c r="A227">
        <v>146</v>
      </c>
      <c r="B227">
        <v>608</v>
      </c>
      <c r="C227" s="1">
        <v>39176</v>
      </c>
      <c r="D227">
        <v>110</v>
      </c>
      <c r="E227" t="s">
        <v>4341</v>
      </c>
      <c r="F227" t="str">
        <f>VLOOKUP(B227,judges!A:B,2,FALSE)</f>
        <v>rita j. miller</v>
      </c>
      <c r="G227" t="str">
        <f>VLOOKUP(A227,donors!A:C,2,FALSE)</f>
        <v xml:space="preserve"> ass'n of business trial lawyers</v>
      </c>
      <c r="H227" t="str">
        <f>VLOOKUP($A227,donors!$A:$C,3,FALSE)</f>
        <v xml:space="preserve"> voluntary bar assn.</v>
      </c>
      <c r="I227" t="s">
        <v>4730</v>
      </c>
    </row>
    <row r="228" spans="1:9">
      <c r="A228">
        <v>146</v>
      </c>
      <c r="B228">
        <v>608</v>
      </c>
      <c r="C228" s="1">
        <v>39109</v>
      </c>
      <c r="D228">
        <v>95</v>
      </c>
      <c r="E228" t="s">
        <v>4342</v>
      </c>
      <c r="F228" t="str">
        <f>VLOOKUP(B228,judges!A:B,2,FALSE)</f>
        <v>rita j. miller</v>
      </c>
      <c r="G228" t="str">
        <f>VLOOKUP(A228,donors!A:C,2,FALSE)</f>
        <v xml:space="preserve"> ass'n of business trial lawyers</v>
      </c>
      <c r="H228" t="str">
        <f>VLOOKUP($A228,donors!$A:$C,3,FALSE)</f>
        <v xml:space="preserve"> voluntary bar assn.</v>
      </c>
      <c r="I228" t="s">
        <v>4730</v>
      </c>
    </row>
    <row r="229" spans="1:9">
      <c r="A229">
        <v>147</v>
      </c>
      <c r="B229">
        <v>608</v>
      </c>
      <c r="C229" s="1">
        <v>39331</v>
      </c>
      <c r="D229">
        <v>100</v>
      </c>
      <c r="E229" t="s">
        <v>4343</v>
      </c>
      <c r="F229" t="str">
        <f>VLOOKUP(B229,judges!A:B,2,FALSE)</f>
        <v>rita j. miller</v>
      </c>
      <c r="G229" t="str">
        <f>VLOOKUP(A229,donors!A:C,2,FALSE)</f>
        <v xml:space="preserve"> italian american lawyers/presdident tom girardi</v>
      </c>
      <c r="H229" t="str">
        <f>VLOOKUP($A229,donors!$A:$C,3,FALSE)</f>
        <v xml:space="preserve"> voluntary bn assns`</v>
      </c>
      <c r="I229" t="s">
        <v>4730</v>
      </c>
    </row>
    <row r="230" spans="1:9">
      <c r="A230">
        <v>147</v>
      </c>
      <c r="B230">
        <v>608</v>
      </c>
      <c r="C230" s="1">
        <v>39198</v>
      </c>
      <c r="D230">
        <v>50</v>
      </c>
      <c r="E230" t="s">
        <v>4344</v>
      </c>
      <c r="F230" t="str">
        <f>VLOOKUP(B230,judges!A:B,2,FALSE)</f>
        <v>rita j. miller</v>
      </c>
      <c r="G230" t="str">
        <f>VLOOKUP(A230,donors!A:C,2,FALSE)</f>
        <v xml:space="preserve"> italian american lawyers/presdident tom girardi</v>
      </c>
      <c r="H230" t="str">
        <f>VLOOKUP($A230,donors!$A:$C,3,FALSE)</f>
        <v xml:space="preserve"> voluntary bn assns`</v>
      </c>
      <c r="I230" t="s">
        <v>4730</v>
      </c>
    </row>
    <row r="231" spans="1:9">
      <c r="A231">
        <v>147</v>
      </c>
      <c r="B231">
        <v>608</v>
      </c>
      <c r="C231" s="1">
        <v>39421</v>
      </c>
      <c r="D231">
        <v>75</v>
      </c>
      <c r="E231" t="s">
        <v>4345</v>
      </c>
      <c r="F231" t="str">
        <f>VLOOKUP(B231,judges!A:B,2,FALSE)</f>
        <v>rita j. miller</v>
      </c>
      <c r="G231" t="str">
        <f>VLOOKUP(A231,donors!A:C,2,FALSE)</f>
        <v xml:space="preserve"> italian american lawyers/presdident tom girardi</v>
      </c>
      <c r="H231" t="str">
        <f>VLOOKUP($A231,donors!$A:$C,3,FALSE)</f>
        <v xml:space="preserve"> voluntary bn assns`</v>
      </c>
      <c r="I231" t="s">
        <v>4730</v>
      </c>
    </row>
    <row r="232" spans="1:9">
      <c r="A232">
        <v>148</v>
      </c>
      <c r="B232">
        <v>609</v>
      </c>
      <c r="C232" s="1">
        <v>39106</v>
      </c>
      <c r="D232">
        <v>90</v>
      </c>
      <c r="E232" t="s">
        <v>4346</v>
      </c>
      <c r="F232" t="str">
        <f>VLOOKUP(B232,judges!A:B,2,FALSE)</f>
        <v>maria j. miller</v>
      </c>
      <c r="G232" t="str">
        <f>VLOOKUP(A232,donors!A:C,2,FALSE)</f>
        <v xml:space="preserve"> association of business trial lawyers-n. cal chapter</v>
      </c>
      <c r="H232" t="str">
        <f>VLOOKUP($A232,donors!$A:$C,3,FALSE)</f>
        <v xml:space="preserve"> continuing education for attorneys and judges</v>
      </c>
      <c r="I232" t="s">
        <v>4731</v>
      </c>
    </row>
    <row r="233" spans="1:9">
      <c r="A233">
        <v>148</v>
      </c>
      <c r="B233">
        <v>609</v>
      </c>
      <c r="C233" s="1">
        <v>39428</v>
      </c>
      <c r="D233">
        <v>90</v>
      </c>
      <c r="E233" t="s">
        <v>4347</v>
      </c>
      <c r="F233" t="str">
        <f>VLOOKUP(B233,judges!A:B,2,FALSE)</f>
        <v>maria j. miller</v>
      </c>
      <c r="G233" t="str">
        <f>VLOOKUP(A233,donors!A:C,2,FALSE)</f>
        <v xml:space="preserve"> association of business trial lawyers-n. cal chapter</v>
      </c>
      <c r="H233" t="str">
        <f>VLOOKUP($A233,donors!$A:$C,3,FALSE)</f>
        <v xml:space="preserve"> continuing education for attorneys and judges</v>
      </c>
      <c r="I233" t="s">
        <v>4731</v>
      </c>
    </row>
    <row r="234" spans="1:9">
      <c r="A234">
        <v>149</v>
      </c>
      <c r="B234">
        <v>610</v>
      </c>
      <c r="C234" t="s">
        <v>3003</v>
      </c>
      <c r="D234">
        <v>100</v>
      </c>
      <c r="E234" t="s">
        <v>4348</v>
      </c>
      <c r="F234" t="str">
        <f>VLOOKUP(B234,judges!A:B,2,FALSE)</f>
        <v>linda l. miller</v>
      </c>
      <c r="G234" t="str">
        <f>VLOOKUP(A234,donors!A:C,2,FALSE)</f>
        <v xml:space="preserve"> american accdemy d</v>
      </c>
      <c r="H234" t="str">
        <f>VLOOKUP($A234,donors!$A:$C,3,FALSE)</f>
        <v xml:space="preserve"> orange cunty diosicnd</v>
      </c>
      <c r="I234" t="s">
        <v>4732</v>
      </c>
    </row>
    <row r="235" spans="1:9">
      <c r="A235">
        <v>150</v>
      </c>
      <c r="B235">
        <v>611</v>
      </c>
      <c r="C235" s="1" t="s">
        <v>4177</v>
      </c>
      <c r="D235">
        <v>120</v>
      </c>
      <c r="E235" t="s">
        <v>4349</v>
      </c>
      <c r="F235" t="str">
        <f>VLOOKUP(B235,judges!A:B,2,FALSE)</f>
        <v>franz e. miller</v>
      </c>
      <c r="G235" t="str">
        <f>VLOOKUP(A235,donors!A:C,2,FALSE)</f>
        <v xml:space="preserve"> assn of business trial lawyers</v>
      </c>
      <c r="H235" t="str">
        <f>VLOOKUP($A235,donors!$A:$C,3,FALSE)</f>
        <v xml:space="preserve"> bus.trial atty org  </v>
      </c>
      <c r="I235" t="s">
        <v>4733</v>
      </c>
    </row>
    <row r="236" spans="1:9">
      <c r="A236">
        <v>151</v>
      </c>
      <c r="B236">
        <v>611</v>
      </c>
      <c r="C236" t="s">
        <v>4178</v>
      </c>
      <c r="D236">
        <v>70</v>
      </c>
      <c r="E236" t="s">
        <v>4350</v>
      </c>
      <c r="F236" t="str">
        <f>VLOOKUP(B236,judges!A:B,2,FALSE)</f>
        <v>franz e. miller</v>
      </c>
      <c r="G236" t="str">
        <f>VLOOKUP(A236,donors!A:C,2,FALSE)</f>
        <v xml:space="preserve"> mark p. robinson jr.</v>
      </c>
      <c r="H236" t="str">
        <f>VLOOKUP($A236,donors!$A:$C,3,FALSE)</f>
        <v xml:space="preserve"> atty</v>
      </c>
      <c r="I236" t="s">
        <v>4733</v>
      </c>
    </row>
    <row r="237" spans="1:9">
      <c r="A237">
        <v>152</v>
      </c>
      <c r="B237">
        <v>611</v>
      </c>
      <c r="C237" s="1" t="s">
        <v>4179</v>
      </c>
      <c r="D237">
        <v>150</v>
      </c>
      <c r="E237" t="s">
        <v>4351</v>
      </c>
      <c r="F237" t="str">
        <f>VLOOKUP(B237,judges!A:B,2,FALSE)</f>
        <v>franz e. miller</v>
      </c>
      <c r="G237" t="str">
        <f>VLOOKUP(A237,donors!A:C,2,FALSE)</f>
        <v xml:space="preserve"> or.co.trial lawyers assn</v>
      </c>
      <c r="H237" t="str">
        <f>VLOOKUP($A237,donors!$A:$C,3,FALSE)</f>
        <v xml:space="preserve"> trial lawyers assn</v>
      </c>
      <c r="I237" t="s">
        <v>4733</v>
      </c>
    </row>
    <row r="238" spans="1:9">
      <c r="A238">
        <v>153</v>
      </c>
      <c r="B238">
        <v>611</v>
      </c>
      <c r="C238" t="s">
        <v>2999</v>
      </c>
      <c r="D238">
        <v>30</v>
      </c>
      <c r="E238" t="s">
        <v>4350</v>
      </c>
      <c r="F238" t="str">
        <f>VLOOKUP(B238,judges!A:B,2,FALSE)</f>
        <v>franz e. miller</v>
      </c>
      <c r="G238" t="str">
        <f>VLOOKUP(A238,donors!A:C,2,FALSE)</f>
        <v xml:space="preserve"> or. co. women lawyers assn</v>
      </c>
      <c r="H238" t="str">
        <f>VLOOKUP($A238,donors!$A:$C,3,FALSE)</f>
        <v xml:space="preserve"> --blank--</v>
      </c>
      <c r="I238" t="s">
        <v>4733</v>
      </c>
    </row>
    <row r="239" spans="1:9">
      <c r="A239">
        <v>154</v>
      </c>
      <c r="B239">
        <v>612</v>
      </c>
      <c r="C239" s="1">
        <v>39082</v>
      </c>
      <c r="D239">
        <v>1000</v>
      </c>
      <c r="E239" t="s">
        <v>4352</v>
      </c>
      <c r="F239" t="str">
        <f>VLOOKUP(B239,judges!A:B,2,FALSE)</f>
        <v>douglas paul miller</v>
      </c>
      <c r="G239" t="str">
        <f>VLOOKUP(A239,donors!A:C,2,FALSE)</f>
        <v xml:space="preserve"> desert town hall series</v>
      </c>
      <c r="H239" t="str">
        <f>VLOOKUP($A239,donors!$A:$C,3,FALSE)</f>
        <v xml:space="preserve"> nonprofit</v>
      </c>
      <c r="I239" t="s">
        <v>4734</v>
      </c>
    </row>
    <row r="240" spans="1:9">
      <c r="A240">
        <v>155</v>
      </c>
      <c r="B240">
        <v>612</v>
      </c>
      <c r="C240" s="1">
        <v>39305</v>
      </c>
      <c r="D240">
        <v>50</v>
      </c>
      <c r="E240" t="s">
        <v>4353</v>
      </c>
      <c r="F240" t="str">
        <f>VLOOKUP(B240,judges!A:B,2,FALSE)</f>
        <v>douglas paul miller</v>
      </c>
      <c r="G240" t="str">
        <f>VLOOKUP(A240,donors!A:C,2,FALSE)</f>
        <v xml:space="preserve"> rcrsd inland empire office</v>
      </c>
      <c r="H240" t="str">
        <f>VLOOKUP($A240,donors!$A:$C,3,FALSE)</f>
        <v xml:space="preserve"> law firm</v>
      </c>
      <c r="I240" t="s">
        <v>4734</v>
      </c>
    </row>
    <row r="241" spans="1:9">
      <c r="A241">
        <v>156</v>
      </c>
      <c r="B241">
        <v>613</v>
      </c>
      <c r="D241">
        <v>100</v>
      </c>
      <c r="E241" t="s">
        <v>4354</v>
      </c>
      <c r="F241" t="str">
        <f>VLOOKUP(B241,judges!A:B,2,FALSE)</f>
        <v xml:space="preserve"> s.rula dalief millard mark</v>
      </c>
      <c r="G241" t="str">
        <f>VLOOKUP(A241,donors!A:C,2,FALSE)</f>
        <v xml:space="preserve"> family law section of o/c box</v>
      </c>
      <c r="H241" t="str">
        <f>VLOOKUP($A241,donors!$A:$C,3,FALSE)</f>
        <v xml:space="preserve"> nonprofit local bar</v>
      </c>
      <c r="I241" t="s">
        <v>4735</v>
      </c>
    </row>
    <row r="242" spans="1:9">
      <c r="A242">
        <v>157</v>
      </c>
      <c r="B242">
        <v>613</v>
      </c>
      <c r="C242" s="1">
        <v>39421</v>
      </c>
      <c r="D242">
        <v>120</v>
      </c>
      <c r="E242" t="s">
        <v>4355</v>
      </c>
      <c r="F242" t="str">
        <f>VLOOKUP(B242,judges!A:B,2,FALSE)</f>
        <v xml:space="preserve"> s.rula dalief millard mark</v>
      </c>
      <c r="G242" t="str">
        <f>VLOOKUP(A242,donors!A:C,2,FALSE)</f>
        <v xml:space="preserve"> so ca chapterg aaml</v>
      </c>
      <c r="H242" t="str">
        <f>VLOOKUP($A242,donors!$A:$C,3,FALSE)</f>
        <v xml:space="preserve"> non profit bar association</v>
      </c>
      <c r="I242" t="s">
        <v>4735</v>
      </c>
    </row>
    <row r="243" spans="1:9">
      <c r="A243">
        <v>158</v>
      </c>
      <c r="B243">
        <v>622</v>
      </c>
      <c r="C243" s="1">
        <v>39208</v>
      </c>
      <c r="D243">
        <v>165</v>
      </c>
      <c r="E243" t="s">
        <v>4187</v>
      </c>
      <c r="F243" t="str">
        <f>VLOOKUP(B243,judges!A:B,2,FALSE)</f>
        <v>kimberly kay menninger</v>
      </c>
      <c r="G243" t="str">
        <f>VLOOKUP(A243,donors!A:C,2,FALSE)</f>
        <v xml:space="preserve"> mary lynn coffee</v>
      </c>
      <c r="H243" t="str">
        <f>VLOOKUP($A243,donors!$A:$C,3,FALSE)</f>
        <v xml:space="preserve"> --blank--</v>
      </c>
      <c r="I243" t="s">
        <v>4736</v>
      </c>
    </row>
    <row r="244" spans="1:9">
      <c r="A244">
        <v>159</v>
      </c>
      <c r="B244">
        <v>622</v>
      </c>
      <c r="C244" s="1">
        <v>39220</v>
      </c>
      <c r="D244">
        <v>55</v>
      </c>
      <c r="E244" t="s">
        <v>4187</v>
      </c>
      <c r="F244" t="str">
        <f>VLOOKUP(B244,judges!A:B,2,FALSE)</f>
        <v>kimberly kay menninger</v>
      </c>
      <c r="G244" t="str">
        <f>VLOOKUP(A244,donors!A:C,2,FALSE)</f>
        <v xml:space="preserve"> loyola law school</v>
      </c>
      <c r="H244" t="str">
        <f>VLOOKUP($A244,donors!$A:$C,3,FALSE)</f>
        <v xml:space="preserve"> --blank--</v>
      </c>
      <c r="I244" t="s">
        <v>4736</v>
      </c>
    </row>
    <row r="245" spans="1:9">
      <c r="A245">
        <v>63</v>
      </c>
      <c r="B245">
        <v>635</v>
      </c>
      <c r="C245" s="1">
        <v>39403</v>
      </c>
      <c r="D245">
        <v>250</v>
      </c>
      <c r="E245" t="s">
        <v>4356</v>
      </c>
      <c r="F245" t="str">
        <f>VLOOKUP(B245,judges!A:B,2,FALSE)</f>
        <v>sandra lynn mclean</v>
      </c>
      <c r="G245" t="str">
        <f>VLOOKUP(A245,donors!A:C,2,FALSE)</f>
        <v xml:space="preserve"> tate snyder kimsey</v>
      </c>
      <c r="H245" t="str">
        <f>VLOOKUP($A245,donors!$A:$C,3,FALSE)</f>
        <v xml:space="preserve"> architect</v>
      </c>
      <c r="I245" t="s">
        <v>4737</v>
      </c>
    </row>
    <row r="246" spans="1:9">
      <c r="A246">
        <v>160</v>
      </c>
      <c r="B246">
        <v>643</v>
      </c>
      <c r="C246" t="s">
        <v>3005</v>
      </c>
      <c r="D246">
        <v>100</v>
      </c>
      <c r="E246" t="s">
        <v>4357</v>
      </c>
      <c r="F246" t="str">
        <f>VLOOKUP(B246,judges!A:B,2,FALSE)</f>
        <v>james a mcintyre</v>
      </c>
      <c r="G246" t="str">
        <f>VLOOKUP(A246,donors!A:C,2,FALSE)</f>
        <v xml:space="preserve"> tony &amp; anne spitzberg</v>
      </c>
      <c r="H246" t="str">
        <f>VLOOKUP($A246,donors!$A:$C,3,FALSE)</f>
        <v xml:space="preserve"> performed wedding ceremony</v>
      </c>
      <c r="I246" t="s">
        <v>4738</v>
      </c>
    </row>
    <row r="247" spans="1:9">
      <c r="A247">
        <v>161</v>
      </c>
      <c r="B247">
        <v>667</v>
      </c>
      <c r="C247" s="1">
        <v>39432</v>
      </c>
      <c r="D247">
        <v>300</v>
      </c>
      <c r="E247" t="s">
        <v>4358</v>
      </c>
      <c r="F247" t="str">
        <f>VLOOKUP(B247,judges!A:B,2,FALSE)</f>
        <v>john david mazurek</v>
      </c>
      <c r="G247" t="str">
        <f>VLOOKUP(A247,donors!A:C,2,FALSE)</f>
        <v xml:space="preserve"> kristin cain and lisa stephens</v>
      </c>
      <c r="H247" t="str">
        <f>VLOOKUP($A247,donors!$A:$C,3,FALSE)</f>
        <v xml:space="preserve"> --blank--</v>
      </c>
      <c r="I247" t="s">
        <v>4739</v>
      </c>
    </row>
    <row r="248" spans="1:9">
      <c r="A248">
        <v>162</v>
      </c>
      <c r="B248">
        <v>667</v>
      </c>
      <c r="C248" s="1">
        <v>39432</v>
      </c>
      <c r="D248">
        <v>150</v>
      </c>
      <c r="E248" t="s">
        <v>4270</v>
      </c>
      <c r="F248" t="str">
        <f>VLOOKUP(B248,judges!A:B,2,FALSE)</f>
        <v>john david mazurek</v>
      </c>
      <c r="G248" t="str">
        <f>VLOOKUP(A248,donors!A:C,2,FALSE)</f>
        <v xml:space="preserve"> bruce and jane brown</v>
      </c>
      <c r="H248" t="str">
        <f>VLOOKUP($A248,donors!$A:$C,3,FALSE)</f>
        <v xml:space="preserve"> --blank--</v>
      </c>
      <c r="I248" t="s">
        <v>4740</v>
      </c>
    </row>
    <row r="249" spans="1:9">
      <c r="A249">
        <v>163</v>
      </c>
      <c r="B249">
        <v>667</v>
      </c>
      <c r="C249" s="1">
        <v>39432</v>
      </c>
      <c r="D249">
        <v>100</v>
      </c>
      <c r="E249" t="s">
        <v>4270</v>
      </c>
      <c r="F249" t="str">
        <f>VLOOKUP(B249,judges!A:B,2,FALSE)</f>
        <v>john david mazurek</v>
      </c>
      <c r="G249" t="str">
        <f>VLOOKUP(A249,donors!A:C,2,FALSE)</f>
        <v xml:space="preserve"> hon. and mrs. michael smith</v>
      </c>
      <c r="H249" t="str">
        <f>VLOOKUP($A249,donors!$A:$C,3,FALSE)</f>
        <v xml:space="preserve"> --blank--</v>
      </c>
      <c r="I249" t="s">
        <v>4740</v>
      </c>
    </row>
    <row r="250" spans="1:9">
      <c r="A250">
        <v>164</v>
      </c>
      <c r="B250">
        <v>667</v>
      </c>
      <c r="C250" s="1">
        <v>39432</v>
      </c>
      <c r="D250">
        <v>40</v>
      </c>
      <c r="E250" t="s">
        <v>4270</v>
      </c>
      <c r="F250" t="str">
        <f>VLOOKUP(B250,judges!A:B,2,FALSE)</f>
        <v>john david mazurek</v>
      </c>
      <c r="G250" t="str">
        <f>VLOOKUP(A250,donors!A:C,2,FALSE)</f>
        <v xml:space="preserve"> linda earnest</v>
      </c>
      <c r="H250" t="str">
        <f>VLOOKUP($A250,donors!$A:$C,3,FALSE)</f>
        <v xml:space="preserve"> --blank--</v>
      </c>
      <c r="I250" t="s">
        <v>4740</v>
      </c>
    </row>
    <row r="251" spans="1:9">
      <c r="A251">
        <v>165</v>
      </c>
      <c r="B251">
        <v>667</v>
      </c>
      <c r="C251" t="s">
        <v>3006</v>
      </c>
      <c r="D251">
        <v>75</v>
      </c>
      <c r="E251" t="s">
        <v>4359</v>
      </c>
      <c r="F251" t="str">
        <f>VLOOKUP(B251,judges!A:B,2,FALSE)</f>
        <v>john david mazurek</v>
      </c>
      <c r="G251" t="str">
        <f>VLOOKUP(A251,donors!A:C,2,FALSE)</f>
        <v xml:space="preserve"> jim and leisha hendrix</v>
      </c>
      <c r="H251" t="str">
        <f>VLOOKUP($A251,donors!$A:$C,3,FALSE)</f>
        <v xml:space="preserve"> --blank--</v>
      </c>
      <c r="I251" t="s">
        <v>4740</v>
      </c>
    </row>
    <row r="252" spans="1:9">
      <c r="A252">
        <v>165</v>
      </c>
      <c r="B252">
        <v>667</v>
      </c>
      <c r="C252" s="1">
        <v>39432</v>
      </c>
      <c r="D252">
        <v>40</v>
      </c>
      <c r="E252" t="s">
        <v>4360</v>
      </c>
      <c r="F252" t="str">
        <f>VLOOKUP(B252,judges!A:B,2,FALSE)</f>
        <v>john david mazurek</v>
      </c>
      <c r="G252" t="str">
        <f>VLOOKUP(A252,donors!A:C,2,FALSE)</f>
        <v xml:space="preserve"> jim and leisha hendrix</v>
      </c>
      <c r="H252" t="str">
        <f>VLOOKUP($A252,donors!$A:$C,3,FALSE)</f>
        <v xml:space="preserve"> --blank--</v>
      </c>
      <c r="I252" t="s">
        <v>4740</v>
      </c>
    </row>
    <row r="253" spans="1:9">
      <c r="A253">
        <v>166</v>
      </c>
      <c r="B253">
        <v>667</v>
      </c>
      <c r="C253" s="1">
        <v>39432</v>
      </c>
      <c r="D253">
        <v>100</v>
      </c>
      <c r="E253" t="s">
        <v>4270</v>
      </c>
      <c r="F253" t="str">
        <f>VLOOKUP(B253,judges!A:B,2,FALSE)</f>
        <v>john david mazurek</v>
      </c>
      <c r="G253" t="str">
        <f>VLOOKUP(A253,donors!A:C,2,FALSE)</f>
        <v xml:space="preserve"> hon. annemarie pace and stacy poston</v>
      </c>
      <c r="H253" t="str">
        <f>VLOOKUP($A253,donors!$A:$C,3,FALSE)</f>
        <v xml:space="preserve"> --blank--</v>
      </c>
      <c r="I253" t="s">
        <v>4740</v>
      </c>
    </row>
    <row r="254" spans="1:9">
      <c r="A254">
        <v>167</v>
      </c>
      <c r="B254">
        <v>667</v>
      </c>
      <c r="C254" s="1">
        <v>39432</v>
      </c>
      <c r="D254">
        <v>100</v>
      </c>
      <c r="E254" t="s">
        <v>4361</v>
      </c>
      <c r="F254" t="str">
        <f>VLOOKUP(B254,judges!A:B,2,FALSE)</f>
        <v>john david mazurek</v>
      </c>
      <c r="G254" t="str">
        <f>VLOOKUP(A254,donors!A:C,2,FALSE)</f>
        <v xml:space="preserve"> hon. john and renee vanderfeer</v>
      </c>
      <c r="H254" t="str">
        <f>VLOOKUP($A254,donors!$A:$C,3,FALSE)</f>
        <v xml:space="preserve"> --blank--</v>
      </c>
      <c r="I254" t="s">
        <v>4740</v>
      </c>
    </row>
    <row r="255" spans="1:9">
      <c r="A255">
        <v>167</v>
      </c>
      <c r="B255">
        <v>667</v>
      </c>
      <c r="C255" s="1">
        <v>39432</v>
      </c>
      <c r="D255">
        <v>25</v>
      </c>
      <c r="E255" t="s">
        <v>4362</v>
      </c>
      <c r="F255" t="str">
        <f>VLOOKUP(B255,judges!A:B,2,FALSE)</f>
        <v>john david mazurek</v>
      </c>
      <c r="G255" t="str">
        <f>VLOOKUP(A255,donors!A:C,2,FALSE)</f>
        <v xml:space="preserve"> hon. john and renee vanderfeer</v>
      </c>
      <c r="H255" t="str">
        <f>VLOOKUP($A255,donors!$A:$C,3,FALSE)</f>
        <v xml:space="preserve"> --blank--</v>
      </c>
      <c r="I255" t="s">
        <v>4740</v>
      </c>
    </row>
    <row r="256" spans="1:9">
      <c r="A256">
        <v>168</v>
      </c>
      <c r="B256">
        <v>667</v>
      </c>
      <c r="C256" s="1">
        <v>39432</v>
      </c>
      <c r="D256">
        <v>80</v>
      </c>
      <c r="E256" t="s">
        <v>4270</v>
      </c>
      <c r="F256" t="str">
        <f>VLOOKUP(B256,judges!A:B,2,FALSE)</f>
        <v>john david mazurek</v>
      </c>
      <c r="G256" t="str">
        <f>VLOOKUP(A256,donors!A:C,2,FALSE)</f>
        <v xml:space="preserve"> rick and brenda elia</v>
      </c>
      <c r="H256" t="str">
        <f>VLOOKUP($A256,donors!$A:$C,3,FALSE)</f>
        <v xml:space="preserve"> --blank--</v>
      </c>
      <c r="I256" t="s">
        <v>4741</v>
      </c>
    </row>
    <row r="257" spans="1:9">
      <c r="A257">
        <v>169</v>
      </c>
      <c r="B257">
        <v>667</v>
      </c>
      <c r="C257" s="1">
        <v>39432</v>
      </c>
      <c r="D257">
        <v>80</v>
      </c>
      <c r="E257" t="s">
        <v>4270</v>
      </c>
      <c r="F257" t="str">
        <f>VLOOKUP(B257,judges!A:B,2,FALSE)</f>
        <v>john david mazurek</v>
      </c>
      <c r="G257" t="str">
        <f>VLOOKUP(A257,donors!A:C,2,FALSE)</f>
        <v xml:space="preserve"> jennifer boros</v>
      </c>
      <c r="H257" t="str">
        <f>VLOOKUP($A257,donors!$A:$C,3,FALSE)</f>
        <v xml:space="preserve"> --blank--</v>
      </c>
      <c r="I257" t="s">
        <v>4741</v>
      </c>
    </row>
    <row r="258" spans="1:9">
      <c r="A258">
        <v>170</v>
      </c>
      <c r="B258">
        <v>667</v>
      </c>
      <c r="C258" s="1">
        <v>39432</v>
      </c>
      <c r="D258">
        <v>200</v>
      </c>
      <c r="E258" t="s">
        <v>4270</v>
      </c>
      <c r="F258" t="str">
        <f>VLOOKUP(B258,judges!A:B,2,FALSE)</f>
        <v>john david mazurek</v>
      </c>
      <c r="G258" t="str">
        <f>VLOOKUP(A258,donors!A:C,2,FALSE)</f>
        <v xml:space="preserve"> layne and beth bartholomew</v>
      </c>
      <c r="H258" t="str">
        <f>VLOOKUP($A258,donors!$A:$C,3,FALSE)</f>
        <v xml:space="preserve"> --blank--</v>
      </c>
      <c r="I258" t="s">
        <v>4741</v>
      </c>
    </row>
    <row r="259" spans="1:9">
      <c r="A259">
        <v>171</v>
      </c>
      <c r="B259">
        <v>667</v>
      </c>
      <c r="C259" t="s">
        <v>3006</v>
      </c>
      <c r="D259">
        <v>50</v>
      </c>
      <c r="E259" t="s">
        <v>4270</v>
      </c>
      <c r="F259" t="str">
        <f>VLOOKUP(B259,judges!A:B,2,FALSE)</f>
        <v>john david mazurek</v>
      </c>
      <c r="G259" t="str">
        <f>VLOOKUP(A259,donors!A:C,2,FALSE)</f>
        <v xml:space="preserve"> kathy sellers</v>
      </c>
      <c r="H259" t="str">
        <f>VLOOKUP($A259,donors!$A:$C,3,FALSE)</f>
        <v xml:space="preserve"> --blank--</v>
      </c>
      <c r="I259" t="s">
        <v>4741</v>
      </c>
    </row>
    <row r="260" spans="1:9">
      <c r="A260">
        <v>172</v>
      </c>
      <c r="B260">
        <v>667</v>
      </c>
      <c r="C260" s="1">
        <v>39432</v>
      </c>
      <c r="D260">
        <v>25</v>
      </c>
      <c r="E260" t="s">
        <v>4270</v>
      </c>
      <c r="F260" t="str">
        <f>VLOOKUP(B260,judges!A:B,2,FALSE)</f>
        <v>john david mazurek</v>
      </c>
      <c r="G260" t="str">
        <f>VLOOKUP(A260,donors!A:C,2,FALSE)</f>
        <v xml:space="preserve"> sarah garcia</v>
      </c>
      <c r="H260" t="str">
        <f>VLOOKUP($A260,donors!$A:$C,3,FALSE)</f>
        <v xml:space="preserve"> --blank--</v>
      </c>
      <c r="I260" t="s">
        <v>4741</v>
      </c>
    </row>
    <row r="261" spans="1:9">
      <c r="A261">
        <v>173</v>
      </c>
      <c r="B261">
        <v>667</v>
      </c>
      <c r="C261" s="1">
        <v>39432</v>
      </c>
      <c r="D261">
        <v>50</v>
      </c>
      <c r="E261" t="s">
        <v>4270</v>
      </c>
      <c r="F261" t="str">
        <f>VLOOKUP(B261,judges!A:B,2,FALSE)</f>
        <v>john david mazurek</v>
      </c>
      <c r="G261" t="str">
        <f>VLOOKUP(A261,donors!A:C,2,FALSE)</f>
        <v xml:space="preserve"> deborah thompson</v>
      </c>
      <c r="H261" t="str">
        <f>VLOOKUP($A261,donors!$A:$C,3,FALSE)</f>
        <v xml:space="preserve"> --blank--</v>
      </c>
      <c r="I261" t="s">
        <v>4741</v>
      </c>
    </row>
    <row r="262" spans="1:9">
      <c r="A262">
        <v>174</v>
      </c>
      <c r="B262">
        <v>667</v>
      </c>
      <c r="C262" s="1">
        <v>39432</v>
      </c>
      <c r="D262">
        <v>100</v>
      </c>
      <c r="E262" t="s">
        <v>4270</v>
      </c>
      <c r="F262" t="str">
        <f>VLOOKUP(B262,judges!A:B,2,FALSE)</f>
        <v>john david mazurek</v>
      </c>
      <c r="G262" t="str">
        <f>VLOOKUP(A262,donors!A:C,2,FALSE)</f>
        <v xml:space="preserve"> jennifer poland</v>
      </c>
      <c r="H262" t="str">
        <f>VLOOKUP($A262,donors!$A:$C,3,FALSE)</f>
        <v xml:space="preserve"> --blank--</v>
      </c>
      <c r="I262" t="s">
        <v>4742</v>
      </c>
    </row>
    <row r="263" spans="1:9">
      <c r="A263">
        <v>175</v>
      </c>
      <c r="B263">
        <v>667</v>
      </c>
      <c r="C263" s="1">
        <v>39432</v>
      </c>
      <c r="D263">
        <v>75</v>
      </c>
      <c r="E263" t="s">
        <v>4270</v>
      </c>
      <c r="F263" t="str">
        <f>VLOOKUP(B263,judges!A:B,2,FALSE)</f>
        <v>john david mazurek</v>
      </c>
      <c r="G263" t="str">
        <f>VLOOKUP(A263,donors!A:C,2,FALSE)</f>
        <v xml:space="preserve"> steve and mariloli stolarz</v>
      </c>
      <c r="H263" t="str">
        <f>VLOOKUP($A263,donors!$A:$C,3,FALSE)</f>
        <v xml:space="preserve"> --blank--</v>
      </c>
      <c r="I263" t="s">
        <v>4742</v>
      </c>
    </row>
    <row r="264" spans="1:9">
      <c r="A264">
        <v>176</v>
      </c>
      <c r="B264">
        <v>667</v>
      </c>
      <c r="C264" s="1">
        <v>39432</v>
      </c>
      <c r="D264">
        <v>100</v>
      </c>
      <c r="E264" t="s">
        <v>4270</v>
      </c>
      <c r="F264" t="str">
        <f>VLOOKUP(B264,judges!A:B,2,FALSE)</f>
        <v>john david mazurek</v>
      </c>
      <c r="G264" t="str">
        <f>VLOOKUP(A264,donors!A:C,2,FALSE)</f>
        <v xml:space="preserve"> robert and jennifer burton</v>
      </c>
      <c r="H264" t="str">
        <f>VLOOKUP($A264,donors!$A:$C,3,FALSE)</f>
        <v xml:space="preserve"> --blank--</v>
      </c>
      <c r="I264" t="s">
        <v>4742</v>
      </c>
    </row>
    <row r="265" spans="1:9">
      <c r="A265">
        <v>177</v>
      </c>
      <c r="B265">
        <v>667</v>
      </c>
      <c r="C265" t="s">
        <v>3006</v>
      </c>
      <c r="D265">
        <v>75</v>
      </c>
      <c r="E265" t="s">
        <v>4270</v>
      </c>
      <c r="F265" t="str">
        <f>VLOOKUP(B265,judges!A:B,2,FALSE)</f>
        <v>john david mazurek</v>
      </c>
      <c r="G265" t="str">
        <f>VLOOKUP(A265,donors!A:C,2,FALSE)</f>
        <v xml:space="preserve"> steve and karen neyses</v>
      </c>
      <c r="H265" t="str">
        <f>VLOOKUP($A265,donors!$A:$C,3,FALSE)</f>
        <v xml:space="preserve"> --blank--</v>
      </c>
      <c r="I265" t="s">
        <v>4742</v>
      </c>
    </row>
    <row r="266" spans="1:9">
      <c r="A266">
        <v>178</v>
      </c>
      <c r="B266">
        <v>667</v>
      </c>
      <c r="C266" s="1">
        <v>39432</v>
      </c>
      <c r="D266">
        <v>225</v>
      </c>
      <c r="E266" t="s">
        <v>4270</v>
      </c>
      <c r="F266" t="str">
        <f>VLOOKUP(B266,judges!A:B,2,FALSE)</f>
        <v>john david mazurek</v>
      </c>
      <c r="G266" t="str">
        <f>VLOOKUP(A266,donors!A:C,2,FALSE)</f>
        <v xml:space="preserve"> cynthia garcia</v>
      </c>
      <c r="H266" t="str">
        <f>VLOOKUP($A266,donors!$A:$C,3,FALSE)</f>
        <v xml:space="preserve"> --blank--</v>
      </c>
      <c r="I266" t="s">
        <v>4742</v>
      </c>
    </row>
    <row r="267" spans="1:9">
      <c r="A267">
        <v>179</v>
      </c>
      <c r="B267">
        <v>667</v>
      </c>
      <c r="C267" s="1">
        <v>39432</v>
      </c>
      <c r="D267">
        <v>80</v>
      </c>
      <c r="E267" t="s">
        <v>4270</v>
      </c>
      <c r="F267" t="str">
        <f>VLOOKUP(B267,judges!A:B,2,FALSE)</f>
        <v>john david mazurek</v>
      </c>
      <c r="G267" t="str">
        <f>VLOOKUP(A267,donors!A:C,2,FALSE)</f>
        <v xml:space="preserve"> don and connie ozburn</v>
      </c>
      <c r="H267" t="str">
        <f>VLOOKUP($A267,donors!$A:$C,3,FALSE)</f>
        <v xml:space="preserve"> --blank--</v>
      </c>
      <c r="I267" t="s">
        <v>4742</v>
      </c>
    </row>
    <row r="268" spans="1:9">
      <c r="A268">
        <v>180</v>
      </c>
      <c r="B268">
        <v>669</v>
      </c>
      <c r="C268" s="1">
        <v>39122</v>
      </c>
      <c r="D268">
        <v>125</v>
      </c>
      <c r="E268" t="s">
        <v>4363</v>
      </c>
      <c r="F268" t="str">
        <f>VLOOKUP(B268,judges!A:B,2,FALSE)</f>
        <v>cindee f mayfield</v>
      </c>
      <c r="G268" t="str">
        <f>VLOOKUP(A268,donors!A:C,2,FALSE)</f>
        <v xml:space="preserve"> david scott salon &amp; spa</v>
      </c>
      <c r="H268" t="str">
        <f>VLOOKUP($A268,donors!$A:$C,3,FALSE)</f>
        <v xml:space="preserve"> hair salon &amp;spa</v>
      </c>
      <c r="I268" t="s">
        <v>4743</v>
      </c>
    </row>
    <row r="269" spans="1:9">
      <c r="A269">
        <v>181</v>
      </c>
      <c r="B269">
        <v>681</v>
      </c>
      <c r="C269" s="1">
        <v>39125</v>
      </c>
      <c r="D269">
        <v>120</v>
      </c>
      <c r="E269" t="s">
        <v>4364</v>
      </c>
      <c r="F269" t="str">
        <f>VLOOKUP(B269,judges!A:B,2,FALSE)</f>
        <v>victor david martinez</v>
      </c>
      <c r="G269" t="str">
        <f>VLOOKUP(A269,donors!A:C,2,FALSE)</f>
        <v xml:space="preserve"> shar franklin</v>
      </c>
      <c r="H269" t="str">
        <f>VLOOKUP($A269,donors!$A:$C,3,FALSE)</f>
        <v xml:space="preserve"> hotel</v>
      </c>
      <c r="I269" t="s">
        <v>4744</v>
      </c>
    </row>
    <row r="270" spans="1:9">
      <c r="A270">
        <v>181</v>
      </c>
      <c r="B270">
        <v>681</v>
      </c>
      <c r="C270" s="1">
        <v>39160</v>
      </c>
      <c r="D270">
        <v>120</v>
      </c>
      <c r="E270" t="s">
        <v>4364</v>
      </c>
      <c r="F270" t="str">
        <f>VLOOKUP(B270,judges!A:B,2,FALSE)</f>
        <v>victor david martinez</v>
      </c>
      <c r="G270" t="str">
        <f>VLOOKUP(A270,donors!A:C,2,FALSE)</f>
        <v xml:space="preserve"> shar franklin</v>
      </c>
      <c r="H270" t="str">
        <f>VLOOKUP($A270,donors!$A:$C,3,FALSE)</f>
        <v xml:space="preserve"> hotel</v>
      </c>
      <c r="I270" t="s">
        <v>4744</v>
      </c>
    </row>
    <row r="271" spans="1:9">
      <c r="A271">
        <v>182</v>
      </c>
      <c r="B271">
        <v>689</v>
      </c>
      <c r="C271" s="1">
        <v>39430</v>
      </c>
      <c r="D271">
        <v>200</v>
      </c>
      <c r="E271" t="s">
        <v>4365</v>
      </c>
      <c r="F271" t="str">
        <f>VLOOKUP(B271,judges!A:B,2,FALSE)</f>
        <v>marc  marmaro</v>
      </c>
      <c r="G271" t="str">
        <f>VLOOKUP(A271,donors!A:C,2,FALSE)</f>
        <v xml:space="preserve"> danjaq llc</v>
      </c>
      <c r="H271" t="str">
        <f>VLOOKUP($A271,donors!$A:$C,3,FALSE)</f>
        <v xml:space="preserve"> motion picture production company</v>
      </c>
      <c r="I271" t="s">
        <v>4745</v>
      </c>
    </row>
    <row r="272" spans="1:9">
      <c r="A272">
        <v>183</v>
      </c>
      <c r="B272">
        <v>689</v>
      </c>
      <c r="C272" s="1">
        <v>39423</v>
      </c>
      <c r="D272">
        <v>150</v>
      </c>
      <c r="E272" t="s">
        <v>4366</v>
      </c>
      <c r="F272" t="str">
        <f>VLOOKUP(B272,judges!A:B,2,FALSE)</f>
        <v>marc  marmaro</v>
      </c>
      <c r="G272" t="str">
        <f>VLOOKUP(A272,donors!A:C,2,FALSE)</f>
        <v xml:space="preserve"> bruce jeffer</v>
      </c>
      <c r="H272" t="str">
        <f>VLOOKUP($A272,donors!$A:$C,3,FALSE)</f>
        <v xml:space="preserve"> attorney and former law partner</v>
      </c>
      <c r="I272" t="s">
        <v>4745</v>
      </c>
    </row>
    <row r="273" spans="1:9">
      <c r="A273">
        <v>184</v>
      </c>
      <c r="B273">
        <v>692</v>
      </c>
      <c r="C273" s="1">
        <v>39424</v>
      </c>
      <c r="D273">
        <v>150</v>
      </c>
      <c r="E273" t="s">
        <v>4187</v>
      </c>
      <c r="F273" t="str">
        <f>VLOOKUP(B273,judges!A:B,2,FALSE)</f>
        <v>linda s deputy marks</v>
      </c>
      <c r="G273" t="str">
        <f>VLOOKUP(A273,donors!A:C,2,FALSE)</f>
        <v xml:space="preserve"> robinsoncalcagnie&amp;robinson</v>
      </c>
      <c r="H273" t="str">
        <f>VLOOKUP($A273,donors!$A:$C,3,FALSE)</f>
        <v xml:space="preserve"> firm christmas party</v>
      </c>
      <c r="I273" t="s">
        <v>4746</v>
      </c>
    </row>
    <row r="274" spans="1:9">
      <c r="A274">
        <v>185</v>
      </c>
      <c r="B274">
        <v>694</v>
      </c>
      <c r="C274" s="1">
        <v>39341</v>
      </c>
      <c r="D274">
        <v>120</v>
      </c>
      <c r="E274" t="s">
        <v>4367</v>
      </c>
      <c r="F274" t="str">
        <f>VLOOKUP(B274,judges!A:B,2,FALSE)</f>
        <v>paul mario marigonda</v>
      </c>
      <c r="G274" t="str">
        <f>VLOOKUP(A274,donors!A:C,2,FALSE)</f>
        <v xml:space="preserve"> anders torgerson</v>
      </c>
      <c r="H274" t="str">
        <f>VLOOKUP($A274,donors!$A:$C,3,FALSE)</f>
        <v xml:space="preserve"> vice-president efficient frontier</v>
      </c>
      <c r="I274" t="s">
        <v>4747</v>
      </c>
    </row>
    <row r="275" spans="1:9">
      <c r="A275">
        <v>185</v>
      </c>
      <c r="B275">
        <v>694</v>
      </c>
      <c r="C275" s="1">
        <v>39376</v>
      </c>
      <c r="D275">
        <v>120</v>
      </c>
      <c r="E275" t="s">
        <v>4367</v>
      </c>
      <c r="F275" t="str">
        <f>VLOOKUP(B275,judges!A:B,2,FALSE)</f>
        <v>paul mario marigonda</v>
      </c>
      <c r="G275" t="str">
        <f>VLOOKUP(A275,donors!A:C,2,FALSE)</f>
        <v xml:space="preserve"> anders torgerson</v>
      </c>
      <c r="H275" t="str">
        <f>VLOOKUP($A275,donors!$A:$C,3,FALSE)</f>
        <v xml:space="preserve"> vice-president efficient frontier</v>
      </c>
      <c r="I275" t="s">
        <v>4747</v>
      </c>
    </row>
    <row r="276" spans="1:9">
      <c r="A276">
        <v>186</v>
      </c>
      <c r="B276">
        <v>695</v>
      </c>
      <c r="C276" s="1">
        <v>39332</v>
      </c>
      <c r="D276">
        <v>525</v>
      </c>
      <c r="E276" t="s">
        <v>4368</v>
      </c>
      <c r="F276" t="str">
        <f>VLOOKUP(B276,judges!A:B,2,FALSE)</f>
        <v>sandra lynn margulies</v>
      </c>
      <c r="G276" t="str">
        <f>VLOOKUP(A276,donors!A:C,2,FALSE)</f>
        <v xml:space="preserve"> see attached</v>
      </c>
      <c r="H276" t="str">
        <f>VLOOKUP($A276,donors!$A:$C,3,FALSE)</f>
        <v xml:space="preserve"> --blank--</v>
      </c>
      <c r="I276" t="s">
        <v>4748</v>
      </c>
    </row>
    <row r="277" spans="1:9">
      <c r="A277">
        <v>69</v>
      </c>
      <c r="B277">
        <v>696</v>
      </c>
      <c r="C277" s="1">
        <v>39101</v>
      </c>
      <c r="D277">
        <v>50</v>
      </c>
      <c r="E277" t="s">
        <v>4369</v>
      </c>
      <c r="F277" t="str">
        <f>VLOOKUP(B277,judges!A:B,2,FALSE)</f>
        <v>charles bf margnes</v>
      </c>
      <c r="G277" t="str">
        <f>VLOOKUP(A277,donors!A:C,2,FALSE)</f>
        <v xml:space="preserve"> orange county bar association</v>
      </c>
      <c r="H277" t="str">
        <f>VLOOKUP($A277,donors!$A:$C,3,FALSE)</f>
        <v xml:space="preserve"> bar association</v>
      </c>
      <c r="I277" t="s">
        <v>4749</v>
      </c>
    </row>
    <row r="278" spans="1:9">
      <c r="A278">
        <v>187</v>
      </c>
      <c r="B278">
        <v>702</v>
      </c>
      <c r="C278" s="1">
        <v>39752</v>
      </c>
      <c r="D278">
        <v>178</v>
      </c>
      <c r="E278" t="s">
        <v>4370</v>
      </c>
      <c r="F278" t="str">
        <f>VLOOKUP(B278,judges!A:B,2,FALSE)</f>
        <v>peter  manoukian socrater pe</v>
      </c>
      <c r="G278" t="str">
        <f>VLOOKUP(A278,donors!A:C,2,FALSE)</f>
        <v xml:space="preserve"> delvin williams</v>
      </c>
      <c r="H278" t="str">
        <f>VLOOKUP($A278,donors!$A:$C,3,FALSE)</f>
        <v xml:space="preserve"> footballs tickets</v>
      </c>
      <c r="I278" t="s">
        <v>4750</v>
      </c>
    </row>
    <row r="279" spans="1:9">
      <c r="A279">
        <v>188</v>
      </c>
      <c r="B279">
        <v>704</v>
      </c>
      <c r="C279" s="1">
        <v>39126</v>
      </c>
      <c r="D279">
        <v>280</v>
      </c>
      <c r="E279" t="s">
        <v>4371</v>
      </c>
      <c r="F279" t="str">
        <f>VLOOKUP(B279,judges!A:B,2,FALSE)</f>
        <v>nora m. manella</v>
      </c>
      <c r="G279" t="str">
        <f>VLOOKUP(A279,donors!A:C,2,FALSE)</f>
        <v xml:space="preserve"> brian hennigan</v>
      </c>
      <c r="H279" t="str">
        <f>VLOOKUP($A279,donors!$A:$C,3,FALSE)</f>
        <v xml:space="preserve"> --blank--</v>
      </c>
      <c r="I279" t="s">
        <v>4751</v>
      </c>
    </row>
    <row r="280" spans="1:9">
      <c r="A280">
        <v>189</v>
      </c>
      <c r="B280">
        <v>707</v>
      </c>
      <c r="C280" s="1">
        <v>39110</v>
      </c>
      <c r="D280">
        <v>350</v>
      </c>
      <c r="E280" t="s">
        <v>4372</v>
      </c>
      <c r="F280" t="str">
        <f>VLOOKUP(B280,judges!A:B,2,FALSE)</f>
        <v>steven curtis malone</v>
      </c>
      <c r="G280" t="str">
        <f>VLOOKUP(A280,donors!A:C,2,FALSE)</f>
        <v xml:space="preserve"> the rutter group</v>
      </c>
      <c r="H280" t="str">
        <f>VLOOKUP($A280,donors!$A:$C,3,FALSE)</f>
        <v xml:space="preserve"> educational seminar</v>
      </c>
      <c r="I280" t="s">
        <v>4752</v>
      </c>
    </row>
    <row r="281" spans="1:9">
      <c r="A281">
        <v>13</v>
      </c>
      <c r="B281">
        <v>710</v>
      </c>
      <c r="C281" s="1">
        <v>39241</v>
      </c>
      <c r="D281">
        <v>65</v>
      </c>
      <c r="E281" t="s">
        <v>4373</v>
      </c>
      <c r="F281" t="str">
        <f>VLOOKUP(B281,judges!A:B,2,FALSE)</f>
        <v>barbara j. mallach</v>
      </c>
      <c r="G281" t="str">
        <f>VLOOKUP(A281,donors!A:C,2,FALSE)</f>
        <v xml:space="preserve"> san mateo county bar association</v>
      </c>
      <c r="H281" t="str">
        <f>VLOOKUP($A281,donors!$A:$C,3,FALSE)</f>
        <v xml:space="preserve"> attorney professional association</v>
      </c>
      <c r="I281" t="s">
        <v>4753</v>
      </c>
    </row>
    <row r="282" spans="1:9">
      <c r="A282">
        <v>190</v>
      </c>
      <c r="B282">
        <v>710</v>
      </c>
      <c r="C282" s="1">
        <v>39425</v>
      </c>
      <c r="D282">
        <v>50</v>
      </c>
      <c r="E282" t="s">
        <v>4374</v>
      </c>
      <c r="F282" t="str">
        <f>VLOOKUP(B282,judges!A:B,2,FALSE)</f>
        <v>barbara j. mallach</v>
      </c>
      <c r="G282" t="str">
        <f>VLOOKUP(A282,donors!A:C,2,FALSE)</f>
        <v xml:space="preserve"> majeed samara</v>
      </c>
      <c r="H282" t="str">
        <f>VLOOKUP($A282,donors!$A:$C,3,FALSE)</f>
        <v xml:space="preserve"> attorney</v>
      </c>
      <c r="I282" t="s">
        <v>4753</v>
      </c>
    </row>
    <row r="283" spans="1:9">
      <c r="A283">
        <v>191</v>
      </c>
      <c r="B283">
        <v>710</v>
      </c>
      <c r="C283" s="1">
        <v>39431</v>
      </c>
      <c r="D283">
        <v>60</v>
      </c>
      <c r="E283" t="s">
        <v>4374</v>
      </c>
      <c r="F283" t="str">
        <f>VLOOKUP(B283,judges!A:B,2,FALSE)</f>
        <v>barbara j. mallach</v>
      </c>
      <c r="G283" t="str">
        <f>VLOOKUP(A283,donors!A:C,2,FALSE)</f>
        <v xml:space="preserve"> josh bentley eric hove j. mcdougall</v>
      </c>
      <c r="H283" t="str">
        <f>VLOOKUP($A283,donors!$A:$C,3,FALSE)</f>
        <v xml:space="preserve"> attorneys</v>
      </c>
      <c r="I283" t="s">
        <v>4753</v>
      </c>
    </row>
    <row r="284" spans="1:9">
      <c r="A284">
        <v>192</v>
      </c>
      <c r="B284">
        <v>714</v>
      </c>
      <c r="C284" s="1">
        <v>39099</v>
      </c>
      <c r="D284">
        <v>100</v>
      </c>
      <c r="E284" t="s">
        <v>4202</v>
      </c>
      <c r="F284" t="str">
        <f>VLOOKUP(B284,judges!A:B,2,FALSE)</f>
        <v>clare marie maier</v>
      </c>
      <c r="G284" t="str">
        <f>VLOOKUP(A284,donors!A:C,2,FALSE)</f>
        <v xml:space="preserve"> alameda/contra costa trial lawyers association</v>
      </c>
      <c r="H284" t="str">
        <f>VLOOKUP($A284,donors!$A:$C,3,FALSE)</f>
        <v xml:space="preserve"> bar association</v>
      </c>
      <c r="I284" t="s">
        <v>4754</v>
      </c>
    </row>
    <row r="285" spans="1:9">
      <c r="A285">
        <v>193</v>
      </c>
      <c r="B285">
        <v>715</v>
      </c>
      <c r="C285" s="1">
        <v>39325</v>
      </c>
      <c r="D285">
        <v>1500</v>
      </c>
      <c r="E285" t="s">
        <v>4375</v>
      </c>
      <c r="F285" t="str">
        <f>VLOOKUP(B285,judges!A:B,2,FALSE)</f>
        <v>patrick john mahoney</v>
      </c>
      <c r="G285" t="str">
        <f>VLOOKUP(A285,donors!A:C,2,FALSE)</f>
        <v xml:space="preserve"> matthew davis</v>
      </c>
      <c r="H285" t="str">
        <f>VLOOKUP($A285,donors!$A:$C,3,FALSE)</f>
        <v xml:space="preserve"> attorney</v>
      </c>
      <c r="I285" t="s">
        <v>4755</v>
      </c>
    </row>
    <row r="286" spans="1:9">
      <c r="A286">
        <v>12</v>
      </c>
      <c r="B286">
        <v>720</v>
      </c>
      <c r="C286" s="1">
        <v>39339</v>
      </c>
      <c r="D286">
        <v>5</v>
      </c>
      <c r="E286" t="s">
        <v>4280</v>
      </c>
      <c r="F286" t="str">
        <f>VLOOKUP(B286,judges!A:B,2,FALSE)</f>
        <v>thomas michael maddock</v>
      </c>
      <c r="G286" t="str">
        <f>VLOOKUP(A286,donors!A:C,2,FALSE)</f>
        <v xml:space="preserve"> california judges association</v>
      </c>
      <c r="H286" t="str">
        <f>VLOOKUP($A286,donors!$A:$C,3,FALSE)</f>
        <v xml:space="preserve"> professional association (board member</v>
      </c>
      <c r="I286" t="s">
        <v>4756</v>
      </c>
    </row>
    <row r="287" spans="1:9">
      <c r="A287">
        <v>12</v>
      </c>
      <c r="B287">
        <v>720</v>
      </c>
      <c r="C287" s="1">
        <v>39342</v>
      </c>
      <c r="D287">
        <v>40</v>
      </c>
      <c r="E287" t="s">
        <v>4217</v>
      </c>
      <c r="F287" t="str">
        <f>VLOOKUP(B287,judges!A:B,2,FALSE)</f>
        <v>thomas michael maddock</v>
      </c>
      <c r="G287" t="str">
        <f>VLOOKUP(A287,donors!A:C,2,FALSE)</f>
        <v xml:space="preserve"> california judges association</v>
      </c>
      <c r="H287" t="str">
        <f>VLOOKUP($A287,donors!$A:$C,3,FALSE)</f>
        <v xml:space="preserve"> professional association (board member</v>
      </c>
      <c r="I287" t="s">
        <v>4756</v>
      </c>
    </row>
    <row r="288" spans="1:9">
      <c r="A288">
        <v>12</v>
      </c>
      <c r="B288">
        <v>720</v>
      </c>
      <c r="C288" s="1">
        <v>39389</v>
      </c>
      <c r="D288">
        <v>32</v>
      </c>
      <c r="E288" t="s">
        <v>4376</v>
      </c>
      <c r="F288" t="str">
        <f>VLOOKUP(B288,judges!A:B,2,FALSE)</f>
        <v>thomas michael maddock</v>
      </c>
      <c r="G288" t="str">
        <f>VLOOKUP(A288,donors!A:C,2,FALSE)</f>
        <v xml:space="preserve"> california judges association</v>
      </c>
      <c r="H288" t="str">
        <f>VLOOKUP($A288,donors!$A:$C,3,FALSE)</f>
        <v xml:space="preserve"> professional association (board member</v>
      </c>
      <c r="I288" t="s">
        <v>4756</v>
      </c>
    </row>
    <row r="289" spans="1:9">
      <c r="A289">
        <v>194</v>
      </c>
      <c r="B289">
        <v>733</v>
      </c>
      <c r="C289" s="1">
        <v>39213</v>
      </c>
      <c r="D289">
        <v>227</v>
      </c>
      <c r="E289" t="s">
        <v>4377</v>
      </c>
      <c r="F289" t="str">
        <f>VLOOKUP(B289,judges!A:B,2,FALSE)</f>
        <v>cynthia ann ludvigsen</v>
      </c>
      <c r="G289" t="str">
        <f>VLOOKUP(A289,donors!A:C,2,FALSE)</f>
        <v xml:space="preserve"> thomson-reuters/west</v>
      </c>
      <c r="H289" t="str">
        <f>VLOOKUP($A289,donors!$A:$C,3,FALSE)</f>
        <v xml:space="preserve"> legal publisher</v>
      </c>
      <c r="I289" t="s">
        <v>4757</v>
      </c>
    </row>
    <row r="290" spans="1:9">
      <c r="A290">
        <v>195</v>
      </c>
      <c r="B290">
        <v>733</v>
      </c>
      <c r="C290" s="1">
        <v>39299</v>
      </c>
      <c r="D290">
        <v>130</v>
      </c>
      <c r="E290" t="s">
        <v>4378</v>
      </c>
      <c r="F290" t="str">
        <f>VLOOKUP(B290,judges!A:B,2,FALSE)</f>
        <v>cynthia ann ludvigsen</v>
      </c>
      <c r="G290" t="str">
        <f>VLOOKUP(A290,donors!A:C,2,FALSE)</f>
        <v xml:space="preserve"> ashley &amp; jeffrey landsberg</v>
      </c>
      <c r="H290" t="str">
        <f>VLOOKUP($A290,donors!$A:$C,3,FALSE)</f>
        <v xml:space="preserve"> n/a</v>
      </c>
      <c r="I290" t="s">
        <v>4757</v>
      </c>
    </row>
    <row r="291" spans="1:9">
      <c r="A291">
        <v>196</v>
      </c>
      <c r="B291">
        <v>736</v>
      </c>
      <c r="C291" s="1">
        <v>39403</v>
      </c>
      <c r="D291">
        <v>250</v>
      </c>
      <c r="E291" t="s">
        <v>4379</v>
      </c>
      <c r="F291" t="str">
        <f>VLOOKUP(B291,judges!A:B,2,FALSE)</f>
        <v>kristen a. lucena</v>
      </c>
      <c r="G291" t="str">
        <f>VLOOKUP(A291,donors!A:C,2,FALSE)</f>
        <v xml:space="preserve"> tate syder kimsey</v>
      </c>
      <c r="H291" t="str">
        <f>VLOOKUP($A291,donors!$A:$C,3,FALSE)</f>
        <v xml:space="preserve"> henderson nv 89014 architect</v>
      </c>
      <c r="I291" t="s">
        <v>4758</v>
      </c>
    </row>
    <row r="292" spans="1:9">
      <c r="A292">
        <v>197</v>
      </c>
      <c r="B292">
        <v>753</v>
      </c>
      <c r="C292" s="1">
        <v>39432</v>
      </c>
      <c r="D292">
        <v>80</v>
      </c>
      <c r="E292" t="s">
        <v>4380</v>
      </c>
      <c r="F292" t="str">
        <f>VLOOKUP(B292,judges!A:B,2,FALSE)</f>
        <v>goodwin h. liu</v>
      </c>
      <c r="G292" t="str">
        <f>VLOOKUP(A292,donors!A:C,2,FALSE)</f>
        <v xml:space="preserve"> ceci evangelista-stanford university</v>
      </c>
      <c r="H292" t="str">
        <f>VLOOKUP($A292,donors!$A:$C,3,FALSE)</f>
        <v xml:space="preserve"> --blank--</v>
      </c>
      <c r="I292" t="s">
        <v>4759</v>
      </c>
    </row>
    <row r="293" spans="1:9">
      <c r="A293">
        <v>198</v>
      </c>
      <c r="B293">
        <v>763</v>
      </c>
      <c r="C293" s="1">
        <v>39106</v>
      </c>
      <c r="D293">
        <v>150</v>
      </c>
      <c r="E293" t="s">
        <v>4270</v>
      </c>
      <c r="F293" t="str">
        <f>VLOOKUP(B293,judges!A:B,2,FALSE)</f>
        <v>michael bruce lewis</v>
      </c>
      <c r="G293" t="str">
        <f>VLOOKUP(A293,donors!A:C,2,FALSE)</f>
        <v xml:space="preserve"> kern county bar association</v>
      </c>
      <c r="H293" t="str">
        <f>VLOOKUP($A293,donors!$A:$C,3,FALSE)</f>
        <v xml:space="preserve"> bar association</v>
      </c>
      <c r="I293" t="s">
        <v>4760</v>
      </c>
    </row>
    <row r="294" spans="1:9">
      <c r="A294">
        <v>199</v>
      </c>
      <c r="B294">
        <v>763</v>
      </c>
      <c r="C294" s="1">
        <v>39229</v>
      </c>
      <c r="D294">
        <v>100</v>
      </c>
      <c r="E294" t="s">
        <v>4381</v>
      </c>
      <c r="F294" t="str">
        <f>VLOOKUP(B294,judges!A:B,2,FALSE)</f>
        <v>michael bruce lewis</v>
      </c>
      <c r="G294" t="str">
        <f>VLOOKUP(A294,donors!A:C,2,FALSE)</f>
        <v xml:space="preserve"> mr. daniel saso</v>
      </c>
      <c r="H294" t="str">
        <f>VLOOKUP($A294,donors!$A:$C,3,FALSE)</f>
        <v xml:space="preserve"> --blank--</v>
      </c>
      <c r="I294" t="s">
        <v>4760</v>
      </c>
    </row>
    <row r="295" spans="1:9">
      <c r="A295">
        <v>200</v>
      </c>
      <c r="B295">
        <v>764</v>
      </c>
      <c r="C295" s="1">
        <v>39424</v>
      </c>
      <c r="D295">
        <v>125</v>
      </c>
      <c r="E295" t="s">
        <v>4382</v>
      </c>
      <c r="F295" t="str">
        <f>VLOOKUP(B295,judges!A:B,2,FALSE)</f>
        <v>margo lynn lewis</v>
      </c>
      <c r="G295" t="str">
        <f>VLOOKUP(A295,donors!A:C,2,FALSE)</f>
        <v xml:space="preserve"> stephen j wagner</v>
      </c>
      <c r="H295" t="str">
        <f>VLOOKUP($A295,donors!$A:$C,3,FALSE)</f>
        <v xml:space="preserve"> legal practice</v>
      </c>
      <c r="I295" t="s">
        <v>4761</v>
      </c>
    </row>
    <row r="296" spans="1:9">
      <c r="A296">
        <v>201</v>
      </c>
      <c r="B296">
        <v>781</v>
      </c>
      <c r="C296" s="1">
        <v>39384</v>
      </c>
      <c r="D296">
        <v>200</v>
      </c>
      <c r="E296" t="s">
        <v>4383</v>
      </c>
      <c r="F296" t="str">
        <f>VLOOKUP(B296,judges!A:B,2,FALSE)</f>
        <v>jo-lynne quong lee</v>
      </c>
      <c r="G296" t="str">
        <f>VLOOKUP(A296,donors!A:C,2,FALSE)</f>
        <v xml:space="preserve"> george masoole law &amp; economic's ctr</v>
      </c>
      <c r="H296" t="str">
        <f>VLOOKUP($A296,donors!$A:$C,3,FALSE)</f>
        <v xml:space="preserve"> arlington va 22201</v>
      </c>
      <c r="I296" t="s">
        <v>4762</v>
      </c>
    </row>
    <row r="297" spans="1:9">
      <c r="A297">
        <v>201</v>
      </c>
      <c r="B297">
        <v>781</v>
      </c>
      <c r="C297" s="1">
        <v>39385</v>
      </c>
      <c r="D297">
        <v>240</v>
      </c>
      <c r="E297" t="s">
        <v>4384</v>
      </c>
      <c r="F297" t="str">
        <f>VLOOKUP(B297,judges!A:B,2,FALSE)</f>
        <v>jo-lynne quong lee</v>
      </c>
      <c r="G297" t="str">
        <f>VLOOKUP(A297,donors!A:C,2,FALSE)</f>
        <v xml:space="preserve"> george masoole law &amp; economic's ctr</v>
      </c>
      <c r="H297" t="str">
        <f>VLOOKUP($A297,donors!$A:$C,3,FALSE)</f>
        <v xml:space="preserve"> arlington va 22201</v>
      </c>
      <c r="I297" t="s">
        <v>4762</v>
      </c>
    </row>
    <row r="298" spans="1:9">
      <c r="A298">
        <v>202</v>
      </c>
      <c r="B298">
        <v>782</v>
      </c>
      <c r="C298" s="1">
        <v>39341</v>
      </c>
      <c r="D298">
        <v>170</v>
      </c>
      <c r="E298" t="s">
        <v>4385</v>
      </c>
      <c r="F298" t="str">
        <f>VLOOKUP(B298,judges!A:B,2,FALSE)</f>
        <v>elizabeth k lee</v>
      </c>
      <c r="G298" t="str">
        <f>VLOOKUP(A298,donors!A:C,2,FALSE)</f>
        <v xml:space="preserve"> organization of chinese americans/san mateo</v>
      </c>
      <c r="H298" t="str">
        <f>VLOOKUP($A298,donors!$A:$C,3,FALSE)</f>
        <v xml:space="preserve"> non-profit organization</v>
      </c>
      <c r="I298" t="s">
        <v>4763</v>
      </c>
    </row>
    <row r="299" spans="1:9">
      <c r="A299">
        <v>203</v>
      </c>
      <c r="B299">
        <v>782</v>
      </c>
      <c r="C299" s="1">
        <v>39243</v>
      </c>
      <c r="D299">
        <v>40</v>
      </c>
      <c r="E299" t="s">
        <v>4386</v>
      </c>
      <c r="F299" t="str">
        <f>VLOOKUP(B299,judges!A:B,2,FALSE)</f>
        <v>elizabeth k lee</v>
      </c>
      <c r="G299" t="str">
        <f>VLOOKUP(A299,donors!A:C,2,FALSE)</f>
        <v xml:space="preserve"> san mateo county fair</v>
      </c>
      <c r="H299" t="str">
        <f>VLOOKUP($A299,donors!$A:$C,3,FALSE)</f>
        <v xml:space="preserve"> recreation/entertainment</v>
      </c>
      <c r="I299" t="s">
        <v>4763</v>
      </c>
    </row>
    <row r="300" spans="1:9">
      <c r="A300">
        <v>204</v>
      </c>
      <c r="B300">
        <v>782</v>
      </c>
      <c r="C300" s="1">
        <v>39211</v>
      </c>
      <c r="D300">
        <v>50</v>
      </c>
      <c r="E300" t="s">
        <v>4387</v>
      </c>
      <c r="F300" t="str">
        <f>VLOOKUP(B300,judges!A:B,2,FALSE)</f>
        <v>elizabeth k lee</v>
      </c>
      <c r="G300" t="str">
        <f>VLOOKUP(A300,donors!A:C,2,FALSE)</f>
        <v xml:space="preserve"> san mateo county bar assocaition/women's section</v>
      </c>
      <c r="H300" t="str">
        <f>VLOOKUP($A300,donors!$A:$C,3,FALSE)</f>
        <v xml:space="preserve"> legal association of lawyers</v>
      </c>
      <c r="I300" t="s">
        <v>4764</v>
      </c>
    </row>
    <row r="301" spans="1:9">
      <c r="A301">
        <v>204</v>
      </c>
      <c r="B301">
        <v>782</v>
      </c>
      <c r="C301" s="1">
        <v>39421</v>
      </c>
      <c r="D301">
        <v>50</v>
      </c>
      <c r="E301" t="s">
        <v>4388</v>
      </c>
      <c r="F301" t="str">
        <f>VLOOKUP(B301,judges!A:B,2,FALSE)</f>
        <v>elizabeth k lee</v>
      </c>
      <c r="G301" t="str">
        <f>VLOOKUP(A301,donors!A:C,2,FALSE)</f>
        <v xml:space="preserve"> san mateo county bar assocaition/women's section</v>
      </c>
      <c r="H301" t="str">
        <f>VLOOKUP($A301,donors!$A:$C,3,FALSE)</f>
        <v xml:space="preserve"> legal association of lawyers</v>
      </c>
      <c r="I301" t="s">
        <v>4764</v>
      </c>
    </row>
    <row r="302" spans="1:9">
      <c r="A302">
        <v>205</v>
      </c>
      <c r="B302">
        <v>782</v>
      </c>
      <c r="C302" s="1">
        <v>39344</v>
      </c>
      <c r="D302">
        <v>25</v>
      </c>
      <c r="E302" t="s">
        <v>4389</v>
      </c>
      <c r="F302" t="str">
        <f>VLOOKUP(B302,judges!A:B,2,FALSE)</f>
        <v>elizabeth k lee</v>
      </c>
      <c r="G302" t="str">
        <f>VLOOKUP(A302,donors!A:C,2,FALSE)</f>
        <v xml:space="preserve"> san mateo county bar association/diversity comm</v>
      </c>
      <c r="H302" t="str">
        <f>VLOOKUP($A302,donors!$A:$C,3,FALSE)</f>
        <v xml:space="preserve"> legal association of lawyers</v>
      </c>
      <c r="I302" t="s">
        <v>4764</v>
      </c>
    </row>
    <row r="303" spans="1:9">
      <c r="A303">
        <v>205</v>
      </c>
      <c r="B303">
        <v>782</v>
      </c>
      <c r="C303" s="1">
        <v>39421</v>
      </c>
      <c r="D303">
        <v>25</v>
      </c>
      <c r="E303" t="s">
        <v>4390</v>
      </c>
      <c r="F303" t="str">
        <f>VLOOKUP(B303,judges!A:B,2,FALSE)</f>
        <v>elizabeth k lee</v>
      </c>
      <c r="G303" t="str">
        <f>VLOOKUP(A303,donors!A:C,2,FALSE)</f>
        <v xml:space="preserve"> san mateo county bar association/diversity comm</v>
      </c>
      <c r="H303" t="str">
        <f>VLOOKUP($A303,donors!$A:$C,3,FALSE)</f>
        <v xml:space="preserve"> legal association of lawyers</v>
      </c>
      <c r="I303" t="s">
        <v>4764</v>
      </c>
    </row>
    <row r="304" spans="1:9">
      <c r="A304">
        <v>206</v>
      </c>
      <c r="B304">
        <v>782</v>
      </c>
      <c r="C304" s="1">
        <v>39351</v>
      </c>
      <c r="D304">
        <v>50</v>
      </c>
      <c r="E304" t="s">
        <v>4391</v>
      </c>
      <c r="F304" t="str">
        <f>VLOOKUP(B304,judges!A:B,2,FALSE)</f>
        <v>elizabeth k lee</v>
      </c>
      <c r="G304" t="str">
        <f>VLOOKUP(A304,donors!A:C,2,FALSE)</f>
        <v xml:space="preserve"> san mateo county bar association/barristers section</v>
      </c>
      <c r="H304" t="str">
        <f>VLOOKUP($A304,donors!$A:$C,3,FALSE)</f>
        <v xml:space="preserve"> legal association of lawyers</v>
      </c>
      <c r="I304" t="s">
        <v>4764</v>
      </c>
    </row>
    <row r="305" spans="1:9">
      <c r="A305">
        <v>207</v>
      </c>
      <c r="B305">
        <v>782</v>
      </c>
      <c r="C305" s="1">
        <v>39276</v>
      </c>
      <c r="D305">
        <v>50</v>
      </c>
      <c r="E305" t="s">
        <v>4387</v>
      </c>
      <c r="F305" t="str">
        <f>VLOOKUP(B305,judges!A:B,2,FALSE)</f>
        <v>elizabeth k lee</v>
      </c>
      <c r="G305" t="str">
        <f>VLOOKUP(A305,donors!A:C,2,FALSE)</f>
        <v xml:space="preserve"> legal aid society of san mateo county</v>
      </c>
      <c r="H305" t="str">
        <f>VLOOKUP($A305,donors!$A:$C,3,FALSE)</f>
        <v xml:space="preserve"> provider of legal services</v>
      </c>
      <c r="I305" t="s">
        <v>4764</v>
      </c>
    </row>
    <row r="306" spans="1:9">
      <c r="A306">
        <v>208</v>
      </c>
      <c r="B306">
        <v>782</v>
      </c>
      <c r="C306" s="1">
        <v>39289</v>
      </c>
      <c r="D306">
        <v>75</v>
      </c>
      <c r="E306" t="s">
        <v>4192</v>
      </c>
      <c r="F306" t="str">
        <f>VLOOKUP(B306,judges!A:B,2,FALSE)</f>
        <v>elizabeth k lee</v>
      </c>
      <c r="G306" t="str">
        <f>VLOOKUP(A306,donors!A:C,2,FALSE)</f>
        <v xml:space="preserve"> queens bench</v>
      </c>
      <c r="H306" t="str">
        <f>VLOOKUP($A306,donors!$A:$C,3,FALSE)</f>
        <v xml:space="preserve"> legal association of lawyers and judges</v>
      </c>
      <c r="I306" t="s">
        <v>4764</v>
      </c>
    </row>
    <row r="307" spans="1:9">
      <c r="A307">
        <v>209</v>
      </c>
      <c r="B307">
        <v>782</v>
      </c>
      <c r="C307" s="1">
        <v>39186</v>
      </c>
      <c r="D307">
        <v>50</v>
      </c>
      <c r="E307" t="s">
        <v>4392</v>
      </c>
      <c r="F307" t="str">
        <f>VLOOKUP(B307,judges!A:B,2,FALSE)</f>
        <v>elizabeth k lee</v>
      </c>
      <c r="G307" t="str">
        <f>VLOOKUP(A307,donors!A:C,2,FALSE)</f>
        <v xml:space="preserve"> angel island immigration station foundation</v>
      </c>
      <c r="H307" t="str">
        <f>VLOOKUP($A307,donors!$A:$C,3,FALSE)</f>
        <v xml:space="preserve"> restoration of angel island immigration station</v>
      </c>
      <c r="I307" t="s">
        <v>4764</v>
      </c>
    </row>
    <row r="308" spans="1:9">
      <c r="A308">
        <v>25</v>
      </c>
      <c r="B308">
        <v>805</v>
      </c>
      <c r="C308" s="1">
        <v>39172</v>
      </c>
      <c r="D308">
        <v>75</v>
      </c>
      <c r="E308" t="s">
        <v>4207</v>
      </c>
      <c r="F308" t="str">
        <f>VLOOKUP(B308,judges!A:B,2,FALSE)</f>
        <v>james t. laporte</v>
      </c>
      <c r="G308" t="str">
        <f>VLOOKUP(A308,donors!A:C,2,FALSE)</f>
        <v xml:space="preserve"> kings county bar association</v>
      </c>
      <c r="H308" t="str">
        <f>VLOOKUP($A308,donors!$A:$C,3,FALSE)</f>
        <v xml:space="preserve"> county bar association</v>
      </c>
      <c r="I308" t="s">
        <v>4765</v>
      </c>
    </row>
    <row r="309" spans="1:9">
      <c r="A309">
        <v>25</v>
      </c>
      <c r="B309">
        <v>805</v>
      </c>
      <c r="C309" s="1">
        <v>39352</v>
      </c>
      <c r="D309">
        <v>20</v>
      </c>
      <c r="E309" t="s">
        <v>4276</v>
      </c>
      <c r="F309" t="str">
        <f>VLOOKUP(B309,judges!A:B,2,FALSE)</f>
        <v>james t. laporte</v>
      </c>
      <c r="G309" t="str">
        <f>VLOOKUP(A309,donors!A:C,2,FALSE)</f>
        <v xml:space="preserve"> kings county bar association</v>
      </c>
      <c r="H309" t="str">
        <f>VLOOKUP($A309,donors!$A:$C,3,FALSE)</f>
        <v xml:space="preserve"> county bar association</v>
      </c>
      <c r="I309" t="s">
        <v>4765</v>
      </c>
    </row>
    <row r="310" spans="1:9">
      <c r="A310">
        <v>210</v>
      </c>
      <c r="B310">
        <v>805</v>
      </c>
      <c r="C310" s="1">
        <v>39156</v>
      </c>
      <c r="D310">
        <v>75</v>
      </c>
      <c r="E310" t="s">
        <v>4218</v>
      </c>
      <c r="F310" t="str">
        <f>VLOOKUP(B310,judges!A:B,2,FALSE)</f>
        <v>james t. laporte</v>
      </c>
      <c r="G310" t="str">
        <f>VLOOKUP(A310,donors!A:C,2,FALSE)</f>
        <v xml:space="preserve"> **abtl (c/o weakley &amp; arendt llp)</v>
      </c>
      <c r="H310" t="str">
        <f>VLOOKUP($A310,donors!$A:$C,3,FALSE)</f>
        <v xml:space="preserve"> bar association</v>
      </c>
      <c r="I310" t="s">
        <v>4765</v>
      </c>
    </row>
    <row r="311" spans="1:9">
      <c r="A311">
        <v>210</v>
      </c>
      <c r="B311">
        <v>805</v>
      </c>
      <c r="C311" s="1">
        <v>39395</v>
      </c>
      <c r="D311">
        <v>75</v>
      </c>
      <c r="E311" t="s">
        <v>4393</v>
      </c>
      <c r="F311" t="str">
        <f>VLOOKUP(B311,judges!A:B,2,FALSE)</f>
        <v>james t. laporte</v>
      </c>
      <c r="G311" t="str">
        <f>VLOOKUP(A311,donors!A:C,2,FALSE)</f>
        <v xml:space="preserve"> **abtl (c/o weakley &amp; arendt llp)</v>
      </c>
      <c r="H311" t="str">
        <f>VLOOKUP($A311,donors!$A:$C,3,FALSE)</f>
        <v xml:space="preserve"> bar association</v>
      </c>
      <c r="I311" t="s">
        <v>4765</v>
      </c>
    </row>
    <row r="312" spans="1:9">
      <c r="A312">
        <v>211</v>
      </c>
      <c r="B312">
        <v>815</v>
      </c>
      <c r="C312" s="1">
        <v>39103</v>
      </c>
      <c r="D312">
        <v>100</v>
      </c>
      <c r="E312" t="s">
        <v>4394</v>
      </c>
      <c r="F312" t="str">
        <f>VLOOKUP(B312,judges!A:B,2,FALSE)</f>
        <v>carolyn barbara kuhl</v>
      </c>
      <c r="G312" t="str">
        <f>VLOOKUP(A312,donors!A:C,2,FALSE)</f>
        <v xml:space="preserve"> consumer attorneys ass'n of los angeles</v>
      </c>
      <c r="H312" t="str">
        <f>VLOOKUP($A312,donors!$A:$C,3,FALSE)</f>
        <v xml:space="preserve"> bar association</v>
      </c>
      <c r="I312" t="s">
        <v>4766</v>
      </c>
    </row>
    <row r="313" spans="1:9">
      <c r="A313">
        <v>212</v>
      </c>
      <c r="B313">
        <v>815</v>
      </c>
      <c r="C313" s="1">
        <v>39416</v>
      </c>
      <c r="D313">
        <v>100</v>
      </c>
      <c r="E313" t="s">
        <v>4395</v>
      </c>
      <c r="F313" t="str">
        <f>VLOOKUP(B313,judges!A:B,2,FALSE)</f>
        <v>carolyn barbara kuhl</v>
      </c>
      <c r="G313" t="str">
        <f>VLOOKUP(A313,donors!A:C,2,FALSE)</f>
        <v xml:space="preserve"> claremont mckenna college (cont.</v>
      </c>
      <c r="H313" t="str">
        <f>VLOOKUP($A313,donors!$A:$C,3,FALSE)</f>
        <v xml:space="preserve"> --blank--</v>
      </c>
      <c r="I313" t="s">
        <v>4766</v>
      </c>
    </row>
    <row r="314" spans="1:9">
      <c r="A314">
        <v>212</v>
      </c>
      <c r="B314">
        <v>815</v>
      </c>
      <c r="C314" s="1">
        <v>39346</v>
      </c>
      <c r="D314">
        <v>80</v>
      </c>
      <c r="E314" t="s">
        <v>4395</v>
      </c>
      <c r="F314" t="str">
        <f>VLOOKUP(B314,judges!A:B,2,FALSE)</f>
        <v>carolyn barbara kuhl</v>
      </c>
      <c r="G314" t="str">
        <f>VLOOKUP(A314,donors!A:C,2,FALSE)</f>
        <v xml:space="preserve"> claremont mckenna college (cont.</v>
      </c>
      <c r="H314" t="str">
        <f>VLOOKUP($A314,donors!$A:$C,3,FALSE)</f>
        <v xml:space="preserve"> --blank--</v>
      </c>
      <c r="I314" t="s">
        <v>4766</v>
      </c>
    </row>
    <row r="315" spans="1:9">
      <c r="A315">
        <v>213</v>
      </c>
      <c r="B315">
        <v>815</v>
      </c>
      <c r="D315">
        <v>200</v>
      </c>
      <c r="E315" t="s">
        <v>4396</v>
      </c>
      <c r="F315" t="str">
        <f>VLOOKUP(B315,judges!A:B,2,FALSE)</f>
        <v>carolyn barbara kuhl</v>
      </c>
      <c r="G315" t="str">
        <f>VLOOKUP(A315,donors!A:C,2,FALSE)</f>
        <v xml:space="preserve"> la county bar ass'n</v>
      </c>
      <c r="H315" t="str">
        <f>VLOOKUP($A315,donors!$A:$C,3,FALSE)</f>
        <v xml:space="preserve"> bar association</v>
      </c>
      <c r="I315" t="s">
        <v>4766</v>
      </c>
    </row>
    <row r="316" spans="1:9">
      <c r="A316">
        <v>213</v>
      </c>
      <c r="B316">
        <v>815</v>
      </c>
      <c r="C316" s="1">
        <v>39107</v>
      </c>
      <c r="D316">
        <v>40</v>
      </c>
      <c r="E316" t="s">
        <v>4397</v>
      </c>
      <c r="F316" t="str">
        <f>VLOOKUP(B316,judges!A:B,2,FALSE)</f>
        <v>carolyn barbara kuhl</v>
      </c>
      <c r="G316" t="str">
        <f>VLOOKUP(A316,donors!A:C,2,FALSE)</f>
        <v xml:space="preserve"> la county bar ass'n</v>
      </c>
      <c r="H316" t="str">
        <f>VLOOKUP($A316,donors!$A:$C,3,FALSE)</f>
        <v xml:space="preserve"> bar association</v>
      </c>
      <c r="I316" t="s">
        <v>4766</v>
      </c>
    </row>
    <row r="317" spans="1:9">
      <c r="A317">
        <v>213</v>
      </c>
      <c r="B317">
        <v>815</v>
      </c>
      <c r="C317" s="1">
        <v>39236</v>
      </c>
      <c r="D317">
        <v>60</v>
      </c>
      <c r="E317" t="s">
        <v>4398</v>
      </c>
      <c r="F317" t="str">
        <f>VLOOKUP(B317,judges!A:B,2,FALSE)</f>
        <v>carolyn barbara kuhl</v>
      </c>
      <c r="G317" t="str">
        <f>VLOOKUP(A317,donors!A:C,2,FALSE)</f>
        <v xml:space="preserve"> la county bar ass'n</v>
      </c>
      <c r="H317" t="str">
        <f>VLOOKUP($A317,donors!$A:$C,3,FALSE)</f>
        <v xml:space="preserve"> bar association</v>
      </c>
      <c r="I317" t="s">
        <v>4766</v>
      </c>
    </row>
    <row r="318" spans="1:9">
      <c r="A318">
        <v>214</v>
      </c>
      <c r="B318">
        <v>815</v>
      </c>
      <c r="C318" s="1">
        <v>39340</v>
      </c>
      <c r="D318">
        <v>115</v>
      </c>
      <c r="E318" t="s">
        <v>4399</v>
      </c>
      <c r="F318" t="str">
        <f>VLOOKUP(B318,judges!A:B,2,FALSE)</f>
        <v>carolyn barbara kuhl</v>
      </c>
      <c r="G318" t="str">
        <f>VLOOKUP(A318,donors!A:C,2,FALSE)</f>
        <v xml:space="preserve"> judge rex heeseman</v>
      </c>
      <c r="H318" t="str">
        <f>VLOOKUP($A318,donors!$A:$C,3,FALSE)</f>
        <v xml:space="preserve"> --blank--</v>
      </c>
      <c r="I318" t="s">
        <v>4766</v>
      </c>
    </row>
    <row r="319" spans="1:9">
      <c r="A319">
        <v>215</v>
      </c>
      <c r="B319">
        <v>815</v>
      </c>
      <c r="C319" s="1">
        <v>39151</v>
      </c>
      <c r="D319">
        <v>120</v>
      </c>
      <c r="E319" t="s">
        <v>4400</v>
      </c>
      <c r="F319" t="str">
        <f>VLOOKUP(B319,judges!A:B,2,FALSE)</f>
        <v>carolyn barbara kuhl</v>
      </c>
      <c r="G319" t="str">
        <f>VLOOKUP(A319,donors!A:C,2,FALSE)</f>
        <v xml:space="preserve"> claremont mckenna college</v>
      </c>
      <c r="H319" t="str">
        <f>VLOOKUP($A319,donors!$A:$C,3,FALSE)</f>
        <v xml:space="preserve"> service on board of directors of college</v>
      </c>
      <c r="I319" t="s">
        <v>4766</v>
      </c>
    </row>
    <row r="320" spans="1:9">
      <c r="A320">
        <v>215</v>
      </c>
      <c r="B320">
        <v>815</v>
      </c>
      <c r="C320" s="1">
        <v>39215</v>
      </c>
      <c r="D320">
        <v>100</v>
      </c>
      <c r="E320" t="s">
        <v>4395</v>
      </c>
      <c r="F320" t="str">
        <f>VLOOKUP(B320,judges!A:B,2,FALSE)</f>
        <v>carolyn barbara kuhl</v>
      </c>
      <c r="G320" t="str">
        <f>VLOOKUP(A320,donors!A:C,2,FALSE)</f>
        <v xml:space="preserve"> claremont mckenna college</v>
      </c>
      <c r="H320" t="str">
        <f>VLOOKUP($A320,donors!$A:$C,3,FALSE)</f>
        <v xml:space="preserve"> service on board of directors of college</v>
      </c>
      <c r="I320" t="s">
        <v>4766</v>
      </c>
    </row>
    <row r="321" spans="1:9">
      <c r="A321">
        <v>215</v>
      </c>
      <c r="B321">
        <v>815</v>
      </c>
      <c r="C321" s="1">
        <v>39345</v>
      </c>
      <c r="D321">
        <v>50</v>
      </c>
      <c r="E321" t="s">
        <v>4401</v>
      </c>
      <c r="F321" t="str">
        <f>VLOOKUP(B321,judges!A:B,2,FALSE)</f>
        <v>carolyn barbara kuhl</v>
      </c>
      <c r="G321" t="str">
        <f>VLOOKUP(A321,donors!A:C,2,FALSE)</f>
        <v xml:space="preserve"> claremont mckenna college</v>
      </c>
      <c r="H321" t="str">
        <f>VLOOKUP($A321,donors!$A:$C,3,FALSE)</f>
        <v xml:space="preserve"> service on board of directors of college</v>
      </c>
      <c r="I321" t="s">
        <v>4766</v>
      </c>
    </row>
    <row r="322" spans="1:9">
      <c r="A322">
        <v>216</v>
      </c>
      <c r="B322">
        <v>823</v>
      </c>
      <c r="C322" s="1">
        <v>39369</v>
      </c>
      <c r="D322">
        <v>100</v>
      </c>
      <c r="E322" t="s">
        <v>4402</v>
      </c>
      <c r="F322" t="str">
        <f>VLOOKUP(B322,judges!A:B,2,FALSE)</f>
        <v>elisabeth b. krant</v>
      </c>
      <c r="G322" t="str">
        <f>VLOOKUP(A322,donors!A:C,2,FALSE)</f>
        <v xml:space="preserve"> koyoto hotel</v>
      </c>
      <c r="H322" t="str">
        <f>VLOOKUP($A322,donors!$A:$C,3,FALSE)</f>
        <v xml:space="preserve"> hotel</v>
      </c>
      <c r="I322" t="s">
        <v>4767</v>
      </c>
    </row>
    <row r="323" spans="1:9">
      <c r="A323">
        <v>216</v>
      </c>
      <c r="B323">
        <v>823</v>
      </c>
      <c r="C323" s="1">
        <v>39387</v>
      </c>
      <c r="D323">
        <v>100</v>
      </c>
      <c r="E323" t="s">
        <v>4402</v>
      </c>
      <c r="F323" t="str">
        <f>VLOOKUP(B323,judges!A:B,2,FALSE)</f>
        <v>elisabeth b. krant</v>
      </c>
      <c r="G323" t="str">
        <f>VLOOKUP(A323,donors!A:C,2,FALSE)</f>
        <v xml:space="preserve"> koyoto hotel</v>
      </c>
      <c r="H323" t="str">
        <f>VLOOKUP($A323,donors!$A:$C,3,FALSE)</f>
        <v xml:space="preserve"> hotel</v>
      </c>
      <c r="I323" t="s">
        <v>4767</v>
      </c>
    </row>
    <row r="324" spans="1:9">
      <c r="A324">
        <v>217</v>
      </c>
      <c r="B324">
        <v>823</v>
      </c>
      <c r="C324" s="1">
        <v>39138</v>
      </c>
      <c r="D324">
        <v>200</v>
      </c>
      <c r="E324" t="s">
        <v>4403</v>
      </c>
      <c r="F324" t="str">
        <f>VLOOKUP(B324,judges!A:B,2,FALSE)</f>
        <v>elisabeth b. krant</v>
      </c>
      <c r="G324" t="str">
        <f>VLOOKUP(A324,donors!A:C,2,FALSE)</f>
        <v xml:space="preserve"> soroptomist club/among friends</v>
      </c>
      <c r="H324" t="str">
        <f>VLOOKUP($A324,donors!$A:$C,3,FALSE)</f>
        <v xml:space="preserve"> charitable organization/scrapbook business</v>
      </c>
      <c r="I324" t="s">
        <v>4767</v>
      </c>
    </row>
    <row r="325" spans="1:9">
      <c r="A325">
        <v>218</v>
      </c>
      <c r="B325">
        <v>832</v>
      </c>
      <c r="C325" s="1">
        <v>39206</v>
      </c>
      <c r="D325">
        <v>50</v>
      </c>
      <c r="E325" t="s">
        <v>4404</v>
      </c>
      <c r="F325" t="str">
        <f>VLOOKUP(B325,judges!A:B,2,FALSE)</f>
        <v>james paul kleinberg</v>
      </c>
      <c r="G325" t="str">
        <f>VLOOKUP(A325,donors!A:C,2,FALSE)</f>
        <v xml:space="preserve"> santa clara county trial lawyers' association</v>
      </c>
      <c r="H325" t="str">
        <f>VLOOKUP($A325,donors!$A:$C,3,FALSE)</f>
        <v xml:space="preserve"> non-profit professional association</v>
      </c>
      <c r="I325" t="s">
        <v>4768</v>
      </c>
    </row>
    <row r="326" spans="1:9">
      <c r="A326">
        <v>8</v>
      </c>
      <c r="B326">
        <v>832</v>
      </c>
      <c r="C326" s="1">
        <v>39155</v>
      </c>
      <c r="D326">
        <v>85</v>
      </c>
      <c r="E326" t="s">
        <v>4404</v>
      </c>
      <c r="F326" t="str">
        <f>VLOOKUP(B326,judges!A:B,2,FALSE)</f>
        <v>james paul kleinberg</v>
      </c>
      <c r="G326" t="str">
        <f>VLOOKUP(A326,donors!A:C,2,FALSE)</f>
        <v xml:space="preserve"> association of business trial lawyers</v>
      </c>
      <c r="H326" t="str">
        <f>VLOOKUP($A326,donors!$A:$C,3,FALSE)</f>
        <v xml:space="preserve"> bar association</v>
      </c>
      <c r="I326" t="s">
        <v>4768</v>
      </c>
    </row>
    <row r="327" spans="1:9">
      <c r="A327">
        <v>8</v>
      </c>
      <c r="B327">
        <v>832</v>
      </c>
      <c r="C327" s="1">
        <v>39246</v>
      </c>
      <c r="D327">
        <v>85</v>
      </c>
      <c r="E327" t="s">
        <v>4404</v>
      </c>
      <c r="F327" t="str">
        <f>VLOOKUP(B327,judges!A:B,2,FALSE)</f>
        <v>james paul kleinberg</v>
      </c>
      <c r="G327" t="str">
        <f>VLOOKUP(A327,donors!A:C,2,FALSE)</f>
        <v xml:space="preserve"> association of business trial lawyers</v>
      </c>
      <c r="H327" t="str">
        <f>VLOOKUP($A327,donors!$A:$C,3,FALSE)</f>
        <v xml:space="preserve"> bar association</v>
      </c>
      <c r="I327" t="s">
        <v>4768</v>
      </c>
    </row>
    <row r="328" spans="1:9">
      <c r="A328">
        <v>8</v>
      </c>
      <c r="B328">
        <v>832</v>
      </c>
      <c r="C328" s="1">
        <v>39428</v>
      </c>
      <c r="D328">
        <v>85</v>
      </c>
      <c r="E328" t="s">
        <v>4404</v>
      </c>
      <c r="F328" t="str">
        <f>VLOOKUP(B328,judges!A:B,2,FALSE)</f>
        <v>james paul kleinberg</v>
      </c>
      <c r="G328" t="str">
        <f>VLOOKUP(A328,donors!A:C,2,FALSE)</f>
        <v xml:space="preserve"> association of business trial lawyers</v>
      </c>
      <c r="H328" t="str">
        <f>VLOOKUP($A328,donors!$A:$C,3,FALSE)</f>
        <v xml:space="preserve"> bar association</v>
      </c>
      <c r="I328" t="s">
        <v>4768</v>
      </c>
    </row>
    <row r="329" spans="1:9">
      <c r="A329">
        <v>219</v>
      </c>
      <c r="B329">
        <v>832</v>
      </c>
      <c r="C329" s="1">
        <v>39243</v>
      </c>
      <c r="D329">
        <v>100</v>
      </c>
      <c r="E329" t="s">
        <v>4405</v>
      </c>
      <c r="F329" t="str">
        <f>VLOOKUP(B329,judges!A:B,2,FALSE)</f>
        <v>james paul kleinberg</v>
      </c>
      <c r="G329" t="str">
        <f>VLOOKUP(A329,donors!A:C,2,FALSE)</f>
        <v xml:space="preserve"> state bar of california - section of litigation</v>
      </c>
      <c r="H329" t="str">
        <f>VLOOKUP($A329,donors!$A:$C,3,FALSE)</f>
        <v xml:space="preserve"> professional organization</v>
      </c>
      <c r="I329" t="s">
        <v>4768</v>
      </c>
    </row>
    <row r="330" spans="1:9">
      <c r="A330">
        <v>220</v>
      </c>
      <c r="B330">
        <v>832</v>
      </c>
      <c r="C330" s="1">
        <v>39237</v>
      </c>
      <c r="D330">
        <v>150</v>
      </c>
      <c r="E330" t="s">
        <v>4406</v>
      </c>
      <c r="F330" t="str">
        <f>VLOOKUP(B330,judges!A:B,2,FALSE)</f>
        <v>james paul kleinberg</v>
      </c>
      <c r="G330" t="str">
        <f>VLOOKUP(A330,donors!A:C,2,FALSE)</f>
        <v xml:space="preserve"> mr. &amp; mrs george marcus</v>
      </c>
      <c r="H330" t="str">
        <f>VLOOKUP($A330,donors!$A:$C,3,FALSE)</f>
        <v xml:space="preserve"> friends</v>
      </c>
      <c r="I330" t="s">
        <v>4769</v>
      </c>
    </row>
    <row r="331" spans="1:9">
      <c r="A331">
        <v>221</v>
      </c>
      <c r="B331">
        <v>832</v>
      </c>
      <c r="C331" s="1">
        <v>39376</v>
      </c>
      <c r="D331">
        <v>60</v>
      </c>
      <c r="E331" t="s">
        <v>4407</v>
      </c>
      <c r="F331" t="str">
        <f>VLOOKUP(B331,judges!A:B,2,FALSE)</f>
        <v>james paul kleinberg</v>
      </c>
      <c r="G331" t="str">
        <f>VLOOKUP(A331,donors!A:C,2,FALSE)</f>
        <v xml:space="preserve"> daniel cooperman</v>
      </c>
      <c r="H331" t="str">
        <f>VLOOKUP($A331,donors!$A:$C,3,FALSE)</f>
        <v xml:space="preserve"> attorney friend</v>
      </c>
      <c r="I331" t="s">
        <v>4769</v>
      </c>
    </row>
    <row r="332" spans="1:9">
      <c r="A332">
        <v>222</v>
      </c>
      <c r="B332">
        <v>832</v>
      </c>
      <c r="C332" s="1">
        <v>39429</v>
      </c>
      <c r="D332">
        <v>200</v>
      </c>
      <c r="E332" t="s">
        <v>4408</v>
      </c>
      <c r="F332" t="str">
        <f>VLOOKUP(B332,judges!A:B,2,FALSE)</f>
        <v>james paul kleinberg</v>
      </c>
      <c r="G332" t="str">
        <f>VLOOKUP(A332,donors!A:C,2,FALSE)</f>
        <v xml:space="preserve"> mr. &amp; mrs. george marcus</v>
      </c>
      <c r="H332" t="str">
        <f>VLOOKUP($A332,donors!$A:$C,3,FALSE)</f>
        <v xml:space="preserve"> friends</v>
      </c>
      <c r="I332" t="s">
        <v>4769</v>
      </c>
    </row>
    <row r="333" spans="1:9">
      <c r="A333">
        <v>223</v>
      </c>
      <c r="B333">
        <v>832</v>
      </c>
      <c r="C333" s="1">
        <v>39327</v>
      </c>
      <c r="D333">
        <v>200</v>
      </c>
      <c r="E333" t="s">
        <v>4409</v>
      </c>
      <c r="F333" t="str">
        <f>VLOOKUP(B333,judges!A:B,2,FALSE)</f>
        <v>james paul kleinberg</v>
      </c>
      <c r="G333" t="str">
        <f>VLOOKUP(A333,donors!A:C,2,FALSE)</f>
        <v xml:space="preserve"> mr. &amp; mrs. nicholas palatucci</v>
      </c>
      <c r="H333" t="str">
        <f>VLOOKUP($A333,donors!$A:$C,3,FALSE)</f>
        <v xml:space="preserve"> friend - gift for performing wedding</v>
      </c>
      <c r="I333" t="s">
        <v>4769</v>
      </c>
    </row>
    <row r="334" spans="1:9">
      <c r="A334">
        <v>224</v>
      </c>
      <c r="B334">
        <v>832</v>
      </c>
      <c r="C334" s="1">
        <v>39374</v>
      </c>
      <c r="D334">
        <v>250</v>
      </c>
      <c r="E334" t="s">
        <v>4404</v>
      </c>
      <c r="F334" t="str">
        <f>VLOOKUP(B334,judges!A:B,2,FALSE)</f>
        <v>james paul kleinberg</v>
      </c>
      <c r="G334" t="str">
        <f>VLOOKUP(A334,donors!A:C,2,FALSE)</f>
        <v xml:space="preserve"> tech museum of silicon valley</v>
      </c>
      <c r="H334" t="str">
        <f>VLOOKUP($A334,donors!$A:$C,3,FALSE)</f>
        <v xml:space="preserve"> nonprofit museum</v>
      </c>
      <c r="I334" t="s">
        <v>4769</v>
      </c>
    </row>
    <row r="335" spans="1:9">
      <c r="A335">
        <v>225</v>
      </c>
      <c r="B335">
        <v>832</v>
      </c>
      <c r="C335" s="1">
        <v>39171</v>
      </c>
      <c r="D335">
        <v>125</v>
      </c>
      <c r="E335" t="s">
        <v>4404</v>
      </c>
      <c r="F335" t="str">
        <f>VLOOKUP(B335,judges!A:B,2,FALSE)</f>
        <v>james paul kleinberg</v>
      </c>
      <c r="G335" t="str">
        <f>VLOOKUP(A335,donors!A:C,2,FALSE)</f>
        <v xml:space="preserve"> garden court hotel</v>
      </c>
      <c r="H335" t="str">
        <f>VLOOKUP($A335,donors!$A:$C,3,FALSE)</f>
        <v xml:space="preserve"> palo alto tall trees awards dinner</v>
      </c>
      <c r="I335" t="s">
        <v>4769</v>
      </c>
    </row>
    <row r="336" spans="1:9">
      <c r="A336">
        <v>226</v>
      </c>
      <c r="B336">
        <v>838</v>
      </c>
      <c r="C336" s="1">
        <v>39334</v>
      </c>
      <c r="D336">
        <v>250</v>
      </c>
      <c r="E336" t="s">
        <v>4410</v>
      </c>
      <c r="F336" t="str">
        <f>VLOOKUP(B336,judges!A:B,2,FALSE)</f>
        <v>peter h kirwan</v>
      </c>
      <c r="G336" t="str">
        <f>VLOOKUP(A336,donors!A:C,2,FALSE)</f>
        <v xml:space="preserve"> chris schumb esq.</v>
      </c>
      <c r="H336" t="str">
        <f>VLOOKUP($A336,donors!$A:$C,3,FALSE)</f>
        <v xml:space="preserve"> santa clara law cantennial</v>
      </c>
      <c r="I336" t="s">
        <v>4770</v>
      </c>
    </row>
    <row r="337" spans="1:9">
      <c r="A337">
        <v>227</v>
      </c>
      <c r="B337">
        <v>846</v>
      </c>
      <c r="C337" s="1">
        <v>39059</v>
      </c>
      <c r="D337">
        <v>300</v>
      </c>
      <c r="E337" t="s">
        <v>4411</v>
      </c>
      <c r="F337" t="str">
        <f>VLOOKUP(B337,judges!A:B,2,FALSE)</f>
        <v>richard milton king</v>
      </c>
      <c r="G337" t="str">
        <f>VLOOKUP(A337,donors!A:C,2,FALSE)</f>
        <v xml:space="preserve"> robinson calcagine robinson</v>
      </c>
      <c r="H337" t="str">
        <f>VLOOKUP($A337,donors!$A:$C,3,FALSE)</f>
        <v xml:space="preserve"> law firm</v>
      </c>
      <c r="I337" t="s">
        <v>4771</v>
      </c>
    </row>
    <row r="338" spans="1:9">
      <c r="A338">
        <v>5</v>
      </c>
      <c r="B338">
        <v>849</v>
      </c>
      <c r="C338" s="1">
        <v>39199</v>
      </c>
      <c r="D338">
        <v>120</v>
      </c>
      <c r="E338" t="s">
        <v>4412</v>
      </c>
      <c r="F338" t="str">
        <f>VLOOKUP(B338,judges!A:B,2,FALSE)</f>
        <v>charlene  kiesselbach</v>
      </c>
      <c r="G338" t="str">
        <f>VLOOKUP(A338,donors!A:C,2,FALSE)</f>
        <v xml:space="preserve"> san francisco trial lawyers association</v>
      </c>
      <c r="H338" t="str">
        <f>VLOOKUP($A338,donors!$A:$C,3,FALSE)</f>
        <v xml:space="preserve"> bar association</v>
      </c>
      <c r="I338" t="s">
        <v>4772</v>
      </c>
    </row>
    <row r="339" spans="1:9">
      <c r="A339">
        <v>5</v>
      </c>
      <c r="B339">
        <v>849</v>
      </c>
      <c r="C339" s="1">
        <v>39368</v>
      </c>
      <c r="D339">
        <v>175</v>
      </c>
      <c r="E339" t="s">
        <v>4298</v>
      </c>
      <c r="F339" t="str">
        <f>VLOOKUP(B339,judges!A:B,2,FALSE)</f>
        <v>charlene  kiesselbach</v>
      </c>
      <c r="G339" t="str">
        <f>VLOOKUP(A339,donors!A:C,2,FALSE)</f>
        <v xml:space="preserve"> san francisco trial lawyers association</v>
      </c>
      <c r="H339" t="str">
        <f>VLOOKUP($A339,donors!$A:$C,3,FALSE)</f>
        <v xml:space="preserve"> bar association</v>
      </c>
      <c r="I339" t="s">
        <v>4772</v>
      </c>
    </row>
    <row r="340" spans="1:9">
      <c r="A340">
        <v>5</v>
      </c>
      <c r="B340">
        <v>849</v>
      </c>
      <c r="C340" s="1">
        <v>39429</v>
      </c>
      <c r="D340">
        <v>60</v>
      </c>
      <c r="E340" t="s">
        <v>4413</v>
      </c>
      <c r="F340" t="str">
        <f>VLOOKUP(B340,judges!A:B,2,FALSE)</f>
        <v>charlene  kiesselbach</v>
      </c>
      <c r="G340" t="str">
        <f>VLOOKUP(A340,donors!A:C,2,FALSE)</f>
        <v xml:space="preserve"> san francisco trial lawyers association</v>
      </c>
      <c r="H340" t="str">
        <f>VLOOKUP($A340,donors!$A:$C,3,FALSE)</f>
        <v xml:space="preserve"> bar association</v>
      </c>
      <c r="I340" t="s">
        <v>4772</v>
      </c>
    </row>
    <row r="341" spans="1:9">
      <c r="A341">
        <v>228</v>
      </c>
      <c r="B341">
        <v>849</v>
      </c>
      <c r="C341" s="1">
        <v>39424</v>
      </c>
      <c r="D341">
        <v>60</v>
      </c>
      <c r="E341" t="s">
        <v>4413</v>
      </c>
      <c r="F341" t="str">
        <f>VLOOKUP(B341,judges!A:B,2,FALSE)</f>
        <v>charlene  kiesselbach</v>
      </c>
      <c r="G341" t="str">
        <f>VLOOKUP(A341,donors!A:C,2,FALSE)</f>
        <v xml:space="preserve"> san francisco laraza association</v>
      </c>
      <c r="H341" t="str">
        <f>VLOOKUP($A341,donors!$A:$C,3,FALSE)</f>
        <v xml:space="preserve"> legal professional association</v>
      </c>
      <c r="I341" t="s">
        <v>4772</v>
      </c>
    </row>
    <row r="342" spans="1:9">
      <c r="A342">
        <v>229</v>
      </c>
      <c r="B342">
        <v>849</v>
      </c>
      <c r="C342" s="1">
        <v>39289</v>
      </c>
      <c r="D342">
        <v>100</v>
      </c>
      <c r="E342" t="s">
        <v>4414</v>
      </c>
      <c r="F342" t="str">
        <f>VLOOKUP(B342,judges!A:B,2,FALSE)</f>
        <v>charlene  kiesselbach</v>
      </c>
      <c r="G342" t="str">
        <f>VLOOKUP(A342,donors!A:C,2,FALSE)</f>
        <v xml:space="preserve"> queen's bench bar association</v>
      </c>
      <c r="H342" t="str">
        <f>VLOOKUP($A342,donors!$A:$C,3,FALSE)</f>
        <v xml:space="preserve"> legal professional association</v>
      </c>
      <c r="I342" t="s">
        <v>4772</v>
      </c>
    </row>
    <row r="343" spans="1:9">
      <c r="A343">
        <v>230</v>
      </c>
      <c r="B343">
        <v>849</v>
      </c>
      <c r="C343" s="1">
        <v>39165</v>
      </c>
      <c r="D343">
        <v>50</v>
      </c>
      <c r="E343" t="s">
        <v>4415</v>
      </c>
      <c r="F343" t="str">
        <f>VLOOKUP(B343,judges!A:B,2,FALSE)</f>
        <v>charlene  kiesselbach</v>
      </c>
      <c r="G343" t="str">
        <f>VLOOKUP(A343,donors!A:C,2,FALSE)</f>
        <v xml:space="preserve"> culitarnia women lawyers</v>
      </c>
      <c r="H343" t="str">
        <f>VLOOKUP($A343,donors!$A:$C,3,FALSE)</f>
        <v xml:space="preserve"> --blank--</v>
      </c>
      <c r="I343" t="s">
        <v>4772</v>
      </c>
    </row>
    <row r="344" spans="1:9">
      <c r="A344">
        <v>231</v>
      </c>
      <c r="B344">
        <v>849</v>
      </c>
      <c r="C344" s="1">
        <v>39372</v>
      </c>
      <c r="D344">
        <v>100</v>
      </c>
      <c r="E344" t="s">
        <v>4416</v>
      </c>
      <c r="F344" t="str">
        <f>VLOOKUP(B344,judges!A:B,2,FALSE)</f>
        <v>charlene  kiesselbach</v>
      </c>
      <c r="G344" t="str">
        <f>VLOOKUP(A344,donors!A:C,2,FALSE)</f>
        <v xml:space="preserve"> golden gate university law school</v>
      </c>
      <c r="H344" t="str">
        <f>VLOOKUP($A344,donors!$A:$C,3,FALSE)</f>
        <v xml:space="preserve"> law school</v>
      </c>
      <c r="I344" t="s">
        <v>4772</v>
      </c>
    </row>
    <row r="345" spans="1:9">
      <c r="A345">
        <v>52</v>
      </c>
      <c r="B345">
        <v>849</v>
      </c>
      <c r="C345" s="1">
        <v>39416</v>
      </c>
      <c r="D345">
        <v>120</v>
      </c>
      <c r="E345" t="s">
        <v>4350</v>
      </c>
      <c r="F345" t="str">
        <f>VLOOKUP(B345,judges!A:B,2,FALSE)</f>
        <v>charlene  kiesselbach</v>
      </c>
      <c r="G345" t="str">
        <f>VLOOKUP(A345,donors!A:C,2,FALSE)</f>
        <v xml:space="preserve"> hastings college of the law</v>
      </c>
      <c r="H345" t="str">
        <f>VLOOKUP($A345,donors!$A:$C,3,FALSE)</f>
        <v xml:space="preserve"> law school</v>
      </c>
      <c r="I345" t="s">
        <v>4772</v>
      </c>
    </row>
    <row r="346" spans="1:9">
      <c r="A346">
        <v>69</v>
      </c>
      <c r="B346">
        <v>853</v>
      </c>
      <c r="C346" s="1">
        <v>39101</v>
      </c>
      <c r="D346">
        <v>180</v>
      </c>
      <c r="E346" t="s">
        <v>4417</v>
      </c>
      <c r="F346" t="str">
        <f>VLOOKUP(B346,judges!A:B,2,FALSE)</f>
        <v>dennis james keough</v>
      </c>
      <c r="G346" t="str">
        <f>VLOOKUP(A346,donors!A:C,2,FALSE)</f>
        <v xml:space="preserve"> orange county bar association</v>
      </c>
      <c r="H346" t="str">
        <f>VLOOKUP($A346,donors!$A:$C,3,FALSE)</f>
        <v xml:space="preserve"> bar association</v>
      </c>
      <c r="I346" t="s">
        <v>4773</v>
      </c>
    </row>
    <row r="347" spans="1:9">
      <c r="A347">
        <v>63</v>
      </c>
      <c r="B347">
        <v>870</v>
      </c>
      <c r="C347" s="1">
        <v>39403</v>
      </c>
      <c r="D347">
        <v>250</v>
      </c>
      <c r="E347" t="s">
        <v>4356</v>
      </c>
      <c r="F347" t="str">
        <f>VLOOKUP(B347,judges!A:B,2,FALSE)</f>
        <v>clare  keithley</v>
      </c>
      <c r="G347" t="str">
        <f>VLOOKUP(A347,donors!A:C,2,FALSE)</f>
        <v xml:space="preserve"> tate snyder kimsey</v>
      </c>
      <c r="H347" t="str">
        <f>VLOOKUP($A347,donors!$A:$C,3,FALSE)</f>
        <v xml:space="preserve"> architect</v>
      </c>
      <c r="I347" t="s">
        <v>4774</v>
      </c>
    </row>
    <row r="348" spans="1:9">
      <c r="A348">
        <v>232</v>
      </c>
      <c r="B348">
        <v>876</v>
      </c>
      <c r="C348" s="1">
        <v>39200</v>
      </c>
      <c r="D348">
        <v>480</v>
      </c>
      <c r="E348" t="s">
        <v>4418</v>
      </c>
      <c r="F348" t="str">
        <f>VLOOKUP(B348,judges!A:B,2,FALSE)</f>
        <v>steven michael katz</v>
      </c>
      <c r="G348" t="str">
        <f>VLOOKUP(A348,donors!A:C,2,FALSE)</f>
        <v xml:space="preserve"> sean. k. mcnally</v>
      </c>
      <c r="H348" t="str">
        <f>VLOOKUP($A348,donors!$A:$C,3,FALSE)</f>
        <v xml:space="preserve"> --blank--</v>
      </c>
      <c r="I348" t="s">
        <v>4775</v>
      </c>
    </row>
    <row r="349" spans="1:9">
      <c r="A349">
        <v>233</v>
      </c>
      <c r="B349">
        <v>876</v>
      </c>
      <c r="C349" s="1">
        <v>39327</v>
      </c>
      <c r="D349">
        <v>220</v>
      </c>
      <c r="E349" t="s">
        <v>4419</v>
      </c>
      <c r="F349" t="str">
        <f>VLOOKUP(B349,judges!A:B,2,FALSE)</f>
        <v>steven michael katz</v>
      </c>
      <c r="G349" t="str">
        <f>VLOOKUP(A349,donors!A:C,2,FALSE)</f>
        <v xml:space="preserve"> thomas s. clark</v>
      </c>
      <c r="H349" t="str">
        <f>VLOOKUP($A349,donors!$A:$C,3,FALSE)</f>
        <v xml:space="preserve"> --blank--</v>
      </c>
      <c r="I349" t="s">
        <v>4775</v>
      </c>
    </row>
    <row r="350" spans="1:9">
      <c r="A350">
        <v>234</v>
      </c>
      <c r="B350">
        <v>876</v>
      </c>
      <c r="C350" s="1">
        <v>39286</v>
      </c>
      <c r="D350">
        <v>480</v>
      </c>
      <c r="E350" t="s">
        <v>4418</v>
      </c>
      <c r="F350" t="str">
        <f>VLOOKUP(B350,judges!A:B,2,FALSE)</f>
        <v>steven michael katz</v>
      </c>
      <c r="G350" t="str">
        <f>VLOOKUP(A350,donors!A:C,2,FALSE)</f>
        <v xml:space="preserve"> sean k. mcnally</v>
      </c>
      <c r="H350" t="str">
        <f>VLOOKUP($A350,donors!$A:$C,3,FALSE)</f>
        <v xml:space="preserve"> --blank--</v>
      </c>
      <c r="I350" t="s">
        <v>4775</v>
      </c>
    </row>
    <row r="351" spans="1:9">
      <c r="A351">
        <v>235</v>
      </c>
      <c r="B351">
        <v>876</v>
      </c>
      <c r="C351" s="1">
        <v>39319</v>
      </c>
      <c r="D351">
        <v>70</v>
      </c>
      <c r="E351" t="s">
        <v>4420</v>
      </c>
      <c r="F351" t="str">
        <f>VLOOKUP(B351,judges!A:B,2,FALSE)</f>
        <v>steven michael katz</v>
      </c>
      <c r="G351" t="str">
        <f>VLOOKUP(A351,donors!A:C,2,FALSE)</f>
        <v xml:space="preserve"> b. scott winkler</v>
      </c>
      <c r="H351" t="str">
        <f>VLOOKUP($A351,donors!$A:$C,3,FALSE)</f>
        <v xml:space="preserve"> --blank--</v>
      </c>
      <c r="I351" t="s">
        <v>4775</v>
      </c>
    </row>
    <row r="352" spans="1:9">
      <c r="A352">
        <v>236</v>
      </c>
      <c r="B352">
        <v>878</v>
      </c>
      <c r="C352" s="1">
        <v>39091</v>
      </c>
      <c r="D352">
        <v>120</v>
      </c>
      <c r="E352" t="s">
        <v>4421</v>
      </c>
      <c r="F352" t="str">
        <f>VLOOKUP(B352,judges!A:B,2,FALSE)</f>
        <v>curtis e.a. karnow</v>
      </c>
      <c r="G352" t="str">
        <f>VLOOKUP(A352,donors!A:C,2,FALSE)</f>
        <v xml:space="preserve"> glen stormer</v>
      </c>
      <c r="H352" t="str">
        <f>VLOOKUP($A352,donors!$A:$C,3,FALSE)</f>
        <v xml:space="preserve"> construction</v>
      </c>
      <c r="I352" t="s">
        <v>4776</v>
      </c>
    </row>
    <row r="353" spans="1:9">
      <c r="A353">
        <v>237</v>
      </c>
      <c r="B353">
        <v>878</v>
      </c>
      <c r="C353" s="1">
        <v>39290</v>
      </c>
      <c r="D353">
        <v>50</v>
      </c>
      <c r="E353" t="s">
        <v>4187</v>
      </c>
      <c r="F353" t="str">
        <f>VLOOKUP(B353,judges!A:B,2,FALSE)</f>
        <v>curtis e.a. karnow</v>
      </c>
      <c r="G353" t="str">
        <f>VLOOKUP(A353,donors!A:C,2,FALSE)</f>
        <v xml:space="preserve"> queens' berch</v>
      </c>
      <c r="H353" t="str">
        <f>VLOOKUP($A353,donors!$A:$C,3,FALSE)</f>
        <v xml:space="preserve"> lawyers' group</v>
      </c>
      <c r="I353" t="s">
        <v>4776</v>
      </c>
    </row>
    <row r="354" spans="1:9">
      <c r="A354">
        <v>238</v>
      </c>
      <c r="B354">
        <v>880</v>
      </c>
      <c r="C354" s="1">
        <v>39409</v>
      </c>
      <c r="D354">
        <v>150</v>
      </c>
      <c r="E354" t="s">
        <v>4422</v>
      </c>
      <c r="F354" t="str">
        <f>VLOOKUP(B354,judges!A:B,2,FALSE)</f>
        <v>jonathan e. karesh</v>
      </c>
      <c r="G354" t="str">
        <f>VLOOKUP(A354,donors!A:C,2,FALSE)</f>
        <v xml:space="preserve"> jay holland</v>
      </c>
      <c r="H354" t="str">
        <f>VLOOKUP($A354,donors!$A:$C,3,FALSE)</f>
        <v xml:space="preserve"> --blank--</v>
      </c>
      <c r="I354" t="s">
        <v>4777</v>
      </c>
    </row>
    <row r="355" spans="1:9">
      <c r="A355">
        <v>239</v>
      </c>
      <c r="B355">
        <v>880</v>
      </c>
      <c r="C355" s="1">
        <v>39444</v>
      </c>
      <c r="D355">
        <v>80</v>
      </c>
      <c r="E355" t="s">
        <v>4187</v>
      </c>
      <c r="F355" t="str">
        <f>VLOOKUP(B355,judges!A:B,2,FALSE)</f>
        <v>jonathan e. karesh</v>
      </c>
      <c r="G355" t="str">
        <f>VLOOKUP(A355,donors!A:C,2,FALSE)</f>
        <v xml:space="preserve"> judge thomas m. smith (ret)</v>
      </c>
      <c r="H355" t="str">
        <f>VLOOKUP($A355,donors!$A:$C,3,FALSE)</f>
        <v xml:space="preserve"> --blank--</v>
      </c>
      <c r="I355" t="s">
        <v>4777</v>
      </c>
    </row>
    <row r="356" spans="1:9">
      <c r="A356">
        <v>240</v>
      </c>
      <c r="B356">
        <v>881</v>
      </c>
      <c r="C356" s="1">
        <v>39141</v>
      </c>
      <c r="D356">
        <v>1500</v>
      </c>
      <c r="E356" t="s">
        <v>4306</v>
      </c>
      <c r="F356" t="str">
        <f>VLOOKUP(B356,judges!A:B,2,FALSE)</f>
        <v>kristi culver kapetan</v>
      </c>
      <c r="G356" t="str">
        <f>VLOOKUP(A356,donors!A:C,2,FALSE)</f>
        <v xml:space="preserve"> dreyer babich buccola wood llp</v>
      </c>
      <c r="H356" t="str">
        <f>VLOOKUP($A356,donors!$A:$C,3,FALSE)</f>
        <v xml:space="preserve"> law firm</v>
      </c>
      <c r="I356" t="s">
        <v>4778</v>
      </c>
    </row>
    <row r="357" spans="1:9">
      <c r="A357">
        <v>241</v>
      </c>
      <c r="B357">
        <v>887</v>
      </c>
      <c r="C357" s="1">
        <v>39342</v>
      </c>
      <c r="D357">
        <v>276</v>
      </c>
      <c r="E357" t="s">
        <v>4423</v>
      </c>
      <c r="F357" t="str">
        <f>VLOOKUP(B357,judges!A:B,2,FALSE)</f>
        <v>upinder singh kalra</v>
      </c>
      <c r="G357" t="str">
        <f>VLOOKUP(A357,donors!A:C,2,FALSE)</f>
        <v xml:space="preserve"> james kang</v>
      </c>
      <c r="H357" t="str">
        <f>VLOOKUP($A357,donors!$A:$C,3,FALSE)</f>
        <v xml:space="preserve"> --blank--</v>
      </c>
      <c r="I357" t="s">
        <v>4779</v>
      </c>
    </row>
    <row r="358" spans="1:9">
      <c r="A358">
        <v>242</v>
      </c>
      <c r="B358">
        <v>897</v>
      </c>
      <c r="C358" s="1">
        <v>39106</v>
      </c>
      <c r="D358">
        <v>75</v>
      </c>
      <c r="E358" t="s">
        <v>4187</v>
      </c>
      <c r="F358" t="str">
        <f>VLOOKUP(B358,judges!A:B,2,FALSE)</f>
        <v>joy r  jones barbara</v>
      </c>
      <c r="G358" t="str">
        <f>VLOOKUP(A358,donors!A:C,2,FALSE)</f>
        <v xml:space="preserve"> assoc. of business trial lawyers</v>
      </c>
      <c r="H358" t="str">
        <f>VLOOKUP($A358,donors!$A:$C,3,FALSE)</f>
        <v xml:space="preserve"> specialty bar assoc; legal ed</v>
      </c>
      <c r="I358" t="s">
        <v>4780</v>
      </c>
    </row>
    <row r="359" spans="1:9">
      <c r="A359">
        <v>242</v>
      </c>
      <c r="B359">
        <v>897</v>
      </c>
      <c r="C359" s="1">
        <v>39211</v>
      </c>
      <c r="D359">
        <v>75</v>
      </c>
      <c r="E359" t="s">
        <v>4187</v>
      </c>
      <c r="F359" t="str">
        <f>VLOOKUP(B359,judges!A:B,2,FALSE)</f>
        <v>joy r  jones barbara</v>
      </c>
      <c r="G359" t="str">
        <f>VLOOKUP(A359,donors!A:C,2,FALSE)</f>
        <v xml:space="preserve"> assoc. of business trial lawyers</v>
      </c>
      <c r="H359" t="str">
        <f>VLOOKUP($A359,donors!$A:$C,3,FALSE)</f>
        <v xml:space="preserve"> specialty bar assoc; legal ed</v>
      </c>
      <c r="I359" t="s">
        <v>4780</v>
      </c>
    </row>
    <row r="360" spans="1:9">
      <c r="A360">
        <v>242</v>
      </c>
      <c r="B360">
        <v>897</v>
      </c>
      <c r="C360" s="1">
        <v>39446</v>
      </c>
      <c r="D360">
        <v>75</v>
      </c>
      <c r="E360" t="s">
        <v>4424</v>
      </c>
      <c r="F360" t="str">
        <f>VLOOKUP(B360,judges!A:B,2,FALSE)</f>
        <v>joy r  jones barbara</v>
      </c>
      <c r="G360" t="str">
        <f>VLOOKUP(A360,donors!A:C,2,FALSE)</f>
        <v xml:space="preserve"> assoc. of business trial lawyers</v>
      </c>
      <c r="H360" t="str">
        <f>VLOOKUP($A360,donors!$A:$C,3,FALSE)</f>
        <v xml:space="preserve"> specialty bar assoc; legal ed</v>
      </c>
      <c r="I360" t="s">
        <v>4780</v>
      </c>
    </row>
    <row r="361" spans="1:9">
      <c r="A361">
        <v>243</v>
      </c>
      <c r="B361">
        <v>897</v>
      </c>
      <c r="C361" s="1">
        <v>39424</v>
      </c>
      <c r="D361">
        <v>50</v>
      </c>
      <c r="E361" t="s">
        <v>4217</v>
      </c>
      <c r="F361" t="str">
        <f>VLOOKUP(B361,judges!A:B,2,FALSE)</f>
        <v>joy r  jones barbara</v>
      </c>
      <c r="G361" t="str">
        <f>VLOOKUP(A361,donors!A:C,2,FALSE)</f>
        <v xml:space="preserve"> italian american bar assoc of n ca</v>
      </c>
      <c r="H361" t="str">
        <f>VLOOKUP($A361,donors!$A:$C,3,FALSE)</f>
        <v xml:space="preserve"> specialty bar association</v>
      </c>
      <c r="I361" t="s">
        <v>4780</v>
      </c>
    </row>
    <row r="362" spans="1:9">
      <c r="A362">
        <v>244</v>
      </c>
      <c r="B362">
        <v>908</v>
      </c>
      <c r="C362" s="1">
        <v>39338</v>
      </c>
      <c r="D362">
        <v>250</v>
      </c>
      <c r="E362" t="s">
        <v>4309</v>
      </c>
      <c r="F362" t="str">
        <f>VLOOKUP(B362,judges!A:B,2,FALSE)</f>
        <v>gary michael johnson</v>
      </c>
      <c r="G362" t="str">
        <f>VLOOKUP(A362,donors!A:C,2,FALSE)</f>
        <v xml:space="preserve"> blake shannon</v>
      </c>
      <c r="H362" t="str">
        <f>VLOOKUP($A362,donors!$A:$C,3,FALSE)</f>
        <v xml:space="preserve"> n/a (close personal friend)</v>
      </c>
      <c r="I362" t="s">
        <v>4781</v>
      </c>
    </row>
    <row r="363" spans="1:9">
      <c r="A363">
        <v>245</v>
      </c>
      <c r="B363">
        <v>908</v>
      </c>
      <c r="C363" s="1">
        <v>39766</v>
      </c>
      <c r="D363">
        <v>500</v>
      </c>
      <c r="E363" t="s">
        <v>4425</v>
      </c>
      <c r="F363" t="str">
        <f>VLOOKUP(B363,judges!A:B,2,FALSE)</f>
        <v>gary michael johnson</v>
      </c>
      <c r="G363" t="str">
        <f>VLOOKUP(A363,donors!A:C,2,FALSE)</f>
        <v xml:space="preserve"> jim johnson</v>
      </c>
      <c r="H363" t="str">
        <f>VLOOKUP($A363,donors!$A:$C,3,FALSE)</f>
        <v xml:space="preserve"> n/a (close personal friend)</v>
      </c>
      <c r="I363" t="s">
        <v>4781</v>
      </c>
    </row>
    <row r="364" spans="1:9">
      <c r="A364">
        <v>246</v>
      </c>
      <c r="B364">
        <v>925</v>
      </c>
      <c r="C364" s="2">
        <v>39701</v>
      </c>
      <c r="D364">
        <v>1000</v>
      </c>
      <c r="E364" t="s">
        <v>4426</v>
      </c>
      <c r="F364" t="str">
        <f>VLOOKUP(B364,judges!A:B,2,FALSE)</f>
        <v>james fisher iwasko</v>
      </c>
      <c r="G364" t="str">
        <f>VLOOKUP(A364,donors!A:C,2,FALSE)</f>
        <v xml:space="preserve"> steve will</v>
      </c>
      <c r="H364" t="str">
        <f>VLOOKUP($A364,donors!$A:$C,3,FALSE)</f>
        <v xml:space="preserve"> --blank--</v>
      </c>
      <c r="I364" t="s">
        <v>4782</v>
      </c>
    </row>
    <row r="365" spans="1:9">
      <c r="A365">
        <v>247</v>
      </c>
      <c r="B365">
        <v>927</v>
      </c>
      <c r="C365" s="1">
        <v>39295</v>
      </c>
      <c r="D365">
        <v>50</v>
      </c>
      <c r="E365" t="s">
        <v>4427</v>
      </c>
      <c r="F365" t="str">
        <f>VLOOKUP(B365,judges!A:B,2,FALSE)</f>
        <v xml:space="preserve">  ito lance a.</v>
      </c>
      <c r="G365" t="str">
        <f>VLOOKUP(A365,donors!A:C,2,FALSE)</f>
        <v xml:space="preserve"> ruth archie</v>
      </c>
      <c r="H365" t="str">
        <f>VLOOKUP($A365,donors!$A:$C,3,FALSE)</f>
        <v xml:space="preserve"> unknown</v>
      </c>
      <c r="I365" t="s">
        <v>4783</v>
      </c>
    </row>
    <row r="366" spans="1:9">
      <c r="A366">
        <v>247</v>
      </c>
      <c r="B366">
        <v>927</v>
      </c>
      <c r="C366" t="s">
        <v>3008</v>
      </c>
      <c r="D366">
        <v>50</v>
      </c>
      <c r="E366" t="s">
        <v>4427</v>
      </c>
      <c r="F366" t="str">
        <f>VLOOKUP(B366,judges!A:B,2,FALSE)</f>
        <v xml:space="preserve">  ito lance a.</v>
      </c>
      <c r="G366" t="str">
        <f>VLOOKUP(A366,donors!A:C,2,FALSE)</f>
        <v xml:space="preserve"> ruth archie</v>
      </c>
      <c r="H366" t="str">
        <f>VLOOKUP($A366,donors!$A:$C,3,FALSE)</f>
        <v xml:space="preserve"> unknown</v>
      </c>
      <c r="I366" t="s">
        <v>4783</v>
      </c>
    </row>
    <row r="367" spans="1:9">
      <c r="A367">
        <v>248</v>
      </c>
      <c r="B367">
        <v>927</v>
      </c>
      <c r="C367" s="1">
        <v>39346</v>
      </c>
      <c r="D367">
        <v>275</v>
      </c>
      <c r="E367" t="s">
        <v>4316</v>
      </c>
      <c r="F367" t="str">
        <f>VLOOKUP(B367,judges!A:B,2,FALSE)</f>
        <v xml:space="preserve">  ito lance a.</v>
      </c>
      <c r="G367" t="str">
        <f>VLOOKUP(A367,donors!A:C,2,FALSE)</f>
        <v xml:space="preserve"> dr. richard glimp</v>
      </c>
      <c r="H367" t="str">
        <f>VLOOKUP($A367,donors!$A:$C,3,FALSE)</f>
        <v xml:space="preserve"> health services</v>
      </c>
      <c r="I367" t="s">
        <v>4783</v>
      </c>
    </row>
    <row r="368" spans="1:9">
      <c r="A368">
        <v>249</v>
      </c>
      <c r="B368">
        <v>932</v>
      </c>
      <c r="C368" s="1">
        <v>39327</v>
      </c>
      <c r="D368" t="s">
        <v>4184</v>
      </c>
      <c r="E368" t="s">
        <v>4428</v>
      </c>
      <c r="F368" t="str">
        <f>VLOOKUP(B368,judges!A:B,2,FALSE)</f>
        <v>john h. ing</v>
      </c>
      <c r="G368" t="str">
        <f>VLOOKUP(A368,donors!A:C,2,FALSE)</f>
        <v xml:space="preserve"> don tahara</v>
      </c>
      <c r="H368" t="str">
        <f>VLOOKUP($A368,donors!$A:$C,3,FALSE)</f>
        <v xml:space="preserve"> food services</v>
      </c>
      <c r="I368" t="s">
        <v>4784</v>
      </c>
    </row>
    <row r="369" spans="1:9">
      <c r="A369">
        <v>249</v>
      </c>
      <c r="B369">
        <v>932</v>
      </c>
      <c r="C369" s="1">
        <v>39383</v>
      </c>
      <c r="D369" t="s">
        <v>4184</v>
      </c>
      <c r="E369" t="s">
        <v>4428</v>
      </c>
      <c r="F369" t="str">
        <f>VLOOKUP(B369,judges!A:B,2,FALSE)</f>
        <v>john h. ing</v>
      </c>
      <c r="G369" t="str">
        <f>VLOOKUP(A369,donors!A:C,2,FALSE)</f>
        <v xml:space="preserve"> don tahara</v>
      </c>
      <c r="H369" t="str">
        <f>VLOOKUP($A369,donors!$A:$C,3,FALSE)</f>
        <v xml:space="preserve"> food services</v>
      </c>
      <c r="I369" t="s">
        <v>4784</v>
      </c>
    </row>
    <row r="370" spans="1:9">
      <c r="A370">
        <v>69</v>
      </c>
      <c r="B370">
        <v>933</v>
      </c>
      <c r="C370" s="1">
        <v>39101</v>
      </c>
      <c r="D370">
        <v>80</v>
      </c>
      <c r="E370" t="s">
        <v>4429</v>
      </c>
      <c r="F370" t="str">
        <f>VLOOKUP(B370,judges!A:B,2,FALSE)</f>
        <v>raymond john ikola</v>
      </c>
      <c r="G370" t="str">
        <f>VLOOKUP(A370,donors!A:C,2,FALSE)</f>
        <v xml:space="preserve"> orange county bar association</v>
      </c>
      <c r="H370" t="str">
        <f>VLOOKUP($A370,donors!$A:$C,3,FALSE)</f>
        <v xml:space="preserve"> bar association</v>
      </c>
      <c r="I370" t="s">
        <v>4785</v>
      </c>
    </row>
    <row r="371" spans="1:9">
      <c r="A371">
        <v>7</v>
      </c>
      <c r="B371">
        <v>933</v>
      </c>
      <c r="C371" s="1">
        <v>39360</v>
      </c>
      <c r="D371">
        <v>90</v>
      </c>
      <c r="E371" t="s">
        <v>4429</v>
      </c>
      <c r="F371" t="str">
        <f>VLOOKUP(B371,judges!A:B,2,FALSE)</f>
        <v>raymond john ikola</v>
      </c>
      <c r="G371" t="str">
        <f>VLOOKUP(A371,donors!A:C,2,FALSE)</f>
        <v xml:space="preserve"> american board of trial advocates</v>
      </c>
      <c r="H371" t="str">
        <f>VLOOKUP($A371,donors!$A:$C,3,FALSE)</f>
        <v xml:space="preserve"> bar association</v>
      </c>
      <c r="I371" t="s">
        <v>4785</v>
      </c>
    </row>
    <row r="372" spans="1:9">
      <c r="A372">
        <v>242</v>
      </c>
      <c r="B372">
        <v>933</v>
      </c>
      <c r="C372" s="1">
        <v>39170</v>
      </c>
      <c r="D372">
        <v>80</v>
      </c>
      <c r="E372" t="s">
        <v>4429</v>
      </c>
      <c r="F372" t="str">
        <f>VLOOKUP(B372,judges!A:B,2,FALSE)</f>
        <v>raymond john ikola</v>
      </c>
      <c r="G372" t="str">
        <f>VLOOKUP(A372,donors!A:C,2,FALSE)</f>
        <v xml:space="preserve"> assoc. of business trial lawyers</v>
      </c>
      <c r="H372" t="str">
        <f>VLOOKUP($A372,donors!$A:$C,3,FALSE)</f>
        <v xml:space="preserve"> specialty bar assoc; legal ed</v>
      </c>
      <c r="I372" t="s">
        <v>4785</v>
      </c>
    </row>
    <row r="373" spans="1:9">
      <c r="A373">
        <v>242</v>
      </c>
      <c r="B373">
        <v>933</v>
      </c>
      <c r="C373" s="1">
        <v>39240</v>
      </c>
      <c r="D373">
        <v>80</v>
      </c>
      <c r="E373" t="s">
        <v>4429</v>
      </c>
      <c r="F373" t="str">
        <f>VLOOKUP(B373,judges!A:B,2,FALSE)</f>
        <v>raymond john ikola</v>
      </c>
      <c r="G373" t="str">
        <f>VLOOKUP(A373,donors!A:C,2,FALSE)</f>
        <v xml:space="preserve"> assoc. of business trial lawyers</v>
      </c>
      <c r="H373" t="str">
        <f>VLOOKUP($A373,donors!$A:$C,3,FALSE)</f>
        <v xml:space="preserve"> specialty bar assoc; legal ed</v>
      </c>
      <c r="I373" t="s">
        <v>4785</v>
      </c>
    </row>
    <row r="374" spans="1:9">
      <c r="A374">
        <v>242</v>
      </c>
      <c r="B374">
        <v>933</v>
      </c>
      <c r="C374" s="1">
        <v>39338</v>
      </c>
      <c r="D374">
        <v>80</v>
      </c>
      <c r="E374" t="s">
        <v>4429</v>
      </c>
      <c r="F374" t="str">
        <f>VLOOKUP(B374,judges!A:B,2,FALSE)</f>
        <v>raymond john ikola</v>
      </c>
      <c r="G374" t="str">
        <f>VLOOKUP(A374,donors!A:C,2,FALSE)</f>
        <v xml:space="preserve"> assoc. of business trial lawyers</v>
      </c>
      <c r="H374" t="str">
        <f>VLOOKUP($A374,donors!$A:$C,3,FALSE)</f>
        <v xml:space="preserve"> specialty bar assoc; legal ed</v>
      </c>
      <c r="I374" t="s">
        <v>4785</v>
      </c>
    </row>
    <row r="375" spans="1:9">
      <c r="A375">
        <v>250</v>
      </c>
      <c r="B375">
        <v>933</v>
      </c>
      <c r="C375" s="1">
        <v>39261</v>
      </c>
      <c r="D375">
        <v>125</v>
      </c>
      <c r="E375" t="s">
        <v>4430</v>
      </c>
      <c r="F375" t="str">
        <f>VLOOKUP(B375,judges!A:B,2,FALSE)</f>
        <v>raymond john ikola</v>
      </c>
      <c r="G375" t="str">
        <f>VLOOKUP(A375,donors!A:C,2,FALSE)</f>
        <v xml:space="preserve"> c. robert jameson</v>
      </c>
      <c r="H375" t="str">
        <f>VLOOKUP($A375,donors!$A:$C,3,FALSE)</f>
        <v xml:space="preserve"> mediator - retired judge</v>
      </c>
      <c r="I375" t="s">
        <v>4785</v>
      </c>
    </row>
    <row r="376" spans="1:9">
      <c r="A376">
        <v>250</v>
      </c>
      <c r="B376">
        <v>933</v>
      </c>
      <c r="C376" s="1">
        <v>39295</v>
      </c>
      <c r="D376">
        <v>125</v>
      </c>
      <c r="E376" t="s">
        <v>4430</v>
      </c>
      <c r="F376" t="str">
        <f>VLOOKUP(B376,judges!A:B,2,FALSE)</f>
        <v>raymond john ikola</v>
      </c>
      <c r="G376" t="str">
        <f>VLOOKUP(A376,donors!A:C,2,FALSE)</f>
        <v xml:space="preserve"> c. robert jameson</v>
      </c>
      <c r="H376" t="str">
        <f>VLOOKUP($A376,donors!$A:$C,3,FALSE)</f>
        <v xml:space="preserve"> mediator - retired judge</v>
      </c>
      <c r="I376" t="s">
        <v>4785</v>
      </c>
    </row>
    <row r="377" spans="1:9">
      <c r="A377">
        <v>251</v>
      </c>
      <c r="B377">
        <v>935</v>
      </c>
      <c r="C377" s="1">
        <v>39082</v>
      </c>
      <c r="D377">
        <v>200</v>
      </c>
      <c r="E377" t="s">
        <v>4431</v>
      </c>
      <c r="F377" t="str">
        <f>VLOOKUP(B377,judges!A:B,2,FALSE)</f>
        <v>efren nasol iglesia</v>
      </c>
      <c r="G377" t="str">
        <f>VLOOKUP(A377,donors!A:C,2,FALSE)</f>
        <v xml:space="preserve"> pearl band</v>
      </c>
      <c r="H377" t="str">
        <f>VLOOKUP($A377,donors!$A:$C,3,FALSE)</f>
        <v xml:space="preserve"> dance band</v>
      </c>
      <c r="I377" t="s">
        <v>4786</v>
      </c>
    </row>
    <row r="378" spans="1:9">
      <c r="A378">
        <v>252</v>
      </c>
      <c r="B378">
        <v>939</v>
      </c>
      <c r="D378">
        <v>100</v>
      </c>
      <c r="E378" t="s">
        <v>4432</v>
      </c>
      <c r="F378" t="str">
        <f>VLOOKUP(B378,judges!A:B,2,FALSE)</f>
        <v>lon f hurwitz</v>
      </c>
      <c r="G378" t="str">
        <f>VLOOKUP(A378,donors!A:C,2,FALSE)</f>
        <v xml:space="preserve"> orange county trial lawyers assoc</v>
      </c>
      <c r="H378" t="str">
        <f>VLOOKUP($A378,donors!$A:$C,3,FALSE)</f>
        <v xml:space="preserve"> bar organization</v>
      </c>
      <c r="I378" t="s">
        <v>4787</v>
      </c>
    </row>
    <row r="379" spans="1:9">
      <c r="A379">
        <v>253</v>
      </c>
      <c r="B379">
        <v>939</v>
      </c>
      <c r="C379" s="1">
        <v>39318</v>
      </c>
      <c r="D379">
        <v>100</v>
      </c>
      <c r="E379" t="s">
        <v>4432</v>
      </c>
      <c r="F379" t="str">
        <f>VLOOKUP(B379,judges!A:B,2,FALSE)</f>
        <v>lon f hurwitz</v>
      </c>
      <c r="G379" t="str">
        <f>VLOOKUP(A379,donors!A:C,2,FALSE)</f>
        <v xml:space="preserve"> academy of matrimonial lawyers</v>
      </c>
      <c r="H379" t="str">
        <f>VLOOKUP($A379,donors!$A:$C,3,FALSE)</f>
        <v xml:space="preserve"> bar organization</v>
      </c>
      <c r="I379" t="s">
        <v>4787</v>
      </c>
    </row>
    <row r="380" spans="1:9">
      <c r="A380">
        <v>7</v>
      </c>
      <c r="B380">
        <v>939</v>
      </c>
      <c r="C380" s="1">
        <v>39360</v>
      </c>
      <c r="D380">
        <v>75</v>
      </c>
      <c r="E380" t="s">
        <v>4432</v>
      </c>
      <c r="F380" t="str">
        <f>VLOOKUP(B380,judges!A:B,2,FALSE)</f>
        <v>lon f hurwitz</v>
      </c>
      <c r="G380" t="str">
        <f>VLOOKUP(A380,donors!A:C,2,FALSE)</f>
        <v xml:space="preserve"> american board of trial advocates</v>
      </c>
      <c r="H380" t="str">
        <f>VLOOKUP($A380,donors!$A:$C,3,FALSE)</f>
        <v xml:space="preserve"> bar association</v>
      </c>
      <c r="I380" t="s">
        <v>4787</v>
      </c>
    </row>
    <row r="381" spans="1:9">
      <c r="A381">
        <v>254</v>
      </c>
      <c r="B381">
        <v>939</v>
      </c>
      <c r="C381" t="s">
        <v>3010</v>
      </c>
      <c r="D381">
        <v>30</v>
      </c>
      <c r="E381" t="s">
        <v>4432</v>
      </c>
      <c r="F381" t="str">
        <f>VLOOKUP(B381,judges!A:B,2,FALSE)</f>
        <v>lon f hurwitz</v>
      </c>
      <c r="G381" t="str">
        <f>VLOOKUP(A381,donors!A:C,2,FALSE)</f>
        <v xml:space="preserve"> aitken aitken &amp; cohn</v>
      </c>
      <c r="H381" t="str">
        <f>VLOOKUP($A381,donors!$A:$C,3,FALSE)</f>
        <v xml:space="preserve"> law firm</v>
      </c>
      <c r="I381" t="s">
        <v>4787</v>
      </c>
    </row>
    <row r="382" spans="1:9">
      <c r="A382">
        <v>255</v>
      </c>
      <c r="B382">
        <v>939</v>
      </c>
      <c r="C382" s="1">
        <v>39424</v>
      </c>
      <c r="D382">
        <v>200</v>
      </c>
      <c r="E382" t="s">
        <v>4432</v>
      </c>
      <c r="F382" t="str">
        <f>VLOOKUP(B382,judges!A:B,2,FALSE)</f>
        <v>lon f hurwitz</v>
      </c>
      <c r="G382" t="str">
        <f>VLOOKUP(A382,donors!A:C,2,FALSE)</f>
        <v xml:space="preserve"> robinson cazgagnie + robinson</v>
      </c>
      <c r="H382" t="str">
        <f>VLOOKUP($A382,donors!$A:$C,3,FALSE)</f>
        <v xml:space="preserve"> law firm</v>
      </c>
      <c r="I382" t="s">
        <v>4787</v>
      </c>
    </row>
    <row r="383" spans="1:9">
      <c r="A383">
        <v>256</v>
      </c>
      <c r="B383">
        <v>939</v>
      </c>
      <c r="C383" s="1">
        <v>39101</v>
      </c>
      <c r="D383">
        <v>65</v>
      </c>
      <c r="E383" t="s">
        <v>4187</v>
      </c>
      <c r="F383" t="str">
        <f>VLOOKUP(B383,judges!A:B,2,FALSE)</f>
        <v>lon f hurwitz</v>
      </c>
      <c r="G383" t="str">
        <f>VLOOKUP(A383,donors!A:C,2,FALSE)</f>
        <v xml:space="preserve"> orange county bar assoc.</v>
      </c>
      <c r="H383" t="str">
        <f>VLOOKUP($A383,donors!$A:$C,3,FALSE)</f>
        <v xml:space="preserve"> bar organization</v>
      </c>
      <c r="I383" t="s">
        <v>4788</v>
      </c>
    </row>
    <row r="384" spans="1:9">
      <c r="A384">
        <v>257</v>
      </c>
      <c r="B384">
        <v>939</v>
      </c>
      <c r="D384">
        <v>150</v>
      </c>
      <c r="E384" t="s">
        <v>4432</v>
      </c>
      <c r="F384" t="str">
        <f>VLOOKUP(B384,judges!A:B,2,FALSE)</f>
        <v>lon f hurwitz</v>
      </c>
      <c r="G384" t="str">
        <f>VLOOKUP(A384,donors!A:C,2,FALSE)</f>
        <v xml:space="preserve"> orange county jewish bar assoc.</v>
      </c>
      <c r="H384" t="str">
        <f>VLOOKUP($A384,donors!$A:$C,3,FALSE)</f>
        <v xml:space="preserve"> bar organization</v>
      </c>
      <c r="I384" t="s">
        <v>4788</v>
      </c>
    </row>
    <row r="385" spans="1:9">
      <c r="A385">
        <v>258</v>
      </c>
      <c r="B385">
        <v>939</v>
      </c>
      <c r="D385">
        <v>150</v>
      </c>
      <c r="E385" t="s">
        <v>4432</v>
      </c>
      <c r="F385" t="str">
        <f>VLOOKUP(B385,judges!A:B,2,FALSE)</f>
        <v>lon f hurwitz</v>
      </c>
      <c r="G385" t="str">
        <f>VLOOKUP(A385,donors!A:C,2,FALSE)</f>
        <v xml:space="preserve"> celtic bar assoc</v>
      </c>
      <c r="H385" t="str">
        <f>VLOOKUP($A385,donors!$A:$C,3,FALSE)</f>
        <v xml:space="preserve"> bar organization</v>
      </c>
      <c r="I385" t="s">
        <v>4788</v>
      </c>
    </row>
    <row r="386" spans="1:9">
      <c r="A386">
        <v>259</v>
      </c>
      <c r="B386">
        <v>939</v>
      </c>
      <c r="D386">
        <v>100</v>
      </c>
      <c r="E386" t="s">
        <v>4432</v>
      </c>
      <c r="F386" t="str">
        <f>VLOOKUP(B386,judges!A:B,2,FALSE)</f>
        <v>lon f hurwitz</v>
      </c>
      <c r="G386" t="str">
        <f>VLOOKUP(A386,donors!A:C,2,FALSE)</f>
        <v xml:space="preserve"> assoc. of bus. trial lawyers</v>
      </c>
      <c r="H386" t="str">
        <f>VLOOKUP($A386,donors!$A:$C,3,FALSE)</f>
        <v xml:space="preserve"> bar organization</v>
      </c>
      <c r="I386" t="s">
        <v>4788</v>
      </c>
    </row>
    <row r="387" spans="1:9">
      <c r="A387">
        <v>260</v>
      </c>
      <c r="B387">
        <v>939</v>
      </c>
      <c r="C387" s="1">
        <v>39379</v>
      </c>
      <c r="D387">
        <v>50</v>
      </c>
      <c r="E387" t="s">
        <v>4432</v>
      </c>
      <c r="F387" t="str">
        <f>VLOOKUP(B387,judges!A:B,2,FALSE)</f>
        <v>lon f hurwitz</v>
      </c>
      <c r="G387" t="str">
        <f>VLOOKUP(A387,donors!A:C,2,FALSE)</f>
        <v xml:space="preserve"> uci school of law</v>
      </c>
      <c r="H387" t="str">
        <f>VLOOKUP($A387,donors!$A:$C,3,FALSE)</f>
        <v xml:space="preserve"> law school</v>
      </c>
      <c r="I387" t="s">
        <v>4788</v>
      </c>
    </row>
    <row r="388" spans="1:9">
      <c r="A388">
        <v>261</v>
      </c>
      <c r="B388">
        <v>939</v>
      </c>
      <c r="D388">
        <v>150</v>
      </c>
      <c r="E388" t="s">
        <v>4432</v>
      </c>
      <c r="F388" t="str">
        <f>VLOOKUP(B388,judges!A:B,2,FALSE)</f>
        <v>lon f hurwitz</v>
      </c>
      <c r="G388" t="str">
        <f>VLOOKUP(A388,donors!A:C,2,FALSE)</f>
        <v xml:space="preserve"> o.c. bar assoc - fam. law sectio</v>
      </c>
      <c r="H388" t="str">
        <f>VLOOKUP($A388,donors!$A:$C,3,FALSE)</f>
        <v xml:space="preserve"> bm organization</v>
      </c>
      <c r="I388" t="s">
        <v>4788</v>
      </c>
    </row>
    <row r="389" spans="1:9">
      <c r="A389">
        <v>262</v>
      </c>
      <c r="B389">
        <v>944</v>
      </c>
      <c r="C389" s="1">
        <v>39340</v>
      </c>
      <c r="D389">
        <v>100</v>
      </c>
      <c r="E389" t="s">
        <v>4433</v>
      </c>
      <c r="F389" t="str">
        <f>VLOOKUP(B389,judges!A:B,2,FALSE)</f>
        <v>w  hunt desek</v>
      </c>
      <c r="G389" t="str">
        <f>VLOOKUP(A389,donors!A:C,2,FALSE)</f>
        <v xml:space="preserve"> hon. janet siegel</v>
      </c>
      <c r="H389" t="str">
        <f>VLOOKUP($A389,donors!$A:$C,3,FALSE)</f>
        <v xml:space="preserve"> historical foundation</v>
      </c>
      <c r="I389" t="s">
        <v>4789</v>
      </c>
    </row>
    <row r="390" spans="1:9">
      <c r="A390">
        <v>263</v>
      </c>
      <c r="B390">
        <v>944</v>
      </c>
      <c r="C390" s="1">
        <v>39360</v>
      </c>
      <c r="D390">
        <v>10</v>
      </c>
      <c r="E390" t="s">
        <v>4187</v>
      </c>
      <c r="F390" t="str">
        <f>VLOOKUP(B390,judges!A:B,2,FALSE)</f>
        <v>w  hunt desek</v>
      </c>
      <c r="G390" t="str">
        <f>VLOOKUP(A390,donors!A:C,2,FALSE)</f>
        <v xml:space="preserve"> am. board of trial advocates</v>
      </c>
      <c r="H390" t="str">
        <f>VLOOKUP($A390,donors!$A:$C,3,FALSE)</f>
        <v xml:space="preserve"> --blank--</v>
      </c>
      <c r="I390" t="s">
        <v>4789</v>
      </c>
    </row>
    <row r="391" spans="1:9">
      <c r="A391">
        <v>264</v>
      </c>
      <c r="B391">
        <v>951</v>
      </c>
      <c r="C391" s="1">
        <v>39317</v>
      </c>
      <c r="D391">
        <v>150</v>
      </c>
      <c r="E391" t="s">
        <v>4187</v>
      </c>
      <c r="F391" t="str">
        <f>VLOOKUP(B391,judges!A:B,2,FALSE)</f>
        <v>kim  hubbard</v>
      </c>
      <c r="G391" t="str">
        <f>VLOOKUP(A391,donors!A:C,2,FALSE)</f>
        <v xml:space="preserve"> aaml</v>
      </c>
      <c r="H391" t="str">
        <f>VLOOKUP($A391,donors!$A:$C,3,FALSE)</f>
        <v xml:space="preserve"> voluntary legal association</v>
      </c>
      <c r="I391" t="s">
        <v>4790</v>
      </c>
    </row>
    <row r="392" spans="1:9">
      <c r="A392">
        <v>265</v>
      </c>
      <c r="B392">
        <v>951</v>
      </c>
      <c r="C392" s="1">
        <v>39123</v>
      </c>
      <c r="D392">
        <v>375</v>
      </c>
      <c r="E392" t="s">
        <v>4434</v>
      </c>
      <c r="F392" t="str">
        <f>VLOOKUP(B392,judges!A:B,2,FALSE)</f>
        <v>kim  hubbard</v>
      </c>
      <c r="G392" t="str">
        <f>VLOOKUP(A392,donors!A:C,2,FALSE)</f>
        <v xml:space="preserve"> afcc</v>
      </c>
      <c r="H392" t="str">
        <f>VLOOKUP($A392,donors!$A:$C,3,FALSE)</f>
        <v xml:space="preserve"> voluntary professional assoc.</v>
      </c>
      <c r="I392" t="s">
        <v>4790</v>
      </c>
    </row>
    <row r="393" spans="1:9">
      <c r="A393">
        <v>266</v>
      </c>
      <c r="B393">
        <v>951</v>
      </c>
      <c r="C393" s="1">
        <v>39430</v>
      </c>
      <c r="D393">
        <v>350</v>
      </c>
      <c r="E393" t="s">
        <v>4435</v>
      </c>
      <c r="F393" t="str">
        <f>VLOOKUP(B393,judges!A:B,2,FALSE)</f>
        <v>kim  hubbard</v>
      </c>
      <c r="G393" t="str">
        <f>VLOOKUP(A393,donors!A:C,2,FALSE)</f>
        <v xml:space="preserve"> orange county bar assoc</v>
      </c>
      <c r="H393" t="str">
        <f>VLOOKUP($A393,donors!$A:$C,3,FALSE)</f>
        <v xml:space="preserve"> voluntary legal assoc.</v>
      </c>
      <c r="I393" t="s">
        <v>4790</v>
      </c>
    </row>
    <row r="394" spans="1:9">
      <c r="A394">
        <v>266</v>
      </c>
      <c r="B394">
        <v>951</v>
      </c>
      <c r="C394" s="1">
        <v>39287</v>
      </c>
      <c r="D394">
        <v>100</v>
      </c>
      <c r="E394" t="s">
        <v>4436</v>
      </c>
      <c r="F394" t="str">
        <f>VLOOKUP(B394,judges!A:B,2,FALSE)</f>
        <v>kim  hubbard</v>
      </c>
      <c r="G394" t="str">
        <f>VLOOKUP(A394,donors!A:C,2,FALSE)</f>
        <v xml:space="preserve"> orange county bar assoc</v>
      </c>
      <c r="H394" t="str">
        <f>VLOOKUP($A394,donors!$A:$C,3,FALSE)</f>
        <v xml:space="preserve"> voluntary legal assoc.</v>
      </c>
      <c r="I394" t="s">
        <v>4790</v>
      </c>
    </row>
    <row r="395" spans="1:9">
      <c r="A395">
        <v>266</v>
      </c>
      <c r="B395">
        <v>951</v>
      </c>
      <c r="C395" s="1">
        <v>39101</v>
      </c>
      <c r="D395">
        <v>55</v>
      </c>
      <c r="E395" t="s">
        <v>4437</v>
      </c>
      <c r="F395" t="str">
        <f>VLOOKUP(B395,judges!A:B,2,FALSE)</f>
        <v>kim  hubbard</v>
      </c>
      <c r="G395" t="str">
        <f>VLOOKUP(A395,donors!A:C,2,FALSE)</f>
        <v xml:space="preserve"> orange county bar assoc</v>
      </c>
      <c r="H395" t="str">
        <f>VLOOKUP($A395,donors!$A:$C,3,FALSE)</f>
        <v xml:space="preserve"> voluntary legal assoc.</v>
      </c>
      <c r="I395" t="s">
        <v>4790</v>
      </c>
    </row>
    <row r="396" spans="1:9">
      <c r="A396">
        <v>267</v>
      </c>
      <c r="B396">
        <v>951</v>
      </c>
      <c r="C396" t="s">
        <v>3011</v>
      </c>
      <c r="D396">
        <v>59</v>
      </c>
      <c r="E396" t="s">
        <v>4438</v>
      </c>
      <c r="F396" t="str">
        <f>VLOOKUP(B396,judges!A:B,2,FALSE)</f>
        <v>kim  hubbard</v>
      </c>
      <c r="G396" t="str">
        <f>VLOOKUP(A396,donors!A:C,2,FALSE)</f>
        <v xml:space="preserve"> michelle west atty</v>
      </c>
      <c r="H396" t="str">
        <f>VLOOKUP($A396,donors!$A:$C,3,FALSE)</f>
        <v xml:space="preserve"> private practice</v>
      </c>
      <c r="I396" t="s">
        <v>4790</v>
      </c>
    </row>
    <row r="397" spans="1:9">
      <c r="A397">
        <v>268</v>
      </c>
      <c r="B397">
        <v>951</v>
      </c>
      <c r="C397" s="1">
        <v>39130</v>
      </c>
      <c r="D397">
        <v>150</v>
      </c>
      <c r="E397" t="s">
        <v>4434</v>
      </c>
      <c r="F397" t="str">
        <f>VLOOKUP(B397,judges!A:B,2,FALSE)</f>
        <v>kim  hubbard</v>
      </c>
      <c r="G397" t="str">
        <f>VLOOKUP(A397,donors!A:C,2,FALSE)</f>
        <v xml:space="preserve"> attorney's briefcase seminars</v>
      </c>
      <c r="H397" t="str">
        <f>VLOOKUP($A397,donors!$A:$C,3,FALSE)</f>
        <v xml:space="preserve"> legal education provider</v>
      </c>
      <c r="I397" t="s">
        <v>4790</v>
      </c>
    </row>
    <row r="398" spans="1:9">
      <c r="A398">
        <v>269</v>
      </c>
      <c r="B398">
        <v>951</v>
      </c>
      <c r="C398" s="1">
        <v>39316</v>
      </c>
      <c r="D398">
        <v>50</v>
      </c>
      <c r="E398" t="s">
        <v>4439</v>
      </c>
      <c r="F398" t="str">
        <f>VLOOKUP(B398,judges!A:B,2,FALSE)</f>
        <v>kim  hubbard</v>
      </c>
      <c r="G398" t="str">
        <f>VLOOKUP(A398,donors!A:C,2,FALSE)</f>
        <v xml:space="preserve"> bond services of ca</v>
      </c>
      <c r="H398" t="str">
        <f>VLOOKUP($A398,donors!$A:$C,3,FALSE)</f>
        <v xml:space="preserve"> surety company</v>
      </c>
      <c r="I398" t="s">
        <v>4790</v>
      </c>
    </row>
    <row r="399" spans="1:9">
      <c r="A399">
        <v>63</v>
      </c>
      <c r="B399">
        <v>953</v>
      </c>
      <c r="C399" s="1">
        <v>39403</v>
      </c>
      <c r="D399">
        <v>250</v>
      </c>
      <c r="E399" t="s">
        <v>4356</v>
      </c>
      <c r="F399" t="str">
        <f>VLOOKUP(B399,judges!A:B,2,FALSE)</f>
        <v>john  howell steven</v>
      </c>
      <c r="G399" t="str">
        <f>VLOOKUP(A399,donors!A:C,2,FALSE)</f>
        <v xml:space="preserve"> tate snyder kimsey</v>
      </c>
      <c r="H399" t="str">
        <f>VLOOKUP($A399,donors!$A:$C,3,FALSE)</f>
        <v xml:space="preserve"> architect</v>
      </c>
      <c r="I399" t="s">
        <v>4791</v>
      </c>
    </row>
    <row r="400" spans="1:9">
      <c r="A400">
        <v>270</v>
      </c>
      <c r="B400">
        <v>961</v>
      </c>
      <c r="C400" s="2">
        <v>39609</v>
      </c>
      <c r="D400">
        <v>65</v>
      </c>
      <c r="E400" t="s">
        <v>4187</v>
      </c>
      <c r="F400" t="str">
        <f>VLOOKUP(B400,judges!A:B,2,FALSE)</f>
        <v>harold wayne hopp</v>
      </c>
      <c r="G400" t="str">
        <f>VLOOKUP(A400,donors!A:C,2,FALSE)</f>
        <v xml:space="preserve"> desert bar assn</v>
      </c>
      <c r="H400" t="str">
        <f>VLOOKUP($A400,donors!$A:$C,3,FALSE)</f>
        <v xml:space="preserve"> bar association</v>
      </c>
      <c r="I400" t="s">
        <v>4792</v>
      </c>
    </row>
    <row r="401" spans="1:9">
      <c r="A401">
        <v>271</v>
      </c>
      <c r="B401">
        <v>974</v>
      </c>
      <c r="C401" s="1">
        <v>39355</v>
      </c>
      <c r="D401">
        <v>2120</v>
      </c>
      <c r="E401" t="s">
        <v>4440</v>
      </c>
      <c r="F401" t="str">
        <f>VLOOKUP(B401,judges!A:B,2,FALSE)</f>
        <v>ralph c. hofer ralph</v>
      </c>
      <c r="G401" t="str">
        <f>VLOOKUP(A401,donors!A:C,2,FALSE)</f>
        <v xml:space="preserve"> bill greene</v>
      </c>
      <c r="H401" t="str">
        <f>VLOOKUP($A401,donors!$A:$C,3,FALSE)</f>
        <v xml:space="preserve"> personal friend</v>
      </c>
      <c r="I401" t="s">
        <v>4793</v>
      </c>
    </row>
    <row r="402" spans="1:9">
      <c r="A402">
        <v>271</v>
      </c>
      <c r="B402">
        <v>974</v>
      </c>
      <c r="D402">
        <v>200</v>
      </c>
      <c r="E402" t="s">
        <v>4441</v>
      </c>
      <c r="F402" t="str">
        <f>VLOOKUP(B402,judges!A:B,2,FALSE)</f>
        <v>ralph c. hofer ralph</v>
      </c>
      <c r="G402" t="str">
        <f>VLOOKUP(A402,donors!A:C,2,FALSE)</f>
        <v xml:space="preserve"> bill greene</v>
      </c>
      <c r="H402" t="str">
        <f>VLOOKUP($A402,donors!$A:$C,3,FALSE)</f>
        <v xml:space="preserve"> personal friend</v>
      </c>
      <c r="I402" t="s">
        <v>4793</v>
      </c>
    </row>
    <row r="403" spans="1:9">
      <c r="A403">
        <v>272</v>
      </c>
      <c r="B403">
        <v>976</v>
      </c>
      <c r="C403" s="1">
        <v>39171</v>
      </c>
      <c r="D403">
        <v>19</v>
      </c>
      <c r="E403" t="s">
        <v>4187</v>
      </c>
      <c r="F403" t="str">
        <f>VLOOKUP(B403,judges!A:B,2,FALSE)</f>
        <v>andrea lynn hoch</v>
      </c>
      <c r="G403" t="str">
        <f>VLOOKUP(A403,donors!A:C,2,FALSE)</f>
        <v xml:space="preserve"> mcgeorge school of law</v>
      </c>
      <c r="H403" t="str">
        <f>VLOOKUP($A403,donors!$A:$C,3,FALSE)</f>
        <v xml:space="preserve"> law school</v>
      </c>
      <c r="I403" t="s">
        <v>4794</v>
      </c>
    </row>
    <row r="404" spans="1:9">
      <c r="A404">
        <v>272</v>
      </c>
      <c r="B404">
        <v>976</v>
      </c>
      <c r="C404" t="s">
        <v>3012</v>
      </c>
      <c r="D404">
        <v>13.9</v>
      </c>
      <c r="E404" t="s">
        <v>4442</v>
      </c>
      <c r="F404" t="str">
        <f>VLOOKUP(B404,judges!A:B,2,FALSE)</f>
        <v>andrea lynn hoch</v>
      </c>
      <c r="G404" t="str">
        <f>VLOOKUP(A404,donors!A:C,2,FALSE)</f>
        <v xml:space="preserve"> mcgeorge school of law</v>
      </c>
      <c r="H404" t="str">
        <f>VLOOKUP($A404,donors!$A:$C,3,FALSE)</f>
        <v xml:space="preserve"> law school</v>
      </c>
      <c r="I404" t="s">
        <v>4794</v>
      </c>
    </row>
    <row r="405" spans="1:9">
      <c r="A405">
        <v>272</v>
      </c>
      <c r="B405">
        <v>976</v>
      </c>
      <c r="C405" s="1">
        <v>39198</v>
      </c>
      <c r="D405">
        <v>20</v>
      </c>
      <c r="E405" t="s">
        <v>4415</v>
      </c>
      <c r="F405" t="str">
        <f>VLOOKUP(B405,judges!A:B,2,FALSE)</f>
        <v>andrea lynn hoch</v>
      </c>
      <c r="G405" t="str">
        <f>VLOOKUP(A405,donors!A:C,2,FALSE)</f>
        <v xml:space="preserve"> mcgeorge school of law</v>
      </c>
      <c r="H405" t="str">
        <f>VLOOKUP($A405,donors!$A:$C,3,FALSE)</f>
        <v xml:space="preserve"> law school</v>
      </c>
      <c r="I405" t="s">
        <v>4794</v>
      </c>
    </row>
    <row r="406" spans="1:9">
      <c r="A406">
        <v>273</v>
      </c>
      <c r="B406">
        <v>984</v>
      </c>
      <c r="C406" s="1">
        <v>39388</v>
      </c>
      <c r="D406">
        <v>95</v>
      </c>
      <c r="E406" t="s">
        <v>4443</v>
      </c>
      <c r="F406" t="str">
        <f>VLOOKUP(B406,judges!A:B,2,FALSE)</f>
        <v>elizabeth michelle hill</v>
      </c>
      <c r="G406" t="str">
        <f>VLOOKUP(A406,donors!A:C,2,FALSE)</f>
        <v xml:space="preserve"> san mateo county trial lawyers' association</v>
      </c>
      <c r="H406" t="str">
        <f>VLOOKUP($A406,donors!$A:$C,3,FALSE)</f>
        <v xml:space="preserve"> --blank--</v>
      </c>
      <c r="I406" t="s">
        <v>4795</v>
      </c>
    </row>
    <row r="407" spans="1:9">
      <c r="A407">
        <v>274</v>
      </c>
      <c r="B407">
        <v>984</v>
      </c>
      <c r="C407" s="1">
        <v>39440</v>
      </c>
      <c r="D407">
        <v>45</v>
      </c>
      <c r="E407" t="s">
        <v>4444</v>
      </c>
      <c r="F407" t="str">
        <f>VLOOKUP(B407,judges!A:B,2,FALSE)</f>
        <v>elizabeth michelle hill</v>
      </c>
      <c r="G407" t="str">
        <f>VLOOKUP(A407,donors!A:C,2,FALSE)</f>
        <v xml:space="preserve"> charlie huang</v>
      </c>
      <c r="H407" t="str">
        <f>VLOOKUP($A407,donors!$A:$C,3,FALSE)</f>
        <v xml:space="preserve"> attorney</v>
      </c>
      <c r="I407" t="s">
        <v>4795</v>
      </c>
    </row>
    <row r="408" spans="1:9">
      <c r="A408">
        <v>275</v>
      </c>
      <c r="B408">
        <v>984</v>
      </c>
      <c r="C408" s="1">
        <v>39440</v>
      </c>
      <c r="D408">
        <v>45</v>
      </c>
      <c r="E408" t="s">
        <v>4445</v>
      </c>
      <c r="F408" t="str">
        <f>VLOOKUP(B408,judges!A:B,2,FALSE)</f>
        <v>elizabeth michelle hill</v>
      </c>
      <c r="G408" t="str">
        <f>VLOOKUP(A408,donors!A:C,2,FALSE)</f>
        <v xml:space="preserve"> baker street advisors</v>
      </c>
      <c r="H408" t="str">
        <f>VLOOKUP($A408,donors!$A:$C,3,FALSE)</f>
        <v xml:space="preserve"> financial advising</v>
      </c>
      <c r="I408" t="s">
        <v>4795</v>
      </c>
    </row>
    <row r="409" spans="1:9">
      <c r="A409">
        <v>276</v>
      </c>
      <c r="B409">
        <v>984</v>
      </c>
      <c r="C409" s="1">
        <v>39440</v>
      </c>
      <c r="D409">
        <v>50</v>
      </c>
      <c r="E409" t="s">
        <v>4446</v>
      </c>
      <c r="F409" t="str">
        <f>VLOOKUP(B409,judges!A:B,2,FALSE)</f>
        <v>elizabeth michelle hill</v>
      </c>
      <c r="G409" t="str">
        <f>VLOOKUP(A409,donors!A:C,2,FALSE)</f>
        <v xml:space="preserve"> vintners' collective</v>
      </c>
      <c r="H409" t="str">
        <f>VLOOKUP($A409,donors!$A:$C,3,FALSE)</f>
        <v xml:space="preserve"> wine sales</v>
      </c>
      <c r="I409" t="s">
        <v>4795</v>
      </c>
    </row>
    <row r="410" spans="1:9">
      <c r="A410">
        <v>277</v>
      </c>
      <c r="B410">
        <v>991</v>
      </c>
      <c r="C410" s="1">
        <v>39249</v>
      </c>
      <c r="D410">
        <v>100</v>
      </c>
      <c r="E410" t="s">
        <v>4447</v>
      </c>
      <c r="F410" t="str">
        <f>VLOOKUP(B410,judges!A:B,2,FALSE)</f>
        <v>william foster highberger</v>
      </c>
      <c r="G410" t="str">
        <f>VLOOKUP(A410,donors!A:C,2,FALSE)</f>
        <v xml:space="preserve"> duke law school</v>
      </c>
      <c r="H410" t="str">
        <f>VLOOKUP($A410,donors!$A:$C,3,FALSE)</f>
        <v xml:space="preserve"> law school</v>
      </c>
      <c r="I410" t="s">
        <v>4796</v>
      </c>
    </row>
    <row r="411" spans="1:9">
      <c r="A411">
        <v>278</v>
      </c>
      <c r="B411">
        <v>991</v>
      </c>
      <c r="C411" s="1">
        <v>39345</v>
      </c>
      <c r="D411">
        <v>100</v>
      </c>
      <c r="E411" t="s">
        <v>4401</v>
      </c>
      <c r="F411" t="str">
        <f>VLOOKUP(B411,judges!A:B,2,FALSE)</f>
        <v>william foster highberger</v>
      </c>
      <c r="G411" t="str">
        <f>VLOOKUP(A411,donors!A:C,2,FALSE)</f>
        <v xml:space="preserve"> claremont mckenna college (cont.)</v>
      </c>
      <c r="H411" t="str">
        <f>VLOOKUP($A411,donors!$A:$C,3,FALSE)</f>
        <v xml:space="preserve"> --blank--</v>
      </c>
      <c r="I411" t="s">
        <v>4796</v>
      </c>
    </row>
    <row r="412" spans="1:9">
      <c r="A412">
        <v>213</v>
      </c>
      <c r="B412">
        <v>991</v>
      </c>
      <c r="C412" s="1">
        <v>39236</v>
      </c>
      <c r="D412">
        <v>60</v>
      </c>
      <c r="E412" t="s">
        <v>4448</v>
      </c>
      <c r="F412" t="str">
        <f>VLOOKUP(B412,judges!A:B,2,FALSE)</f>
        <v>william foster highberger</v>
      </c>
      <c r="G412" t="str">
        <f>VLOOKUP(A412,donors!A:C,2,FALSE)</f>
        <v xml:space="preserve"> la county bar ass'n</v>
      </c>
      <c r="H412" t="str">
        <f>VLOOKUP($A412,donors!$A:$C,3,FALSE)</f>
        <v xml:space="preserve"> bar association</v>
      </c>
      <c r="I412" t="s">
        <v>4796</v>
      </c>
    </row>
    <row r="413" spans="1:9">
      <c r="A413">
        <v>213</v>
      </c>
      <c r="B413">
        <v>991</v>
      </c>
      <c r="C413" s="1">
        <v>39107</v>
      </c>
      <c r="D413">
        <v>40</v>
      </c>
      <c r="E413" t="s">
        <v>4397</v>
      </c>
      <c r="F413" t="str">
        <f>VLOOKUP(B413,judges!A:B,2,FALSE)</f>
        <v>william foster highberger</v>
      </c>
      <c r="G413" t="str">
        <f>VLOOKUP(A413,donors!A:C,2,FALSE)</f>
        <v xml:space="preserve"> la county bar ass'n</v>
      </c>
      <c r="H413" t="str">
        <f>VLOOKUP($A413,donors!$A:$C,3,FALSE)</f>
        <v xml:space="preserve"> bar association</v>
      </c>
      <c r="I413" t="s">
        <v>4796</v>
      </c>
    </row>
    <row r="414" spans="1:9">
      <c r="A414">
        <v>214</v>
      </c>
      <c r="B414">
        <v>991</v>
      </c>
      <c r="C414" s="1">
        <v>39340</v>
      </c>
      <c r="D414">
        <v>115</v>
      </c>
      <c r="E414" t="s">
        <v>4399</v>
      </c>
      <c r="F414" t="str">
        <f>VLOOKUP(B414,judges!A:B,2,FALSE)</f>
        <v>william foster highberger</v>
      </c>
      <c r="G414" t="str">
        <f>VLOOKUP(A414,donors!A:C,2,FALSE)</f>
        <v xml:space="preserve"> judge rex heeseman</v>
      </c>
      <c r="H414" t="str">
        <f>VLOOKUP($A414,donors!$A:$C,3,FALSE)</f>
        <v xml:space="preserve"> --blank--</v>
      </c>
      <c r="I414" t="s">
        <v>4796</v>
      </c>
    </row>
    <row r="415" spans="1:9">
      <c r="A415">
        <v>215</v>
      </c>
      <c r="B415">
        <v>991</v>
      </c>
      <c r="C415" s="1">
        <v>39151</v>
      </c>
      <c r="D415">
        <v>120</v>
      </c>
      <c r="E415" t="s">
        <v>4400</v>
      </c>
      <c r="F415" t="str">
        <f>VLOOKUP(B415,judges!A:B,2,FALSE)</f>
        <v>william foster highberger</v>
      </c>
      <c r="G415" t="str">
        <f>VLOOKUP(A415,donors!A:C,2,FALSE)</f>
        <v xml:space="preserve"> claremont mckenna college</v>
      </c>
      <c r="H415" t="str">
        <f>VLOOKUP($A415,donors!$A:$C,3,FALSE)</f>
        <v xml:space="preserve"> service on board of directors of college</v>
      </c>
      <c r="I415" t="s">
        <v>4796</v>
      </c>
    </row>
    <row r="416" spans="1:9">
      <c r="A416">
        <v>215</v>
      </c>
      <c r="B416">
        <v>991</v>
      </c>
      <c r="C416" s="1">
        <v>39215</v>
      </c>
      <c r="D416">
        <v>100</v>
      </c>
      <c r="E416" t="s">
        <v>4449</v>
      </c>
      <c r="F416" t="str">
        <f>VLOOKUP(B416,judges!A:B,2,FALSE)</f>
        <v>william foster highberger</v>
      </c>
      <c r="G416" t="str">
        <f>VLOOKUP(A416,donors!A:C,2,FALSE)</f>
        <v xml:space="preserve"> claremont mckenna college</v>
      </c>
      <c r="H416" t="str">
        <f>VLOOKUP($A416,donors!$A:$C,3,FALSE)</f>
        <v xml:space="preserve"> service on board of directors of college</v>
      </c>
      <c r="I416" t="s">
        <v>4796</v>
      </c>
    </row>
    <row r="417" spans="1:9">
      <c r="A417">
        <v>215</v>
      </c>
      <c r="B417">
        <v>991</v>
      </c>
      <c r="C417" s="1">
        <v>39416</v>
      </c>
      <c r="D417">
        <v>70</v>
      </c>
      <c r="E417" t="s">
        <v>4450</v>
      </c>
      <c r="F417" t="str">
        <f>VLOOKUP(B417,judges!A:B,2,FALSE)</f>
        <v>william foster highberger</v>
      </c>
      <c r="G417" t="str">
        <f>VLOOKUP(A417,donors!A:C,2,FALSE)</f>
        <v xml:space="preserve"> claremont mckenna college</v>
      </c>
      <c r="H417" t="str">
        <f>VLOOKUP($A417,donors!$A:$C,3,FALSE)</f>
        <v xml:space="preserve"> service on board of directors of college</v>
      </c>
      <c r="I417" t="s">
        <v>4796</v>
      </c>
    </row>
    <row r="418" spans="1:9">
      <c r="A418">
        <v>279</v>
      </c>
      <c r="B418">
        <v>991</v>
      </c>
      <c r="C418" s="1">
        <v>39157</v>
      </c>
      <c r="D418">
        <v>80</v>
      </c>
      <c r="E418" t="s">
        <v>4451</v>
      </c>
      <c r="F418" t="str">
        <f>VLOOKUP(B418,judges!A:B,2,FALSE)</f>
        <v>william foster highberger</v>
      </c>
      <c r="G418" t="str">
        <f>VLOOKUP(A418,donors!A:C,2,FALSE)</f>
        <v xml:space="preserve"> rand institute for civil justice</v>
      </c>
      <c r="H418" t="str">
        <f>VLOOKUP($A418,donors!$A:$C,3,FALSE)</f>
        <v xml:space="preserve"> legal research &amp; reform</v>
      </c>
      <c r="I418" t="s">
        <v>4796</v>
      </c>
    </row>
    <row r="419" spans="1:9">
      <c r="A419">
        <v>280</v>
      </c>
      <c r="B419">
        <v>993</v>
      </c>
      <c r="D419">
        <v>75</v>
      </c>
      <c r="E419" t="s">
        <v>4432</v>
      </c>
      <c r="F419" t="str">
        <f>VLOOKUP(B419,judges!A:B,2,FALSE)</f>
        <v>lloyd l. hicks</v>
      </c>
      <c r="G419" t="str">
        <f>VLOOKUP(A419,donors!A:C,2,FALSE)</f>
        <v xml:space="preserve"> abota</v>
      </c>
      <c r="H419" t="str">
        <f>VLOOKUP($A419,donors!$A:$C,3,FALSE)</f>
        <v xml:space="preserve"> fraternal assoc</v>
      </c>
      <c r="I419" t="s">
        <v>4797</v>
      </c>
    </row>
    <row r="420" spans="1:9">
      <c r="A420">
        <v>8</v>
      </c>
      <c r="B420">
        <v>995</v>
      </c>
      <c r="C420" s="1">
        <v>39247</v>
      </c>
      <c r="D420">
        <v>95</v>
      </c>
      <c r="E420" t="s">
        <v>4415</v>
      </c>
      <c r="F420" t="str">
        <f>VLOOKUP(B420,judges!A:B,2,FALSE)</f>
        <v>campaign finance  hess robert l.</v>
      </c>
      <c r="G420" t="str">
        <f>VLOOKUP(A420,donors!A:C,2,FALSE)</f>
        <v xml:space="preserve"> association of business trial lawyers</v>
      </c>
      <c r="H420" t="str">
        <f>VLOOKUP($A420,donors!$A:$C,3,FALSE)</f>
        <v xml:space="preserve"> bar association</v>
      </c>
      <c r="I420" t="s">
        <v>4798</v>
      </c>
    </row>
    <row r="421" spans="1:9">
      <c r="A421">
        <v>281</v>
      </c>
      <c r="B421">
        <v>995</v>
      </c>
      <c r="C421" s="1">
        <v>39289</v>
      </c>
      <c r="D421">
        <v>95</v>
      </c>
      <c r="E421" t="s">
        <v>4415</v>
      </c>
      <c r="F421" t="str">
        <f>VLOOKUP(B421,judges!A:B,2,FALSE)</f>
        <v>campaign finance  hess robert l.</v>
      </c>
      <c r="G421" t="str">
        <f>VLOOKUP(A421,donors!A:C,2,FALSE)</f>
        <v xml:space="preserve"> american board of trial advocates los angeles chapter 5567 reseda blvd.</v>
      </c>
      <c r="H421" t="str">
        <f>VLOOKUP($A421,donors!$A:$C,3,FALSE)</f>
        <v xml:space="preserve"> voluntary bar association</v>
      </c>
      <c r="I421" t="s">
        <v>4798</v>
      </c>
    </row>
    <row r="422" spans="1:9">
      <c r="A422">
        <v>282</v>
      </c>
      <c r="B422">
        <v>997</v>
      </c>
      <c r="C422" s="1">
        <v>39136</v>
      </c>
      <c r="D422">
        <v>75</v>
      </c>
      <c r="E422" t="s">
        <v>4187</v>
      </c>
      <c r="F422" t="str">
        <f>VLOOKUP(B422,judges!A:B,2,FALSE)</f>
        <v>martin larry herscovitz</v>
      </c>
      <c r="G422" t="str">
        <f>VLOOKUP(A422,donors!A:C,2,FALSE)</f>
        <v xml:space="preserve"> san fernando valley bar association</v>
      </c>
      <c r="H422" t="str">
        <f>VLOOKUP($A422,donors!$A:$C,3,FALSE)</f>
        <v xml:space="preserve"> bar association dinner</v>
      </c>
      <c r="I422" t="s">
        <v>4799</v>
      </c>
    </row>
    <row r="423" spans="1:9">
      <c r="A423">
        <v>283</v>
      </c>
      <c r="B423">
        <v>999</v>
      </c>
      <c r="C423" s="1">
        <v>39241</v>
      </c>
      <c r="D423">
        <v>150</v>
      </c>
      <c r="E423" t="s">
        <v>4187</v>
      </c>
      <c r="F423" t="str">
        <f>VLOOKUP(B423,judges!A:B,2,FALSE)</f>
        <v>david vincent herriford</v>
      </c>
      <c r="G423" t="str">
        <f>VLOOKUP(A423,donors!A:C,2,FALSE)</f>
        <v xml:space="preserve"> dr. rodney collins</v>
      </c>
      <c r="H423" t="str">
        <f>VLOOKUP($A423,donors!$A:$C,3,FALSE)</f>
        <v xml:space="preserve"> beverly hills ca 90211</v>
      </c>
      <c r="I423" t="s">
        <v>4800</v>
      </c>
    </row>
    <row r="424" spans="1:9">
      <c r="A424">
        <v>284</v>
      </c>
      <c r="B424">
        <v>1019</v>
      </c>
      <c r="C424" s="1">
        <v>39362</v>
      </c>
      <c r="D424">
        <v>250</v>
      </c>
      <c r="E424" t="s">
        <v>4383</v>
      </c>
      <c r="F424" t="str">
        <f>VLOOKUP(B424,judges!A:B,2,FALSE)</f>
        <v>larry e hayes</v>
      </c>
      <c r="G424" t="str">
        <f>VLOOKUP(A424,donors!A:C,2,FALSE)</f>
        <v xml:space="preserve"> tom jamison and paula robinson</v>
      </c>
      <c r="H424" t="str">
        <f>VLOOKUP($A424,donors!$A:$C,3,FALSE)</f>
        <v xml:space="preserve"> attorneys</v>
      </c>
      <c r="I424" t="s">
        <v>4801</v>
      </c>
    </row>
    <row r="425" spans="1:9">
      <c r="A425">
        <v>69</v>
      </c>
      <c r="B425">
        <v>1038</v>
      </c>
      <c r="C425" s="2">
        <v>39457</v>
      </c>
      <c r="D425">
        <v>50</v>
      </c>
      <c r="E425" t="s">
        <v>4452</v>
      </c>
      <c r="F425" t="str">
        <f>VLOOKUP(B425,judges!A:B,2,FALSE)</f>
        <v>sheila fairchild hanson</v>
      </c>
      <c r="G425" t="str">
        <f>VLOOKUP(A425,donors!A:C,2,FALSE)</f>
        <v xml:space="preserve"> orange county bar association</v>
      </c>
      <c r="H425" t="str">
        <f>VLOOKUP($A425,donors!$A:$C,3,FALSE)</f>
        <v xml:space="preserve"> bar association</v>
      </c>
      <c r="I425" t="s">
        <v>4802</v>
      </c>
    </row>
    <row r="426" spans="1:9">
      <c r="A426">
        <v>285</v>
      </c>
      <c r="B426">
        <v>1038</v>
      </c>
      <c r="C426" t="s">
        <v>4180</v>
      </c>
      <c r="D426">
        <v>150</v>
      </c>
      <c r="E426" t="s">
        <v>4453</v>
      </c>
      <c r="F426" t="str">
        <f>VLOOKUP(B426,judges!A:B,2,FALSE)</f>
        <v>sheila fairchild hanson</v>
      </c>
      <c r="G426" t="str">
        <f>VLOOKUP(A426,donors!A:C,2,FALSE)</f>
        <v xml:space="preserve"> north orange county bar association</v>
      </c>
      <c r="H426" t="str">
        <f>VLOOKUP($A426,donors!$A:$C,3,FALSE)</f>
        <v xml:space="preserve"> bar association</v>
      </c>
      <c r="I426" t="s">
        <v>4802</v>
      </c>
    </row>
    <row r="427" spans="1:9">
      <c r="A427">
        <v>286</v>
      </c>
      <c r="B427">
        <v>1038</v>
      </c>
      <c r="C427" s="1">
        <v>39220</v>
      </c>
      <c r="D427">
        <v>75</v>
      </c>
      <c r="E427" t="s">
        <v>4454</v>
      </c>
      <c r="F427" t="str">
        <f>VLOOKUP(B427,judges!A:B,2,FALSE)</f>
        <v>sheila fairchild hanson</v>
      </c>
      <c r="G427" t="str">
        <f>VLOOKUP(A427,donors!A:C,2,FALSE)</f>
        <v xml:space="preserve"> keller rackauckas llp</v>
      </c>
      <c r="H427" t="str">
        <f>VLOOKUP($A427,donors!$A:$C,3,FALSE)</f>
        <v xml:space="preserve"> law firm</v>
      </c>
      <c r="I427" t="s">
        <v>4802</v>
      </c>
    </row>
    <row r="428" spans="1:9">
      <c r="A428">
        <v>158</v>
      </c>
      <c r="B428">
        <v>1038</v>
      </c>
      <c r="C428" s="1">
        <v>39402</v>
      </c>
      <c r="D428">
        <v>50</v>
      </c>
      <c r="E428" t="s">
        <v>4455</v>
      </c>
      <c r="F428" t="str">
        <f>VLOOKUP(B428,judges!A:B,2,FALSE)</f>
        <v>sheila fairchild hanson</v>
      </c>
      <c r="G428" t="str">
        <f>VLOOKUP(A428,donors!A:C,2,FALSE)</f>
        <v xml:space="preserve"> mary lynn coffee</v>
      </c>
      <c r="H428" t="str">
        <f>VLOOKUP($A428,donors!$A:$C,3,FALSE)</f>
        <v xml:space="preserve"> --blank--</v>
      </c>
      <c r="I428" t="s">
        <v>4802</v>
      </c>
    </row>
    <row r="429" spans="1:9">
      <c r="A429">
        <v>287</v>
      </c>
      <c r="B429">
        <v>1042</v>
      </c>
      <c r="C429" s="1">
        <v>39433</v>
      </c>
      <c r="D429">
        <v>98</v>
      </c>
      <c r="E429" t="s">
        <v>4456</v>
      </c>
      <c r="F429" t="str">
        <f>VLOOKUP(B429,judges!A:B,2,FALSE)</f>
        <v>louis r hanoian</v>
      </c>
      <c r="G429" t="str">
        <f>VLOOKUP(A429,donors!A:C,2,FALSE)</f>
        <v xml:space="preserve"> guy halgren</v>
      </c>
      <c r="H429" t="str">
        <f>VLOOKUP($A429,donors!$A:$C,3,FALSE)</f>
        <v xml:space="preserve"> attorney</v>
      </c>
      <c r="I429" t="s">
        <v>4803</v>
      </c>
    </row>
    <row r="430" spans="1:9">
      <c r="A430">
        <v>288</v>
      </c>
      <c r="B430">
        <v>1045</v>
      </c>
      <c r="C430" s="1">
        <v>39122</v>
      </c>
      <c r="D430">
        <v>15</v>
      </c>
      <c r="E430" t="s">
        <v>4457</v>
      </c>
      <c r="F430" t="str">
        <f>VLOOKUP(B430,judges!A:B,2,FALSE)</f>
        <v>jeffrey y jr hamilton</v>
      </c>
      <c r="G430" t="str">
        <f>VLOOKUP(A430,donors!A:C,2,FALSE)</f>
        <v xml:space="preserve"> traci kerkorian</v>
      </c>
      <c r="H430" t="str">
        <f>VLOOKUP($A430,donors!$A:$C,3,FALSE)</f>
        <v xml:space="preserve"> attorney</v>
      </c>
      <c r="I430" t="s">
        <v>4804</v>
      </c>
    </row>
    <row r="431" spans="1:9">
      <c r="A431">
        <v>288</v>
      </c>
      <c r="B431">
        <v>1045</v>
      </c>
      <c r="C431" t="s">
        <v>3013</v>
      </c>
      <c r="D431">
        <v>15</v>
      </c>
      <c r="E431" t="s">
        <v>4458</v>
      </c>
      <c r="F431" t="str">
        <f>VLOOKUP(B431,judges!A:B,2,FALSE)</f>
        <v>jeffrey y jr hamilton</v>
      </c>
      <c r="G431" t="str">
        <f>VLOOKUP(A431,donors!A:C,2,FALSE)</f>
        <v xml:space="preserve"> traci kerkorian</v>
      </c>
      <c r="H431" t="str">
        <f>VLOOKUP($A431,donors!$A:$C,3,FALSE)</f>
        <v xml:space="preserve"> attorney</v>
      </c>
      <c r="I431" t="s">
        <v>4804</v>
      </c>
    </row>
    <row r="432" spans="1:9">
      <c r="A432">
        <v>289</v>
      </c>
      <c r="B432">
        <v>1045</v>
      </c>
      <c r="C432" s="1">
        <v>39122</v>
      </c>
      <c r="D432">
        <v>20</v>
      </c>
      <c r="E432" t="s">
        <v>4457</v>
      </c>
      <c r="F432" t="str">
        <f>VLOOKUP(B432,judges!A:B,2,FALSE)</f>
        <v>jeffrey y jr hamilton</v>
      </c>
      <c r="G432" t="str">
        <f>VLOOKUP(A432,donors!A:C,2,FALSE)</f>
        <v xml:space="preserve"> paul &amp; toni lerandeau</v>
      </c>
      <c r="H432" t="str">
        <f>VLOOKUP($A432,donors!$A:$C,3,FALSE)</f>
        <v xml:space="preserve"> attorneys</v>
      </c>
      <c r="I432" t="s">
        <v>4804</v>
      </c>
    </row>
    <row r="433" spans="1:9">
      <c r="A433">
        <v>289</v>
      </c>
      <c r="B433">
        <v>1045</v>
      </c>
      <c r="C433" s="1">
        <v>39440</v>
      </c>
      <c r="D433">
        <v>100</v>
      </c>
      <c r="E433" t="s">
        <v>4254</v>
      </c>
      <c r="F433" t="str">
        <f>VLOOKUP(B433,judges!A:B,2,FALSE)</f>
        <v>jeffrey y jr hamilton</v>
      </c>
      <c r="G433" t="str">
        <f>VLOOKUP(A433,donors!A:C,2,FALSE)</f>
        <v xml:space="preserve"> paul &amp; toni lerandeau</v>
      </c>
      <c r="H433" t="str">
        <f>VLOOKUP($A433,donors!$A:$C,3,FALSE)</f>
        <v xml:space="preserve"> attorneys</v>
      </c>
      <c r="I433" t="s">
        <v>4804</v>
      </c>
    </row>
    <row r="434" spans="1:9">
      <c r="A434">
        <v>289</v>
      </c>
      <c r="B434">
        <v>1045</v>
      </c>
      <c r="C434" s="1">
        <v>39442</v>
      </c>
      <c r="D434">
        <v>20</v>
      </c>
      <c r="E434" t="s">
        <v>4459</v>
      </c>
      <c r="F434" t="str">
        <f>VLOOKUP(B434,judges!A:B,2,FALSE)</f>
        <v>jeffrey y jr hamilton</v>
      </c>
      <c r="G434" t="str">
        <f>VLOOKUP(A434,donors!A:C,2,FALSE)</f>
        <v xml:space="preserve"> paul &amp; toni lerandeau</v>
      </c>
      <c r="H434" t="str">
        <f>VLOOKUP($A434,donors!$A:$C,3,FALSE)</f>
        <v xml:space="preserve"> attorneys</v>
      </c>
      <c r="I434" t="s">
        <v>4804</v>
      </c>
    </row>
    <row r="435" spans="1:9">
      <c r="A435">
        <v>290</v>
      </c>
      <c r="B435">
        <v>1045</v>
      </c>
      <c r="C435" s="1">
        <v>39122</v>
      </c>
      <c r="D435">
        <v>15</v>
      </c>
      <c r="E435" t="s">
        <v>4457</v>
      </c>
      <c r="F435" t="str">
        <f>VLOOKUP(B435,judges!A:B,2,FALSE)</f>
        <v>jeffrey y jr hamilton</v>
      </c>
      <c r="G435" t="str">
        <f>VLOOKUP(A435,donors!A:C,2,FALSE)</f>
        <v xml:space="preserve"> steve &amp; elana smith</v>
      </c>
      <c r="H435" t="str">
        <f>VLOOKUP($A435,donors!$A:$C,3,FALSE)</f>
        <v xml:space="preserve"> admin. law judge &amp; attorney</v>
      </c>
      <c r="I435" t="s">
        <v>4804</v>
      </c>
    </row>
    <row r="436" spans="1:9">
      <c r="A436">
        <v>290</v>
      </c>
      <c r="B436">
        <v>1045</v>
      </c>
      <c r="C436" s="1">
        <v>39442</v>
      </c>
      <c r="D436">
        <v>15</v>
      </c>
      <c r="E436" t="s">
        <v>4458</v>
      </c>
      <c r="F436" t="str">
        <f>VLOOKUP(B436,judges!A:B,2,FALSE)</f>
        <v>jeffrey y jr hamilton</v>
      </c>
      <c r="G436" t="str">
        <f>VLOOKUP(A436,donors!A:C,2,FALSE)</f>
        <v xml:space="preserve"> steve &amp; elana smith</v>
      </c>
      <c r="H436" t="str">
        <f>VLOOKUP($A436,donors!$A:$C,3,FALSE)</f>
        <v xml:space="preserve"> admin. law judge &amp; attorney</v>
      </c>
      <c r="I436" t="s">
        <v>4804</v>
      </c>
    </row>
    <row r="437" spans="1:9">
      <c r="A437">
        <v>291</v>
      </c>
      <c r="B437">
        <v>1045</v>
      </c>
      <c r="C437" s="1">
        <v>39122</v>
      </c>
      <c r="D437">
        <v>20</v>
      </c>
      <c r="E437" t="s">
        <v>4457</v>
      </c>
      <c r="F437" t="str">
        <f>VLOOKUP(B437,judges!A:B,2,FALSE)</f>
        <v>jeffrey y jr hamilton</v>
      </c>
      <c r="G437" t="str">
        <f>VLOOKUP(A437,donors!A:C,2,FALSE)</f>
        <v xml:space="preserve"> greg &amp; ann mason</v>
      </c>
      <c r="H437" t="str">
        <f>VLOOKUP($A437,donors!$A:$C,3,FALSE)</f>
        <v xml:space="preserve"> attorneys</v>
      </c>
      <c r="I437" t="s">
        <v>4804</v>
      </c>
    </row>
    <row r="438" spans="1:9">
      <c r="A438">
        <v>291</v>
      </c>
      <c r="B438">
        <v>1045</v>
      </c>
      <c r="C438" s="1">
        <v>39442</v>
      </c>
      <c r="D438">
        <v>20</v>
      </c>
      <c r="E438" t="s">
        <v>4458</v>
      </c>
      <c r="F438" t="str">
        <f>VLOOKUP(B438,judges!A:B,2,FALSE)</f>
        <v>jeffrey y jr hamilton</v>
      </c>
      <c r="G438" t="str">
        <f>VLOOKUP(A438,donors!A:C,2,FALSE)</f>
        <v xml:space="preserve"> greg &amp; ann mason</v>
      </c>
      <c r="H438" t="str">
        <f>VLOOKUP($A438,donors!$A:$C,3,FALSE)</f>
        <v xml:space="preserve"> attorneys</v>
      </c>
      <c r="I438" t="s">
        <v>4804</v>
      </c>
    </row>
    <row r="439" spans="1:9">
      <c r="A439">
        <v>292</v>
      </c>
      <c r="B439">
        <v>1047</v>
      </c>
      <c r="C439" s="1">
        <v>39430</v>
      </c>
      <c r="D439">
        <v>55</v>
      </c>
      <c r="E439" t="s">
        <v>4460</v>
      </c>
      <c r="F439" t="str">
        <f>VLOOKUP(B439,judges!A:B,2,FALSE)</f>
        <v>judith l haller</v>
      </c>
      <c r="G439" t="str">
        <f>VLOOKUP(A439,donors!A:C,2,FALSE)</f>
        <v xml:space="preserve"> dean steve smith &amp; california western school of law</v>
      </c>
      <c r="H439" t="str">
        <f>VLOOKUP($A439,donors!$A:$C,3,FALSE)</f>
        <v xml:space="preserve"> dean/ law school</v>
      </c>
      <c r="I439" t="s">
        <v>4805</v>
      </c>
    </row>
    <row r="440" spans="1:9">
      <c r="A440">
        <v>292</v>
      </c>
      <c r="B440">
        <v>1047</v>
      </c>
      <c r="C440" t="s">
        <v>3014</v>
      </c>
      <c r="D440">
        <v>100</v>
      </c>
      <c r="E440" t="s">
        <v>4461</v>
      </c>
      <c r="F440" t="str">
        <f>VLOOKUP(B440,judges!A:B,2,FALSE)</f>
        <v>judith l haller</v>
      </c>
      <c r="G440" t="str">
        <f>VLOOKUP(A440,donors!A:C,2,FALSE)</f>
        <v xml:space="preserve"> dean steve smith &amp; california western school of law</v>
      </c>
      <c r="H440" t="str">
        <f>VLOOKUP($A440,donors!$A:$C,3,FALSE)</f>
        <v xml:space="preserve"> dean/ law school</v>
      </c>
      <c r="I440" t="s">
        <v>4805</v>
      </c>
    </row>
    <row r="441" spans="1:9">
      <c r="A441">
        <v>293</v>
      </c>
      <c r="B441">
        <v>1051</v>
      </c>
      <c r="C441" s="1">
        <v>39202</v>
      </c>
      <c r="D441">
        <v>1250</v>
      </c>
      <c r="E441" t="s">
        <v>4462</v>
      </c>
      <c r="F441" t="str">
        <f>VLOOKUP(B441,judges!A:B,2,FALSE)</f>
        <v>henry j hall</v>
      </c>
      <c r="G441" t="str">
        <f>VLOOKUP(A441,donors!A:C,2,FALSE)</f>
        <v xml:space="preserve"> allenmatkinsleckgamblemallory&amp;natsis</v>
      </c>
      <c r="H441" t="str">
        <f>VLOOKUP($A441,donors!$A:$C,3,FALSE)</f>
        <v xml:space="preserve"> law firm</v>
      </c>
      <c r="I441" t="s">
        <v>4806</v>
      </c>
    </row>
    <row r="442" spans="1:9">
      <c r="A442">
        <v>293</v>
      </c>
      <c r="B442">
        <v>1051</v>
      </c>
      <c r="C442" t="s">
        <v>3015</v>
      </c>
      <c r="D442">
        <v>300</v>
      </c>
      <c r="E442" t="s">
        <v>4463</v>
      </c>
      <c r="F442" t="str">
        <f>VLOOKUP(B442,judges!A:B,2,FALSE)</f>
        <v>henry j hall</v>
      </c>
      <c r="G442" t="str">
        <f>VLOOKUP(A442,donors!A:C,2,FALSE)</f>
        <v xml:space="preserve"> allenmatkinsleckgamblemallory&amp;natsis</v>
      </c>
      <c r="H442" t="str">
        <f>VLOOKUP($A442,donors!$A:$C,3,FALSE)</f>
        <v xml:space="preserve"> law firm</v>
      </c>
      <c r="I442" t="s">
        <v>4806</v>
      </c>
    </row>
    <row r="443" spans="1:9">
      <c r="A443">
        <v>294</v>
      </c>
      <c r="B443">
        <v>1051</v>
      </c>
      <c r="C443" s="1">
        <v>39416</v>
      </c>
      <c r="D443">
        <v>80</v>
      </c>
      <c r="E443" t="s">
        <v>4187</v>
      </c>
      <c r="F443" t="str">
        <f>VLOOKUP(B443,judges!A:B,2,FALSE)</f>
        <v>henry j hall</v>
      </c>
      <c r="G443" t="str">
        <f>VLOOKUP(A443,donors!A:C,2,FALSE)</f>
        <v xml:space="preserve"> richard zacky c/o allen matkins et. al</v>
      </c>
      <c r="H443" t="str">
        <f>VLOOKUP($A443,donors!$A:$C,3,FALSE)</f>
        <v xml:space="preserve"> farming</v>
      </c>
      <c r="I443" t="s">
        <v>4806</v>
      </c>
    </row>
    <row r="444" spans="1:9">
      <c r="A444">
        <v>295</v>
      </c>
      <c r="B444">
        <v>1051</v>
      </c>
      <c r="C444" s="1">
        <v>39428</v>
      </c>
      <c r="D444">
        <v>100</v>
      </c>
      <c r="E444" t="s">
        <v>4464</v>
      </c>
      <c r="F444" t="str">
        <f>VLOOKUP(B444,judges!A:B,2,FALSE)</f>
        <v>henry j hall</v>
      </c>
      <c r="G444" t="str">
        <f>VLOOKUP(A444,donors!A:C,2,FALSE)</f>
        <v xml:space="preserve"> jonathan club c/o allen matkins et. al.</v>
      </c>
      <c r="H444" t="str">
        <f>VLOOKUP($A444,donors!$A:$C,3,FALSE)</f>
        <v xml:space="preserve"> private club</v>
      </c>
      <c r="I444" t="s">
        <v>4806</v>
      </c>
    </row>
    <row r="445" spans="1:9">
      <c r="A445">
        <v>296</v>
      </c>
      <c r="B445">
        <v>1051</v>
      </c>
      <c r="C445" s="1">
        <v>39175</v>
      </c>
      <c r="D445">
        <v>150</v>
      </c>
      <c r="E445" t="s">
        <v>4187</v>
      </c>
      <c r="F445" t="str">
        <f>VLOOKUP(B445,judges!A:B,2,FALSE)</f>
        <v>henry j hall</v>
      </c>
      <c r="G445" t="str">
        <f>VLOOKUP(A445,donors!A:C,2,FALSE)</f>
        <v xml:space="preserve"> dickinson college</v>
      </c>
      <c r="H445" t="str">
        <f>VLOOKUP($A445,donors!$A:$C,3,FALSE)</f>
        <v xml:space="preserve"> college</v>
      </c>
      <c r="I445" t="s">
        <v>4806</v>
      </c>
    </row>
    <row r="446" spans="1:9">
      <c r="A446">
        <v>297</v>
      </c>
      <c r="B446">
        <v>1055</v>
      </c>
      <c r="C446" s="1">
        <v>39435</v>
      </c>
      <c r="D446">
        <v>75</v>
      </c>
      <c r="E446" t="s">
        <v>4465</v>
      </c>
      <c r="F446" t="str">
        <f>VLOOKUP(B446,judges!A:B,2,FALSE)</f>
        <v>james kenneth hahn</v>
      </c>
      <c r="G446" t="str">
        <f>VLOOKUP(A446,donors!A:C,2,FALSE)</f>
        <v xml:space="preserve"> delson investment company</v>
      </c>
      <c r="H446" t="str">
        <f>VLOOKUP($A446,donors!$A:$C,3,FALSE)</f>
        <v xml:space="preserve"> real property investment and management</v>
      </c>
      <c r="I446" t="s">
        <v>4807</v>
      </c>
    </row>
    <row r="447" spans="1:9">
      <c r="A447">
        <v>298</v>
      </c>
      <c r="B447">
        <v>1060</v>
      </c>
      <c r="C447" s="1">
        <v>39257</v>
      </c>
      <c r="D447">
        <v>980</v>
      </c>
      <c r="E447" t="s">
        <v>4466</v>
      </c>
      <c r="F447" t="str">
        <f>VLOOKUP(B447,judges!A:B,2,FALSE)</f>
        <v>helena r. gweon</v>
      </c>
      <c r="G447" t="str">
        <f>VLOOKUP(A447,donors!A:C,2,FALSE)</f>
        <v xml:space="preserve"> sharif jewelers</v>
      </c>
      <c r="H447" t="str">
        <f>VLOOKUP($A447,donors!$A:$C,3,FALSE)</f>
        <v xml:space="preserve"> --blank--</v>
      </c>
      <c r="I447" t="s">
        <v>4808</v>
      </c>
    </row>
    <row r="448" spans="1:9">
      <c r="A448">
        <v>299</v>
      </c>
      <c r="B448">
        <v>1062</v>
      </c>
      <c r="C448" s="1">
        <v>39345</v>
      </c>
      <c r="D448">
        <v>189</v>
      </c>
      <c r="E448" t="s">
        <v>4467</v>
      </c>
      <c r="F448" t="str">
        <f>VLOOKUP(B448,judges!A:B,2,FALSE)</f>
        <v>denine jeness guy</v>
      </c>
      <c r="G448" t="str">
        <f>VLOOKUP(A448,donors!A:C,2,FALSE)</f>
        <v xml:space="preserve"> joseph werner aptos ca</v>
      </c>
      <c r="H448" t="str">
        <f>VLOOKUP($A448,donors!$A:$C,3,FALSE)</f>
        <v xml:space="preserve"> social</v>
      </c>
      <c r="I448" t="s">
        <v>4809</v>
      </c>
    </row>
    <row r="449" spans="1:9">
      <c r="A449">
        <v>300</v>
      </c>
      <c r="B449">
        <v>1071</v>
      </c>
      <c r="C449" t="s">
        <v>4181</v>
      </c>
      <c r="D449">
        <v>200</v>
      </c>
      <c r="E449" t="s">
        <v>4468</v>
      </c>
      <c r="F449" t="str">
        <f>VLOOKUP(B449,judges!A:B,2,FALSE)</f>
        <v>michael stuart groch</v>
      </c>
      <c r="G449" t="str">
        <f>VLOOKUP(A449,donors!A:C,2,FALSE)</f>
        <v xml:space="preserve"> valerie tanney &amp; michael cardenas</v>
      </c>
      <c r="H449" t="str">
        <f>VLOOKUP($A449,donors!$A:$C,3,FALSE)</f>
        <v xml:space="preserve"> friends</v>
      </c>
      <c r="I449" t="s">
        <v>4810</v>
      </c>
    </row>
    <row r="450" spans="1:9">
      <c r="A450">
        <v>300</v>
      </c>
      <c r="B450">
        <v>1071</v>
      </c>
      <c r="C450" t="s">
        <v>3016</v>
      </c>
      <c r="D450">
        <v>175</v>
      </c>
      <c r="E450" t="s">
        <v>4469</v>
      </c>
      <c r="F450" t="str">
        <f>VLOOKUP(B450,judges!A:B,2,FALSE)</f>
        <v>michael stuart groch</v>
      </c>
      <c r="G450" t="str">
        <f>VLOOKUP(A450,donors!A:C,2,FALSE)</f>
        <v xml:space="preserve"> valerie tanney &amp; michael cardenas</v>
      </c>
      <c r="H450" t="str">
        <f>VLOOKUP($A450,donors!$A:$C,3,FALSE)</f>
        <v xml:space="preserve"> friends</v>
      </c>
      <c r="I450" t="s">
        <v>4810</v>
      </c>
    </row>
    <row r="451" spans="1:9">
      <c r="A451">
        <v>301</v>
      </c>
      <c r="B451">
        <v>1071</v>
      </c>
      <c r="C451" t="s">
        <v>3017</v>
      </c>
      <c r="D451">
        <v>125</v>
      </c>
      <c r="E451" t="s">
        <v>4254</v>
      </c>
      <c r="F451" t="str">
        <f>VLOOKUP(B451,judges!A:B,2,FALSE)</f>
        <v>michael stuart groch</v>
      </c>
      <c r="G451" t="str">
        <f>VLOOKUP(A451,donors!A:C,2,FALSE)</f>
        <v xml:space="preserve"> bill silva</v>
      </c>
      <c r="H451" t="str">
        <f>VLOOKUP($A451,donors!$A:$C,3,FALSE)</f>
        <v xml:space="preserve"> talent manager</v>
      </c>
      <c r="I451" t="s">
        <v>4810</v>
      </c>
    </row>
    <row r="452" spans="1:9">
      <c r="A452">
        <v>302</v>
      </c>
      <c r="B452">
        <v>1074</v>
      </c>
      <c r="C452" t="s">
        <v>3017</v>
      </c>
      <c r="D452">
        <v>100</v>
      </c>
      <c r="E452" t="s">
        <v>4470</v>
      </c>
      <c r="F452" t="str">
        <f>VLOOKUP(B452,judges!A:B,2,FALSE)</f>
        <v>evelio martin grillo</v>
      </c>
      <c r="G452" t="str">
        <f>VLOOKUP(A452,donors!A:C,2,FALSE)</f>
        <v xml:space="preserve"> alameda coutra costa trial lawyers</v>
      </c>
      <c r="H452" t="str">
        <f>VLOOKUP($A452,donors!$A:$C,3,FALSE)</f>
        <v xml:space="preserve"> --blank--</v>
      </c>
      <c r="I452" t="s">
        <v>4811</v>
      </c>
    </row>
    <row r="453" spans="1:9">
      <c r="A453">
        <v>13</v>
      </c>
      <c r="B453">
        <v>1083</v>
      </c>
      <c r="C453" s="1">
        <v>39093</v>
      </c>
      <c r="D453">
        <v>65</v>
      </c>
      <c r="E453" t="s">
        <v>4187</v>
      </c>
      <c r="F453" t="str">
        <f>VLOOKUP(B453,judges!A:B,2,FALSE)</f>
        <v>john leo grandsaert</v>
      </c>
      <c r="G453" t="str">
        <f>VLOOKUP(A453,donors!A:C,2,FALSE)</f>
        <v xml:space="preserve"> san mateo county bar association</v>
      </c>
      <c r="H453" t="str">
        <f>VLOOKUP($A453,donors!$A:$C,3,FALSE)</f>
        <v xml:space="preserve"> attorney professional association</v>
      </c>
      <c r="I453" t="s">
        <v>4812</v>
      </c>
    </row>
    <row r="454" spans="1:9">
      <c r="A454">
        <v>13</v>
      </c>
      <c r="B454">
        <v>1083</v>
      </c>
      <c r="C454" t="s">
        <v>2992</v>
      </c>
      <c r="D454">
        <v>65</v>
      </c>
      <c r="E454" t="s">
        <v>4187</v>
      </c>
      <c r="F454" t="str">
        <f>VLOOKUP(B454,judges!A:B,2,FALSE)</f>
        <v>john leo grandsaert</v>
      </c>
      <c r="G454" t="str">
        <f>VLOOKUP(A454,donors!A:C,2,FALSE)</f>
        <v xml:space="preserve"> san mateo county bar association</v>
      </c>
      <c r="H454" t="str">
        <f>VLOOKUP($A454,donors!$A:$C,3,FALSE)</f>
        <v xml:space="preserve"> attorney professional association</v>
      </c>
      <c r="I454" t="s">
        <v>4812</v>
      </c>
    </row>
    <row r="455" spans="1:9">
      <c r="A455">
        <v>13</v>
      </c>
      <c r="B455">
        <v>1083</v>
      </c>
      <c r="C455" s="1">
        <v>39351</v>
      </c>
      <c r="D455">
        <v>65</v>
      </c>
      <c r="E455" t="s">
        <v>4217</v>
      </c>
      <c r="F455" t="str">
        <f>VLOOKUP(B455,judges!A:B,2,FALSE)</f>
        <v>john leo grandsaert</v>
      </c>
      <c r="G455" t="str">
        <f>VLOOKUP(A455,donors!A:C,2,FALSE)</f>
        <v xml:space="preserve"> san mateo county bar association</v>
      </c>
      <c r="H455" t="str">
        <f>VLOOKUP($A455,donors!$A:$C,3,FALSE)</f>
        <v xml:space="preserve"> attorney professional association</v>
      </c>
      <c r="I455" t="s">
        <v>4812</v>
      </c>
    </row>
    <row r="456" spans="1:9">
      <c r="A456">
        <v>13</v>
      </c>
      <c r="B456">
        <v>1083</v>
      </c>
      <c r="C456" s="1">
        <v>39421</v>
      </c>
      <c r="D456">
        <v>45</v>
      </c>
      <c r="E456" t="s">
        <v>4217</v>
      </c>
      <c r="F456" t="str">
        <f>VLOOKUP(B456,judges!A:B,2,FALSE)</f>
        <v>john leo grandsaert</v>
      </c>
      <c r="G456" t="str">
        <f>VLOOKUP(A456,donors!A:C,2,FALSE)</f>
        <v xml:space="preserve"> san mateo county bar association</v>
      </c>
      <c r="H456" t="str">
        <f>VLOOKUP($A456,donors!$A:$C,3,FALSE)</f>
        <v xml:space="preserve"> attorney professional association</v>
      </c>
      <c r="I456" t="s">
        <v>4812</v>
      </c>
    </row>
    <row r="457" spans="1:9">
      <c r="A457">
        <v>303</v>
      </c>
      <c r="B457">
        <v>1083</v>
      </c>
      <c r="C457" s="1">
        <v>39320</v>
      </c>
      <c r="D457">
        <v>100</v>
      </c>
      <c r="E457" t="s">
        <v>4471</v>
      </c>
      <c r="F457" t="str">
        <f>VLOOKUP(B457,judges!A:B,2,FALSE)</f>
        <v>john leo grandsaert</v>
      </c>
      <c r="G457" t="str">
        <f>VLOOKUP(A457,donors!A:C,2,FALSE)</f>
        <v xml:space="preserve"> san francisco 49'ers</v>
      </c>
      <c r="H457" t="str">
        <f>VLOOKUP($A457,donors!$A:$C,3,FALSE)</f>
        <v xml:space="preserve"> pro football</v>
      </c>
      <c r="I457" t="s">
        <v>4812</v>
      </c>
    </row>
    <row r="458" spans="1:9">
      <c r="A458">
        <v>29</v>
      </c>
      <c r="B458">
        <v>1083</v>
      </c>
      <c r="C458" s="1">
        <v>39388</v>
      </c>
      <c r="D458">
        <v>90</v>
      </c>
      <c r="E458" t="s">
        <v>4187</v>
      </c>
      <c r="F458" t="str">
        <f>VLOOKUP(B458,judges!A:B,2,FALSE)</f>
        <v>john leo grandsaert</v>
      </c>
      <c r="G458" t="str">
        <f>VLOOKUP(A458,donors!A:C,2,FALSE)</f>
        <v xml:space="preserve"> san mateo county trial lawyers association</v>
      </c>
      <c r="H458" t="str">
        <f>VLOOKUP($A458,donors!$A:$C,3,FALSE)</f>
        <v xml:space="preserve"> judges' night</v>
      </c>
      <c r="I458" t="s">
        <v>4812</v>
      </c>
    </row>
    <row r="459" spans="1:9">
      <c r="A459">
        <v>304</v>
      </c>
      <c r="B459">
        <v>1084</v>
      </c>
      <c r="C459" s="2">
        <v>39762</v>
      </c>
      <c r="D459">
        <v>50</v>
      </c>
      <c r="E459" t="s">
        <v>4472</v>
      </c>
      <c r="F459" t="str">
        <f>VLOOKUP(B459,judges!A:B,2,FALSE)</f>
        <v>dianna joy gould-saltman</v>
      </c>
      <c r="G459" t="str">
        <f>VLOOKUP(A459,donors!A:C,2,FALSE)</f>
        <v xml:space="preserve"> visiting chinese judge's delegation</v>
      </c>
      <c r="H459" t="str">
        <f>VLOOKUP($A459,donors!$A:$C,3,FALSE)</f>
        <v xml:space="preserve"> judiciary</v>
      </c>
      <c r="I459" t="s">
        <v>4813</v>
      </c>
    </row>
    <row r="460" spans="1:9">
      <c r="A460">
        <v>14</v>
      </c>
      <c r="B460">
        <v>1088</v>
      </c>
      <c r="C460" s="1">
        <v>39100</v>
      </c>
      <c r="D460">
        <v>250</v>
      </c>
      <c r="E460" t="s">
        <v>4473</v>
      </c>
      <c r="F460" t="str">
        <f>VLOOKUP(B460,judges!A:B,2,FALSE)</f>
        <v xml:space="preserve">  gordon scott m.</v>
      </c>
      <c r="G460" t="str">
        <f>VLOOKUP(A460,donors!A:C,2,FALSE)</f>
        <v xml:space="preserve"> american academy of matrimonial lawyers</v>
      </c>
      <c r="H460" t="str">
        <f>VLOOKUP($A460,donors!$A:$C,3,FALSE)</f>
        <v xml:space="preserve"> professional association</v>
      </c>
      <c r="I460" t="s">
        <v>4814</v>
      </c>
    </row>
    <row r="461" spans="1:9">
      <c r="A461">
        <v>305</v>
      </c>
      <c r="B461">
        <v>1089</v>
      </c>
      <c r="C461" s="1">
        <v>39282</v>
      </c>
      <c r="D461">
        <v>50</v>
      </c>
      <c r="E461" t="s">
        <v>4474</v>
      </c>
      <c r="F461" t="str">
        <f>VLOOKUP(B461,judges!A:B,2,FALSE)</f>
        <v>beatriz maria garcia gordon</v>
      </c>
      <c r="G461" t="str">
        <f>VLOOKUP(A461,donors!A:C,2,FALSE)</f>
        <v xml:space="preserve"> orange county bar association/family law section</v>
      </c>
      <c r="H461" t="str">
        <f>VLOOKUP($A461,donors!$A:$C,3,FALSE)</f>
        <v xml:space="preserve"> professional association</v>
      </c>
      <c r="I461" t="s">
        <v>4815</v>
      </c>
    </row>
    <row r="462" spans="1:9">
      <c r="A462">
        <v>305</v>
      </c>
      <c r="B462">
        <v>1089</v>
      </c>
      <c r="C462" s="1">
        <v>39345</v>
      </c>
      <c r="D462">
        <v>50</v>
      </c>
      <c r="E462" t="s">
        <v>4474</v>
      </c>
      <c r="F462" t="str">
        <f>VLOOKUP(B462,judges!A:B,2,FALSE)</f>
        <v>beatriz maria garcia gordon</v>
      </c>
      <c r="G462" t="str">
        <f>VLOOKUP(A462,donors!A:C,2,FALSE)</f>
        <v xml:space="preserve"> orange county bar association/family law section</v>
      </c>
      <c r="H462" t="str">
        <f>VLOOKUP($A462,donors!$A:$C,3,FALSE)</f>
        <v xml:space="preserve"> professional association</v>
      </c>
      <c r="I462" t="s">
        <v>4815</v>
      </c>
    </row>
    <row r="463" spans="1:9">
      <c r="A463">
        <v>306</v>
      </c>
      <c r="B463">
        <v>1089</v>
      </c>
      <c r="C463" s="1">
        <v>39401</v>
      </c>
      <c r="D463">
        <v>50</v>
      </c>
      <c r="E463" t="s">
        <v>4474</v>
      </c>
      <c r="F463" t="str">
        <f>VLOOKUP(B463,judges!A:B,2,FALSE)</f>
        <v>beatriz maria garcia gordon</v>
      </c>
      <c r="G463" t="str">
        <f>VLOOKUP(A463,donors!A:C,2,FALSE)</f>
        <v xml:space="preserve"> orange county bar association/ family law section</v>
      </c>
      <c r="H463" t="str">
        <f>VLOOKUP($A463,donors!$A:$C,3,FALSE)</f>
        <v xml:space="preserve"> professional association</v>
      </c>
      <c r="I463" t="s">
        <v>4815</v>
      </c>
    </row>
    <row r="464" spans="1:9">
      <c r="A464">
        <v>63</v>
      </c>
      <c r="B464">
        <v>1106</v>
      </c>
      <c r="C464" s="1">
        <v>39099</v>
      </c>
      <c r="D464">
        <v>250</v>
      </c>
      <c r="E464" t="s">
        <v>4475</v>
      </c>
      <c r="F464" t="str">
        <f>VLOOKUP(B464,judges!A:B,2,FALSE)</f>
        <v>robert alan glusman</v>
      </c>
      <c r="G464" t="str">
        <f>VLOOKUP(A464,donors!A:C,2,FALSE)</f>
        <v xml:space="preserve"> tate snyder kimsey</v>
      </c>
      <c r="H464" t="str">
        <f>VLOOKUP($A464,donors!$A:$C,3,FALSE)</f>
        <v xml:space="preserve"> architect</v>
      </c>
      <c r="I464" t="s">
        <v>4816</v>
      </c>
    </row>
    <row r="465" spans="1:9">
      <c r="A465">
        <v>307</v>
      </c>
      <c r="B465">
        <v>1124</v>
      </c>
      <c r="C465" s="1">
        <v>39348</v>
      </c>
      <c r="D465">
        <v>300</v>
      </c>
      <c r="E465" t="s">
        <v>4476</v>
      </c>
      <c r="F465" t="str">
        <f>VLOOKUP(B465,judges!A:B,2,FALSE)</f>
        <v>delbert c. gee</v>
      </c>
      <c r="G465" t="str">
        <f>VLOOKUP(A465,donors!A:C,2,FALSE)</f>
        <v xml:space="preserve"> dianne yamashiro</v>
      </c>
      <c r="H465" t="str">
        <f>VLOOKUP($A465,donors!$A:$C,3,FALSE)</f>
        <v xml:space="preserve"> --blank--</v>
      </c>
      <c r="I465" t="s">
        <v>4817</v>
      </c>
    </row>
    <row r="466" spans="1:9">
      <c r="A466">
        <v>308</v>
      </c>
      <c r="B466">
        <v>1129</v>
      </c>
      <c r="C466" s="1">
        <v>39417</v>
      </c>
      <c r="D466">
        <v>150</v>
      </c>
      <c r="E466" t="s">
        <v>4477</v>
      </c>
      <c r="F466" t="str">
        <f>VLOOKUP(B466,judges!A:B,2,FALSE)</f>
        <v>thomas steven garza</v>
      </c>
      <c r="G466" t="str">
        <f>VLOOKUP(A466,donors!A:C,2,FALSE)</f>
        <v xml:space="preserve"> dan jimenez</v>
      </c>
      <c r="H466" t="str">
        <f>VLOOKUP($A466,donors!$A:$C,3,FALSE)</f>
        <v xml:space="preserve"> national orange show</v>
      </c>
      <c r="I466" t="s">
        <v>4818</v>
      </c>
    </row>
    <row r="467" spans="1:9">
      <c r="A467">
        <v>308</v>
      </c>
      <c r="B467">
        <v>1130</v>
      </c>
      <c r="C467" s="1">
        <v>39417</v>
      </c>
      <c r="D467">
        <v>150</v>
      </c>
      <c r="E467" t="s">
        <v>4478</v>
      </c>
      <c r="F467" t="str">
        <f>VLOOKUP(B467,judges!A:B,2,FALSE)</f>
        <v>donna gunnell garza</v>
      </c>
      <c r="G467" t="str">
        <f>VLOOKUP(A467,donors!A:C,2,FALSE)</f>
        <v xml:space="preserve"> dan jimenez</v>
      </c>
      <c r="H467" t="str">
        <f>VLOOKUP($A467,donors!$A:$C,3,FALSE)</f>
        <v xml:space="preserve"> national orange show</v>
      </c>
      <c r="I467" t="s">
        <v>4819</v>
      </c>
    </row>
    <row r="468" spans="1:9">
      <c r="A468">
        <v>309</v>
      </c>
      <c r="B468">
        <v>1150</v>
      </c>
      <c r="C468" s="1">
        <v>39424</v>
      </c>
      <c r="D468">
        <v>150</v>
      </c>
      <c r="E468" t="s">
        <v>4479</v>
      </c>
      <c r="F468" t="str">
        <f>VLOOKUP(B468,judges!A:B,2,FALSE)</f>
        <v>richard david fybel</v>
      </c>
      <c r="G468" t="str">
        <f>VLOOKUP(A468,donors!A:C,2,FALSE)</f>
        <v xml:space="preserve"> robinson calcagnie robinson shapiro davisinc.</v>
      </c>
      <c r="H468" t="str">
        <f>VLOOKUP($A468,donors!$A:$C,3,FALSE)</f>
        <v xml:space="preserve"> law firm</v>
      </c>
      <c r="I468" t="s">
        <v>4820</v>
      </c>
    </row>
    <row r="469" spans="1:9">
      <c r="A469">
        <v>310</v>
      </c>
      <c r="B469">
        <v>1150</v>
      </c>
      <c r="C469" s="1">
        <v>39405</v>
      </c>
      <c r="D469">
        <v>100</v>
      </c>
      <c r="E469" t="s">
        <v>4480</v>
      </c>
      <c r="F469" t="str">
        <f>VLOOKUP(B469,judges!A:B,2,FALSE)</f>
        <v>richard david fybel</v>
      </c>
      <c r="G469" t="str">
        <f>VLOOKUP(A469,donors!A:C,2,FALSE)</f>
        <v xml:space="preserve"> hildee brahm</v>
      </c>
      <c r="H469" t="str">
        <f>VLOOKUP($A469,donors!$A:$C,3,FALSE)</f>
        <v xml:space="preserve"> personal friend</v>
      </c>
      <c r="I469" t="s">
        <v>4820</v>
      </c>
    </row>
    <row r="470" spans="1:9">
      <c r="A470">
        <v>311</v>
      </c>
      <c r="B470">
        <v>1150</v>
      </c>
      <c r="C470" s="1">
        <v>39394</v>
      </c>
      <c r="D470">
        <v>85</v>
      </c>
      <c r="E470" t="s">
        <v>4187</v>
      </c>
      <c r="F470" t="str">
        <f>VLOOKUP(B470,judges!A:B,2,FALSE)</f>
        <v>richard david fybel</v>
      </c>
      <c r="G470" t="str">
        <f>VLOOKUP(A470,donors!A:C,2,FALSE)</f>
        <v xml:space="preserve"> november 10th assn. informal org. of u.s. marines</v>
      </c>
      <c r="H470" t="str">
        <f>VLOOKUP($A470,donors!$A:$C,3,FALSE)</f>
        <v xml:space="preserve"> charitable organization</v>
      </c>
      <c r="I470" t="s">
        <v>4820</v>
      </c>
    </row>
    <row r="471" spans="1:9">
      <c r="A471">
        <v>312</v>
      </c>
      <c r="B471">
        <v>1160</v>
      </c>
      <c r="C471" s="1">
        <v>39130</v>
      </c>
      <c r="D471">
        <v>75</v>
      </c>
      <c r="E471" t="s">
        <v>4187</v>
      </c>
      <c r="F471" t="str">
        <f>VLOOKUP(B471,judges!A:B,2,FALSE)</f>
        <v>beth labson freeman</v>
      </c>
      <c r="G471" t="str">
        <f>VLOOKUP(A471,donors!A:C,2,FALSE)</f>
        <v xml:space="preserve"> association of business trial lawyer</v>
      </c>
      <c r="H471" t="str">
        <f>VLOOKUP($A471,donors!$A:$C,3,FALSE)</f>
        <v xml:space="preserve"> bar associater</v>
      </c>
      <c r="I471" t="s">
        <v>4821</v>
      </c>
    </row>
    <row r="472" spans="1:9">
      <c r="A472">
        <v>88</v>
      </c>
      <c r="B472">
        <v>1160</v>
      </c>
      <c r="C472" s="1">
        <v>39093</v>
      </c>
      <c r="D472">
        <v>65</v>
      </c>
      <c r="E472" t="s">
        <v>4481</v>
      </c>
      <c r="F472" t="str">
        <f>VLOOKUP(B472,judges!A:B,2,FALSE)</f>
        <v>beth labson freeman</v>
      </c>
      <c r="G472" t="str">
        <f>VLOOKUP(A472,donors!A:C,2,FALSE)</f>
        <v xml:space="preserve"> san mateo county bar assoc</v>
      </c>
      <c r="H472" t="str">
        <f>VLOOKUP($A472,donors!$A:$C,3,FALSE)</f>
        <v xml:space="preserve"> non profit</v>
      </c>
      <c r="I472" t="s">
        <v>4822</v>
      </c>
    </row>
    <row r="473" spans="1:9">
      <c r="A473">
        <v>88</v>
      </c>
      <c r="B473">
        <v>1160</v>
      </c>
      <c r="C473" s="1">
        <v>39102</v>
      </c>
      <c r="D473">
        <v>45</v>
      </c>
      <c r="E473" t="s">
        <v>4482</v>
      </c>
      <c r="F473" t="str">
        <f>VLOOKUP(B473,judges!A:B,2,FALSE)</f>
        <v>beth labson freeman</v>
      </c>
      <c r="G473" t="str">
        <f>VLOOKUP(A473,donors!A:C,2,FALSE)</f>
        <v xml:space="preserve"> san mateo county bar assoc</v>
      </c>
      <c r="H473" t="str">
        <f>VLOOKUP($A473,donors!$A:$C,3,FALSE)</f>
        <v xml:space="preserve"> non profit</v>
      </c>
      <c r="I473" t="s">
        <v>4822</v>
      </c>
    </row>
    <row r="474" spans="1:9">
      <c r="A474">
        <v>88</v>
      </c>
      <c r="B474">
        <v>1160</v>
      </c>
      <c r="C474" s="1">
        <v>39211</v>
      </c>
      <c r="D474">
        <v>45</v>
      </c>
      <c r="E474" t="s">
        <v>4483</v>
      </c>
      <c r="F474" t="str">
        <f>VLOOKUP(B474,judges!A:B,2,FALSE)</f>
        <v>beth labson freeman</v>
      </c>
      <c r="G474" t="str">
        <f>VLOOKUP(A474,donors!A:C,2,FALSE)</f>
        <v xml:space="preserve"> san mateo county bar assoc</v>
      </c>
      <c r="H474" t="str">
        <f>VLOOKUP($A474,donors!$A:$C,3,FALSE)</f>
        <v xml:space="preserve"> non profit</v>
      </c>
      <c r="I474" t="s">
        <v>4822</v>
      </c>
    </row>
    <row r="475" spans="1:9">
      <c r="A475">
        <v>313</v>
      </c>
      <c r="B475">
        <v>1160</v>
      </c>
      <c r="C475" s="1">
        <v>39171</v>
      </c>
      <c r="D475">
        <v>50</v>
      </c>
      <c r="E475" t="s">
        <v>4484</v>
      </c>
      <c r="F475" t="str">
        <f>VLOOKUP(B475,judges!A:B,2,FALSE)</f>
        <v>beth labson freeman</v>
      </c>
      <c r="G475" t="str">
        <f>VLOOKUP(A475,donors!A:C,2,FALSE)</f>
        <v xml:space="preserve"> sf defense attorneys</v>
      </c>
      <c r="H475" t="str">
        <f>VLOOKUP($A475,donors!$A:$C,3,FALSE)</f>
        <v xml:space="preserve"> bar association</v>
      </c>
      <c r="I475" t="s">
        <v>4822</v>
      </c>
    </row>
    <row r="476" spans="1:9">
      <c r="A476">
        <v>88</v>
      </c>
      <c r="B476">
        <v>1160</v>
      </c>
      <c r="C476" s="1">
        <v>39241</v>
      </c>
      <c r="D476">
        <v>65</v>
      </c>
      <c r="E476" t="s">
        <v>4485</v>
      </c>
      <c r="F476" t="str">
        <f>VLOOKUP(B476,judges!A:B,2,FALSE)</f>
        <v>beth labson freeman</v>
      </c>
      <c r="G476" t="str">
        <f>VLOOKUP(A476,donors!A:C,2,FALSE)</f>
        <v xml:space="preserve"> san mateo county bar assoc</v>
      </c>
      <c r="H476" t="str">
        <f>VLOOKUP($A476,donors!$A:$C,3,FALSE)</f>
        <v xml:space="preserve"> non profit</v>
      </c>
      <c r="I476" t="s">
        <v>4822</v>
      </c>
    </row>
    <row r="477" spans="1:9">
      <c r="A477">
        <v>88</v>
      </c>
      <c r="B477">
        <v>1160</v>
      </c>
      <c r="C477" s="1">
        <v>39351</v>
      </c>
      <c r="D477">
        <v>45</v>
      </c>
      <c r="E477" t="s">
        <v>4486</v>
      </c>
      <c r="F477" t="str">
        <f>VLOOKUP(B477,judges!A:B,2,FALSE)</f>
        <v>beth labson freeman</v>
      </c>
      <c r="G477" t="str">
        <f>VLOOKUP(A477,donors!A:C,2,FALSE)</f>
        <v xml:space="preserve"> san mateo county bar assoc</v>
      </c>
      <c r="H477" t="str">
        <f>VLOOKUP($A477,donors!$A:$C,3,FALSE)</f>
        <v xml:space="preserve"> non profit</v>
      </c>
      <c r="I477" t="s">
        <v>4822</v>
      </c>
    </row>
    <row r="478" spans="1:9">
      <c r="A478">
        <v>88</v>
      </c>
      <c r="B478">
        <v>1160</v>
      </c>
      <c r="C478" s="1">
        <v>39344</v>
      </c>
      <c r="D478">
        <v>45</v>
      </c>
      <c r="E478" t="s">
        <v>4487</v>
      </c>
      <c r="F478" t="str">
        <f>VLOOKUP(B478,judges!A:B,2,FALSE)</f>
        <v>beth labson freeman</v>
      </c>
      <c r="G478" t="str">
        <f>VLOOKUP(A478,donors!A:C,2,FALSE)</f>
        <v xml:space="preserve"> san mateo county bar assoc</v>
      </c>
      <c r="H478" t="str">
        <f>VLOOKUP($A478,donors!$A:$C,3,FALSE)</f>
        <v xml:space="preserve"> non profit</v>
      </c>
      <c r="I478" t="s">
        <v>4822</v>
      </c>
    </row>
    <row r="479" spans="1:9">
      <c r="A479">
        <v>314</v>
      </c>
      <c r="B479">
        <v>1160</v>
      </c>
      <c r="C479" s="1">
        <v>39183</v>
      </c>
      <c r="D479">
        <v>40</v>
      </c>
      <c r="E479" t="s">
        <v>4488</v>
      </c>
      <c r="F479" t="str">
        <f>VLOOKUP(B479,judges!A:B,2,FALSE)</f>
        <v>beth labson freeman</v>
      </c>
      <c r="G479" t="str">
        <f>VLOOKUP(A479,donors!A:C,2,FALSE)</f>
        <v xml:space="preserve"> kiwanis club of san mateo</v>
      </c>
      <c r="H479" t="str">
        <f>VLOOKUP($A479,donors!$A:$C,3,FALSE)</f>
        <v xml:space="preserve"> public service 501(3)</v>
      </c>
      <c r="I479" t="s">
        <v>4822</v>
      </c>
    </row>
    <row r="480" spans="1:9">
      <c r="A480">
        <v>13</v>
      </c>
      <c r="B480">
        <v>1160</v>
      </c>
      <c r="C480" s="1">
        <v>39421</v>
      </c>
      <c r="D480">
        <v>45</v>
      </c>
      <c r="E480" t="s">
        <v>4489</v>
      </c>
      <c r="F480" t="str">
        <f>VLOOKUP(B480,judges!A:B,2,FALSE)</f>
        <v>beth labson freeman</v>
      </c>
      <c r="G480" t="str">
        <f>VLOOKUP(A480,donors!A:C,2,FALSE)</f>
        <v xml:space="preserve"> san mateo county bar association</v>
      </c>
      <c r="H480" t="str">
        <f>VLOOKUP($A480,donors!$A:$C,3,FALSE)</f>
        <v xml:space="preserve"> attorney professional association</v>
      </c>
      <c r="I480" t="s">
        <v>4822</v>
      </c>
    </row>
    <row r="481" spans="1:9">
      <c r="A481">
        <v>13</v>
      </c>
      <c r="B481">
        <v>1160</v>
      </c>
      <c r="C481" s="1">
        <v>39431</v>
      </c>
      <c r="D481">
        <v>45</v>
      </c>
      <c r="E481" t="s">
        <v>4490</v>
      </c>
      <c r="F481" t="str">
        <f>VLOOKUP(B481,judges!A:B,2,FALSE)</f>
        <v>beth labson freeman</v>
      </c>
      <c r="G481" t="str">
        <f>VLOOKUP(A481,donors!A:C,2,FALSE)</f>
        <v xml:space="preserve"> san mateo county bar association</v>
      </c>
      <c r="H481" t="str">
        <f>VLOOKUP($A481,donors!$A:$C,3,FALSE)</f>
        <v xml:space="preserve"> attorney professional association</v>
      </c>
      <c r="I481" t="s">
        <v>4822</v>
      </c>
    </row>
    <row r="482" spans="1:9">
      <c r="A482">
        <v>44</v>
      </c>
      <c r="B482">
        <v>1160</v>
      </c>
      <c r="C482" s="1">
        <v>39274</v>
      </c>
      <c r="D482">
        <v>15</v>
      </c>
      <c r="E482" t="s">
        <v>4491</v>
      </c>
      <c r="F482" t="str">
        <f>VLOOKUP(B482,judges!A:B,2,FALSE)</f>
        <v>beth labson freeman</v>
      </c>
      <c r="G482" t="str">
        <f>VLOOKUP(A482,donors!A:C,2,FALSE)</f>
        <v xml:space="preserve"> san mateo county trial lawyers</v>
      </c>
      <c r="H482" t="str">
        <f>VLOOKUP($A482,donors!$A:$C,3,FALSE)</f>
        <v xml:space="preserve"> association of trial lawyers</v>
      </c>
      <c r="I482" t="s">
        <v>4822</v>
      </c>
    </row>
    <row r="483" spans="1:9">
      <c r="A483">
        <v>44</v>
      </c>
      <c r="B483">
        <v>1160</v>
      </c>
      <c r="C483" s="1">
        <v>39388</v>
      </c>
      <c r="D483">
        <v>85</v>
      </c>
      <c r="E483" t="s">
        <v>4492</v>
      </c>
      <c r="F483" t="str">
        <f>VLOOKUP(B483,judges!A:B,2,FALSE)</f>
        <v>beth labson freeman</v>
      </c>
      <c r="G483" t="str">
        <f>VLOOKUP(A483,donors!A:C,2,FALSE)</f>
        <v xml:space="preserve"> san mateo county trial lawyers</v>
      </c>
      <c r="H483" t="str">
        <f>VLOOKUP($A483,donors!$A:$C,3,FALSE)</f>
        <v xml:space="preserve"> association of trial lawyers</v>
      </c>
      <c r="I483" t="s">
        <v>4822</v>
      </c>
    </row>
    <row r="484" spans="1:9">
      <c r="A484">
        <v>315</v>
      </c>
      <c r="B484">
        <v>1161</v>
      </c>
      <c r="C484" s="1">
        <v>39400</v>
      </c>
      <c r="D484">
        <v>100</v>
      </c>
      <c r="E484" t="s">
        <v>4493</v>
      </c>
      <c r="F484" t="str">
        <f>VLOOKUP(B484,judges!A:B,2,FALSE)</f>
        <v>john daniel freeland</v>
      </c>
      <c r="G484" t="str">
        <f>VLOOKUP(A484,donors!A:C,2,FALSE)</f>
        <v xml:space="preserve"> elizabeth + david pechota</v>
      </c>
      <c r="H484">
        <f>VLOOKUP($A484,donors!$A:$C,3,FALSE)</f>
        <v>92101</v>
      </c>
      <c r="I484" t="s">
        <v>4823</v>
      </c>
    </row>
    <row r="485" spans="1:9">
      <c r="A485">
        <v>315</v>
      </c>
      <c r="B485">
        <v>1161</v>
      </c>
      <c r="C485" s="1">
        <v>39400</v>
      </c>
      <c r="D485">
        <v>48</v>
      </c>
      <c r="E485" t="s">
        <v>4311</v>
      </c>
      <c r="F485" t="str">
        <f>VLOOKUP(B485,judges!A:B,2,FALSE)</f>
        <v>john daniel freeland</v>
      </c>
      <c r="G485" t="str">
        <f>VLOOKUP(A485,donors!A:C,2,FALSE)</f>
        <v xml:space="preserve"> elizabeth + david pechota</v>
      </c>
      <c r="H485">
        <f>VLOOKUP($A485,donors!$A:$C,3,FALSE)</f>
        <v>92101</v>
      </c>
      <c r="I485" t="s">
        <v>4823</v>
      </c>
    </row>
    <row r="486" spans="1:9">
      <c r="A486">
        <v>316</v>
      </c>
      <c r="B486">
        <v>1161</v>
      </c>
      <c r="C486" s="1">
        <v>39368</v>
      </c>
      <c r="D486">
        <v>49</v>
      </c>
      <c r="E486" t="s">
        <v>4311</v>
      </c>
      <c r="F486" t="str">
        <f>VLOOKUP(B486,judges!A:B,2,FALSE)</f>
        <v>john daniel freeland</v>
      </c>
      <c r="G486" t="str">
        <f>VLOOKUP(A486,donors!A:C,2,FALSE)</f>
        <v xml:space="preserve"> roni &amp; randy kent</v>
      </c>
      <c r="H486" t="str">
        <f>VLOOKUP($A486,donors!$A:$C,3,FALSE)</f>
        <v xml:space="preserve"> --blank--</v>
      </c>
      <c r="I486" t="s">
        <v>4823</v>
      </c>
    </row>
    <row r="487" spans="1:9">
      <c r="A487">
        <v>316</v>
      </c>
      <c r="B487">
        <v>1161</v>
      </c>
      <c r="C487" s="1">
        <v>39368</v>
      </c>
      <c r="D487">
        <v>20</v>
      </c>
      <c r="E487" t="s">
        <v>4494</v>
      </c>
      <c r="F487" t="str">
        <f>VLOOKUP(B487,judges!A:B,2,FALSE)</f>
        <v>john daniel freeland</v>
      </c>
      <c r="G487" t="str">
        <f>VLOOKUP(A487,donors!A:C,2,FALSE)</f>
        <v xml:space="preserve"> roni &amp; randy kent</v>
      </c>
      <c r="H487" t="str">
        <f>VLOOKUP($A487,donors!$A:$C,3,FALSE)</f>
        <v xml:space="preserve"> --blank--</v>
      </c>
      <c r="I487" t="s">
        <v>4823</v>
      </c>
    </row>
    <row r="488" spans="1:9">
      <c r="A488">
        <v>318</v>
      </c>
      <c r="B488">
        <v>1163</v>
      </c>
      <c r="C488" s="1">
        <v>39101</v>
      </c>
      <c r="D488">
        <v>300</v>
      </c>
      <c r="E488" t="s">
        <v>4495</v>
      </c>
      <c r="F488" t="str">
        <f>VLOOKUP(B488,judges!A:B,2,FALSE)</f>
        <v>ronald f frazier</v>
      </c>
      <c r="G488" t="str">
        <f>VLOOKUP(A488,donors!A:C,2,FALSE)</f>
        <v xml:space="preserve"> art and polly jones</v>
      </c>
      <c r="H488" t="str">
        <f>VLOOKUP($A488,donors!$A:$C,3,FALSE)</f>
        <v xml:space="preserve"> --blank--</v>
      </c>
      <c r="I488" t="s">
        <v>4824</v>
      </c>
    </row>
    <row r="489" spans="1:9">
      <c r="A489">
        <v>319</v>
      </c>
      <c r="B489">
        <v>1163</v>
      </c>
      <c r="C489" s="1">
        <v>39296</v>
      </c>
      <c r="D489">
        <v>69.5</v>
      </c>
      <c r="E489" t="s">
        <v>4496</v>
      </c>
      <c r="F489" t="str">
        <f>VLOOKUP(B489,judges!A:B,2,FALSE)</f>
        <v>ronald f frazier</v>
      </c>
      <c r="G489" t="str">
        <f>VLOOKUP(A489,donors!A:C,2,FALSE)</f>
        <v xml:space="preserve"> james spievak</v>
      </c>
      <c r="H489" t="str">
        <f>VLOOKUP($A489,donors!$A:$C,3,FALSE)</f>
        <v xml:space="preserve"> --blank--</v>
      </c>
      <c r="I489" t="s">
        <v>4824</v>
      </c>
    </row>
    <row r="490" spans="1:9">
      <c r="A490">
        <v>320</v>
      </c>
      <c r="B490">
        <v>1163</v>
      </c>
      <c r="C490" s="1">
        <v>39148</v>
      </c>
      <c r="D490">
        <v>100</v>
      </c>
      <c r="E490" t="s">
        <v>4187</v>
      </c>
      <c r="F490" t="str">
        <f>VLOOKUP(B490,judges!A:B,2,FALSE)</f>
        <v>ronald f frazier</v>
      </c>
      <c r="G490" t="str">
        <f>VLOOKUP(A490,donors!A:C,2,FALSE)</f>
        <v xml:space="preserve"> peter smits</v>
      </c>
      <c r="H490" t="str">
        <f>VLOOKUP($A490,donors!$A:$C,3,FALSE)</f>
        <v xml:space="preserve"> --blank--</v>
      </c>
      <c r="I490" t="s">
        <v>4824</v>
      </c>
    </row>
    <row r="491" spans="1:9">
      <c r="A491">
        <v>321</v>
      </c>
      <c r="B491">
        <v>1163</v>
      </c>
      <c r="C491" s="1">
        <v>39401</v>
      </c>
      <c r="D491">
        <v>30</v>
      </c>
      <c r="E491" t="s">
        <v>4497</v>
      </c>
      <c r="F491" t="str">
        <f>VLOOKUP(B491,judges!A:B,2,FALSE)</f>
        <v>ronald f frazier</v>
      </c>
      <c r="G491" t="str">
        <f>VLOOKUP(A491,donors!A:C,2,FALSE)</f>
        <v xml:space="preserve"> brian dunn</v>
      </c>
      <c r="H491" t="str">
        <f>VLOOKUP($A491,donors!$A:$C,3,FALSE)</f>
        <v xml:space="preserve"> --blank--</v>
      </c>
      <c r="I491" t="s">
        <v>4824</v>
      </c>
    </row>
    <row r="492" spans="1:9">
      <c r="A492">
        <v>322</v>
      </c>
      <c r="B492">
        <v>1163</v>
      </c>
      <c r="C492" s="1">
        <v>39259</v>
      </c>
      <c r="D492">
        <v>63</v>
      </c>
      <c r="E492" t="s">
        <v>4496</v>
      </c>
      <c r="F492" t="str">
        <f>VLOOKUP(B492,judges!A:B,2,FALSE)</f>
        <v>ronald f frazier</v>
      </c>
      <c r="G492" t="str">
        <f>VLOOKUP(A492,donors!A:C,2,FALSE)</f>
        <v xml:space="preserve"> bill dietz</v>
      </c>
      <c r="H492" t="str">
        <f>VLOOKUP($A492,donors!$A:$C,3,FALSE)</f>
        <v xml:space="preserve"> --blank--</v>
      </c>
      <c r="I492" t="s">
        <v>4824</v>
      </c>
    </row>
    <row r="493" spans="1:9">
      <c r="A493">
        <v>323</v>
      </c>
      <c r="B493">
        <v>1163</v>
      </c>
      <c r="D493">
        <v>4200</v>
      </c>
      <c r="E493" t="s">
        <v>4358</v>
      </c>
      <c r="F493" t="str">
        <f>VLOOKUP(B493,judges!A:B,2,FALSE)</f>
        <v>ronald f frazier</v>
      </c>
      <c r="G493" t="str">
        <f>VLOOKUP(A493,donors!A:C,2,FALSE)</f>
        <v xml:space="preserve"> kyle frazier</v>
      </c>
      <c r="H493" t="str">
        <f>VLOOKUP($A493,donors!$A:$C,3,FALSE)</f>
        <v xml:space="preserve"> --blank--</v>
      </c>
      <c r="I493" t="s">
        <v>4824</v>
      </c>
    </row>
    <row r="494" spans="1:9">
      <c r="A494">
        <v>324</v>
      </c>
      <c r="B494">
        <v>1168</v>
      </c>
      <c r="C494" s="1">
        <v>39117</v>
      </c>
      <c r="D494">
        <v>400</v>
      </c>
      <c r="E494" t="s">
        <v>4498</v>
      </c>
      <c r="F494" t="str">
        <f>VLOOKUP(B494,judges!A:B,2,FALSE)</f>
        <v>don r franchi</v>
      </c>
      <c r="G494" t="str">
        <f>VLOOKUP(A494,donors!A:C,2,FALSE)</f>
        <v xml:space="preserve"> attorney's briefcaseinc</v>
      </c>
      <c r="H494" t="str">
        <f>VLOOKUP($A494,donors!$A:$C,3,FALSE)</f>
        <v xml:space="preserve"> legal education</v>
      </c>
      <c r="I494" t="s">
        <v>4825</v>
      </c>
    </row>
    <row r="495" spans="1:9">
      <c r="A495">
        <v>325</v>
      </c>
      <c r="B495">
        <v>1168</v>
      </c>
      <c r="C495" s="1">
        <v>39093</v>
      </c>
      <c r="D495">
        <v>65</v>
      </c>
      <c r="E495" t="s">
        <v>4187</v>
      </c>
      <c r="F495" t="str">
        <f>VLOOKUP(B495,judges!A:B,2,FALSE)</f>
        <v>don r franchi</v>
      </c>
      <c r="G495" t="str">
        <f>VLOOKUP(A495,donors!A:C,2,FALSE)</f>
        <v xml:space="preserve"> san mateo county bar assn</v>
      </c>
      <c r="H495" t="str">
        <f>VLOOKUP($A495,donors!$A:$C,3,FALSE)</f>
        <v xml:space="preserve"> bar association</v>
      </c>
      <c r="I495" t="s">
        <v>4826</v>
      </c>
    </row>
    <row r="496" spans="1:9">
      <c r="A496">
        <v>325</v>
      </c>
      <c r="B496">
        <v>1168</v>
      </c>
      <c r="C496" s="1">
        <v>39211</v>
      </c>
      <c r="D496">
        <v>47.5</v>
      </c>
      <c r="E496" t="s">
        <v>4217</v>
      </c>
      <c r="F496" t="str">
        <f>VLOOKUP(B496,judges!A:B,2,FALSE)</f>
        <v>don r franchi</v>
      </c>
      <c r="G496" t="str">
        <f>VLOOKUP(A496,donors!A:C,2,FALSE)</f>
        <v xml:space="preserve"> san mateo county bar assn</v>
      </c>
      <c r="H496" t="str">
        <f>VLOOKUP($A496,donors!$A:$C,3,FALSE)</f>
        <v xml:space="preserve"> bar association</v>
      </c>
      <c r="I496" t="s">
        <v>4826</v>
      </c>
    </row>
    <row r="497" spans="1:9">
      <c r="A497">
        <v>325</v>
      </c>
      <c r="B497">
        <v>1168</v>
      </c>
      <c r="C497" s="1">
        <v>39241</v>
      </c>
      <c r="D497">
        <v>65</v>
      </c>
      <c r="E497" t="s">
        <v>4187</v>
      </c>
      <c r="F497" t="str">
        <f>VLOOKUP(B497,judges!A:B,2,FALSE)</f>
        <v>don r franchi</v>
      </c>
      <c r="G497" t="str">
        <f>VLOOKUP(A497,donors!A:C,2,FALSE)</f>
        <v xml:space="preserve"> san mateo county bar assn</v>
      </c>
      <c r="H497" t="str">
        <f>VLOOKUP($A497,donors!$A:$C,3,FALSE)</f>
        <v xml:space="preserve"> bar association</v>
      </c>
      <c r="I497" t="s">
        <v>4826</v>
      </c>
    </row>
    <row r="498" spans="1:9">
      <c r="A498">
        <v>326</v>
      </c>
      <c r="B498">
        <v>1168</v>
      </c>
      <c r="C498" s="1">
        <v>39214</v>
      </c>
      <c r="D498">
        <v>45</v>
      </c>
      <c r="E498" t="s">
        <v>4217</v>
      </c>
      <c r="F498" t="str">
        <f>VLOOKUP(B498,judges!A:B,2,FALSE)</f>
        <v>don r franchi</v>
      </c>
      <c r="G498" t="str">
        <f>VLOOKUP(A498,donors!A:C,2,FALSE)</f>
        <v xml:space="preserve"> san mateo county bar assn. (cont.)</v>
      </c>
      <c r="H498" t="str">
        <f>VLOOKUP($A498,donors!$A:$C,3,FALSE)</f>
        <v xml:space="preserve"> --blank--</v>
      </c>
      <c r="I498" t="s">
        <v>4826</v>
      </c>
    </row>
    <row r="499" spans="1:9">
      <c r="A499">
        <v>326</v>
      </c>
      <c r="B499">
        <v>1168</v>
      </c>
      <c r="C499" s="1">
        <v>39207</v>
      </c>
      <c r="D499">
        <v>55</v>
      </c>
      <c r="E499" t="s">
        <v>4217</v>
      </c>
      <c r="F499" t="str">
        <f>VLOOKUP(B499,judges!A:B,2,FALSE)</f>
        <v>don r franchi</v>
      </c>
      <c r="G499" t="str">
        <f>VLOOKUP(A499,donors!A:C,2,FALSE)</f>
        <v xml:space="preserve"> san mateo county bar assn. (cont.)</v>
      </c>
      <c r="H499" t="str">
        <f>VLOOKUP($A499,donors!$A:$C,3,FALSE)</f>
        <v xml:space="preserve"> --blank--</v>
      </c>
      <c r="I499" t="s">
        <v>4826</v>
      </c>
    </row>
    <row r="500" spans="1:9">
      <c r="A500">
        <v>326</v>
      </c>
      <c r="B500">
        <v>1168</v>
      </c>
      <c r="C500" s="1">
        <v>39351</v>
      </c>
      <c r="D500">
        <v>65</v>
      </c>
      <c r="E500" t="s">
        <v>4217</v>
      </c>
      <c r="F500" t="str">
        <f>VLOOKUP(B500,judges!A:B,2,FALSE)</f>
        <v>don r franchi</v>
      </c>
      <c r="G500" t="str">
        <f>VLOOKUP(A500,donors!A:C,2,FALSE)</f>
        <v xml:space="preserve"> san mateo county bar assn. (cont.)</v>
      </c>
      <c r="H500" t="str">
        <f>VLOOKUP($A500,donors!$A:$C,3,FALSE)</f>
        <v xml:space="preserve"> --blank--</v>
      </c>
      <c r="I500" t="s">
        <v>4826</v>
      </c>
    </row>
    <row r="501" spans="1:9">
      <c r="A501">
        <v>326</v>
      </c>
      <c r="B501">
        <v>1168</v>
      </c>
      <c r="C501" s="1">
        <v>39344</v>
      </c>
      <c r="D501">
        <v>50</v>
      </c>
      <c r="E501" t="s">
        <v>4217</v>
      </c>
      <c r="F501" t="str">
        <f>VLOOKUP(B501,judges!A:B,2,FALSE)</f>
        <v>don r franchi</v>
      </c>
      <c r="G501" t="str">
        <f>VLOOKUP(A501,donors!A:C,2,FALSE)</f>
        <v xml:space="preserve"> san mateo county bar assn. (cont.)</v>
      </c>
      <c r="H501" t="str">
        <f>VLOOKUP($A501,donors!$A:$C,3,FALSE)</f>
        <v xml:space="preserve"> --blank--</v>
      </c>
      <c r="I501" t="s">
        <v>4826</v>
      </c>
    </row>
    <row r="502" spans="1:9">
      <c r="A502">
        <v>327</v>
      </c>
      <c r="B502">
        <v>1168</v>
      </c>
      <c r="C502" s="1">
        <v>39388</v>
      </c>
      <c r="D502">
        <v>100</v>
      </c>
      <c r="E502" t="s">
        <v>4187</v>
      </c>
      <c r="F502" t="str">
        <f>VLOOKUP(B502,judges!A:B,2,FALSE)</f>
        <v>don r franchi</v>
      </c>
      <c r="G502" t="str">
        <f>VLOOKUP(A502,donors!A:C,2,FALSE)</f>
        <v xml:space="preserve"> san mateo county trial lawyers assn. </v>
      </c>
      <c r="H502" t="str">
        <f>VLOOKUP($A502,donors!$A:$C,3,FALSE)</f>
        <v xml:space="preserve"> bar assn.</v>
      </c>
      <c r="I502" t="s">
        <v>4826</v>
      </c>
    </row>
    <row r="503" spans="1:9">
      <c r="A503">
        <v>326</v>
      </c>
      <c r="B503">
        <v>1168</v>
      </c>
      <c r="C503" s="1">
        <v>39421</v>
      </c>
      <c r="D503">
        <v>45</v>
      </c>
      <c r="E503" t="s">
        <v>4217</v>
      </c>
      <c r="F503" t="str">
        <f>VLOOKUP(B503,judges!A:B,2,FALSE)</f>
        <v>don r franchi</v>
      </c>
      <c r="G503" t="str">
        <f>VLOOKUP(A503,donors!A:C,2,FALSE)</f>
        <v xml:space="preserve"> san mateo county bar assn. (cont.)</v>
      </c>
      <c r="H503" t="str">
        <f>VLOOKUP($A503,donors!$A:$C,3,FALSE)</f>
        <v xml:space="preserve"> --blank--</v>
      </c>
      <c r="I503" t="s">
        <v>4826</v>
      </c>
    </row>
    <row r="504" spans="1:9">
      <c r="A504">
        <v>326</v>
      </c>
      <c r="B504">
        <v>1168</v>
      </c>
      <c r="C504" s="1">
        <v>39421</v>
      </c>
      <c r="D504">
        <v>30</v>
      </c>
      <c r="E504" t="s">
        <v>4499</v>
      </c>
      <c r="F504" t="str">
        <f>VLOOKUP(B504,judges!A:B,2,FALSE)</f>
        <v>don r franchi</v>
      </c>
      <c r="G504" t="str">
        <f>VLOOKUP(A504,donors!A:C,2,FALSE)</f>
        <v xml:space="preserve"> san mateo county bar assn. (cont.)</v>
      </c>
      <c r="H504" t="str">
        <f>VLOOKUP($A504,donors!$A:$C,3,FALSE)</f>
        <v xml:space="preserve"> --blank--</v>
      </c>
      <c r="I504" t="s">
        <v>4826</v>
      </c>
    </row>
    <row r="505" spans="1:9">
      <c r="A505">
        <v>326</v>
      </c>
      <c r="B505">
        <v>1168</v>
      </c>
      <c r="C505" s="1">
        <v>39431</v>
      </c>
      <c r="D505">
        <v>75</v>
      </c>
      <c r="E505" t="s">
        <v>4217</v>
      </c>
      <c r="F505" t="str">
        <f>VLOOKUP(B505,judges!A:B,2,FALSE)</f>
        <v>don r franchi</v>
      </c>
      <c r="G505" t="str">
        <f>VLOOKUP(A505,donors!A:C,2,FALSE)</f>
        <v xml:space="preserve"> san mateo county bar assn. (cont.)</v>
      </c>
      <c r="H505" t="str">
        <f>VLOOKUP($A505,donors!$A:$C,3,FALSE)</f>
        <v xml:space="preserve"> --blank--</v>
      </c>
      <c r="I505" t="s">
        <v>4826</v>
      </c>
    </row>
    <row r="506" spans="1:9">
      <c r="A506">
        <v>328</v>
      </c>
      <c r="B506">
        <v>1168</v>
      </c>
      <c r="C506" s="1">
        <v>39128</v>
      </c>
      <c r="D506">
        <v>100</v>
      </c>
      <c r="E506" t="s">
        <v>4187</v>
      </c>
      <c r="F506" t="str">
        <f>VLOOKUP(B506,judges!A:B,2,FALSE)</f>
        <v>don r franchi</v>
      </c>
      <c r="G506" t="str">
        <f>VLOOKUP(A506,donors!A:C,2,FALSE)</f>
        <v xml:space="preserve"> american academy of matrimonial lawyers no. cal.</v>
      </c>
      <c r="H506" t="str">
        <f>VLOOKUP($A506,donors!$A:$C,3,FALSE)</f>
        <v xml:space="preserve"> bar assn.</v>
      </c>
      <c r="I506" t="s">
        <v>4826</v>
      </c>
    </row>
    <row r="507" spans="1:9">
      <c r="A507">
        <v>329</v>
      </c>
      <c r="B507">
        <v>1174</v>
      </c>
      <c r="C507" s="1">
        <v>39320</v>
      </c>
      <c r="D507">
        <v>300</v>
      </c>
      <c r="E507" t="s">
        <v>4500</v>
      </c>
      <c r="F507" t="str">
        <f>VLOOKUP(B507,judges!A:B,2,FALSE)</f>
        <v>mark richard forcum</v>
      </c>
      <c r="G507" t="str">
        <f>VLOOKUP(A507,donors!A:C,2,FALSE)</f>
        <v xml:space="preserve"> san francisco 49ers</v>
      </c>
      <c r="H507" t="str">
        <f>VLOOKUP($A507,donors!$A:$C,3,FALSE)</f>
        <v xml:space="preserve"> owns nfl football team</v>
      </c>
      <c r="I507" t="s">
        <v>4827</v>
      </c>
    </row>
    <row r="508" spans="1:9">
      <c r="A508">
        <v>132</v>
      </c>
      <c r="B508">
        <v>1174</v>
      </c>
      <c r="C508" s="1">
        <v>39331</v>
      </c>
      <c r="D508">
        <v>85</v>
      </c>
      <c r="E508" t="s">
        <v>4501</v>
      </c>
      <c r="F508" t="str">
        <f>VLOOKUP(B508,judges!A:B,2,FALSE)</f>
        <v>mark richard forcum</v>
      </c>
      <c r="G508" t="str">
        <f>VLOOKUP(A508,donors!A:C,2,FALSE)</f>
        <v xml:space="preserve"> elizabeth hill</v>
      </c>
      <c r="H508" t="str">
        <f>VLOOKUP($A508,donors!$A:$C,3,FALSE)</f>
        <v xml:space="preserve"> court commissioner</v>
      </c>
      <c r="I508" t="s">
        <v>4827</v>
      </c>
    </row>
    <row r="509" spans="1:9">
      <c r="A509">
        <v>330</v>
      </c>
      <c r="B509">
        <v>1174</v>
      </c>
      <c r="C509" s="1">
        <v>39351</v>
      </c>
      <c r="D509">
        <v>65</v>
      </c>
      <c r="E509" t="s">
        <v>4502</v>
      </c>
      <c r="F509" t="str">
        <f>VLOOKUP(B509,judges!A:B,2,FALSE)</f>
        <v>mark richard forcum</v>
      </c>
      <c r="G509" t="str">
        <f>VLOOKUP(A509,donors!A:C,2,FALSE)</f>
        <v xml:space="preserve"> san mateo county barristers</v>
      </c>
      <c r="H509" t="str">
        <f>VLOOKUP($A509,donors!$A:$C,3,FALSE)</f>
        <v xml:space="preserve"> lawyer association ca 94063</v>
      </c>
      <c r="I509" t="s">
        <v>4827</v>
      </c>
    </row>
    <row r="510" spans="1:9">
      <c r="A510">
        <v>329</v>
      </c>
      <c r="B510">
        <v>1178</v>
      </c>
      <c r="C510" s="1">
        <v>39325</v>
      </c>
      <c r="D510">
        <v>200</v>
      </c>
      <c r="E510" t="s">
        <v>4503</v>
      </c>
      <c r="F510" t="str">
        <f>VLOOKUP(B510,judges!A:B,2,FALSE)</f>
        <v>robert d foiles</v>
      </c>
      <c r="G510" t="str">
        <f>VLOOKUP(A510,donors!A:C,2,FALSE)</f>
        <v xml:space="preserve"> san francisco 49ers</v>
      </c>
      <c r="H510" t="str">
        <f>VLOOKUP($A510,donors!$A:$C,3,FALSE)</f>
        <v xml:space="preserve"> owns nfl football team</v>
      </c>
      <c r="I510" t="s">
        <v>4828</v>
      </c>
    </row>
    <row r="511" spans="1:9">
      <c r="A511">
        <v>13</v>
      </c>
      <c r="B511">
        <v>1178</v>
      </c>
      <c r="C511" s="1">
        <v>39093</v>
      </c>
      <c r="D511">
        <v>65</v>
      </c>
      <c r="E511" t="s">
        <v>4504</v>
      </c>
      <c r="F511" t="str">
        <f>VLOOKUP(B511,judges!A:B,2,FALSE)</f>
        <v>robert d foiles</v>
      </c>
      <c r="G511" t="str">
        <f>VLOOKUP(A511,donors!A:C,2,FALSE)</f>
        <v xml:space="preserve"> san mateo county bar association</v>
      </c>
      <c r="H511" t="str">
        <f>VLOOKUP($A511,donors!$A:$C,3,FALSE)</f>
        <v xml:space="preserve"> attorney professional association</v>
      </c>
      <c r="I511" t="s">
        <v>4828</v>
      </c>
    </row>
    <row r="512" spans="1:9">
      <c r="A512">
        <v>13</v>
      </c>
      <c r="B512">
        <v>1178</v>
      </c>
      <c r="C512" s="1">
        <v>39241</v>
      </c>
      <c r="D512">
        <v>65</v>
      </c>
      <c r="E512" t="s">
        <v>4373</v>
      </c>
      <c r="F512" t="str">
        <f>VLOOKUP(B512,judges!A:B,2,FALSE)</f>
        <v>robert d foiles</v>
      </c>
      <c r="G512" t="str">
        <f>VLOOKUP(A512,donors!A:C,2,FALSE)</f>
        <v xml:space="preserve"> san mateo county bar association</v>
      </c>
      <c r="H512" t="str">
        <f>VLOOKUP($A512,donors!$A:$C,3,FALSE)</f>
        <v xml:space="preserve"> attorney professional association</v>
      </c>
      <c r="I512" t="s">
        <v>4828</v>
      </c>
    </row>
    <row r="513" spans="1:9">
      <c r="A513">
        <v>13</v>
      </c>
      <c r="B513">
        <v>1178</v>
      </c>
      <c r="C513" s="1">
        <v>39431</v>
      </c>
      <c r="D513">
        <v>65</v>
      </c>
      <c r="E513" t="s">
        <v>4505</v>
      </c>
      <c r="F513" t="str">
        <f>VLOOKUP(B513,judges!A:B,2,FALSE)</f>
        <v>robert d foiles</v>
      </c>
      <c r="G513" t="str">
        <f>VLOOKUP(A513,donors!A:C,2,FALSE)</f>
        <v xml:space="preserve"> san mateo county bar association</v>
      </c>
      <c r="H513" t="str">
        <f>VLOOKUP($A513,donors!$A:$C,3,FALSE)</f>
        <v xml:space="preserve"> attorney professional association</v>
      </c>
      <c r="I513" t="s">
        <v>4828</v>
      </c>
    </row>
    <row r="514" spans="1:9">
      <c r="A514">
        <v>330</v>
      </c>
      <c r="B514">
        <v>1178</v>
      </c>
      <c r="C514" s="1">
        <v>39351</v>
      </c>
      <c r="D514">
        <v>65</v>
      </c>
      <c r="E514" t="s">
        <v>4506</v>
      </c>
      <c r="F514" t="str">
        <f>VLOOKUP(B514,judges!A:B,2,FALSE)</f>
        <v>robert d foiles</v>
      </c>
      <c r="G514" t="str">
        <f>VLOOKUP(A514,donors!A:C,2,FALSE)</f>
        <v xml:space="preserve"> san mateo county barristers</v>
      </c>
      <c r="H514" t="str">
        <f>VLOOKUP($A514,donors!$A:$C,3,FALSE)</f>
        <v xml:space="preserve"> lawyer association ca 94063</v>
      </c>
      <c r="I514" t="s">
        <v>4828</v>
      </c>
    </row>
    <row r="515" spans="1:9">
      <c r="A515">
        <v>331</v>
      </c>
      <c r="B515">
        <v>1178</v>
      </c>
      <c r="C515" s="1">
        <v>39388</v>
      </c>
      <c r="D515">
        <v>90</v>
      </c>
      <c r="E515" t="s">
        <v>4507</v>
      </c>
      <c r="F515" t="str">
        <f>VLOOKUP(B515,judges!A:B,2,FALSE)</f>
        <v>robert d foiles</v>
      </c>
      <c r="G515" t="str">
        <f>VLOOKUP(A515,donors!A:C,2,FALSE)</f>
        <v xml:space="preserve"> san mateo county trial lawyers assn</v>
      </c>
      <c r="H515" t="str">
        <f>VLOOKUP($A515,donors!$A:$C,3,FALSE)</f>
        <v xml:space="preserve"> judge night dinner</v>
      </c>
      <c r="I515" t="s">
        <v>4828</v>
      </c>
    </row>
    <row r="516" spans="1:9">
      <c r="A516">
        <v>332</v>
      </c>
      <c r="B516">
        <v>1178</v>
      </c>
      <c r="C516" s="1">
        <v>39421</v>
      </c>
      <c r="D516">
        <v>45</v>
      </c>
      <c r="E516" t="s">
        <v>4506</v>
      </c>
      <c r="F516" t="str">
        <f>VLOOKUP(B516,judges!A:B,2,FALSE)</f>
        <v>robert d foiles</v>
      </c>
      <c r="G516" t="str">
        <f>VLOOKUP(A516,donors!A:C,2,FALSE)</f>
        <v xml:space="preserve"> san mateo county women lawyers</v>
      </c>
      <c r="H516" t="str">
        <f>VLOOKUP($A516,donors!$A:$C,3,FALSE)</f>
        <v xml:space="preserve"> bar function</v>
      </c>
      <c r="I516" t="s">
        <v>4828</v>
      </c>
    </row>
    <row r="517" spans="1:9">
      <c r="A517">
        <v>333</v>
      </c>
      <c r="B517">
        <v>1185</v>
      </c>
      <c r="C517" s="1">
        <v>39135</v>
      </c>
      <c r="D517">
        <v>50</v>
      </c>
      <c r="E517" t="s">
        <v>4187</v>
      </c>
      <c r="F517" t="str">
        <f>VLOOKUP(B517,judges!A:B,2,FALSE)</f>
        <v>david bernard flinn</v>
      </c>
      <c r="G517" t="str">
        <f>VLOOKUP(A517,donors!A:C,2,FALSE)</f>
        <v xml:space="preserve"> university of california</v>
      </c>
      <c r="H517" t="str">
        <f>VLOOKUP($A517,donors!$A:$C,3,FALSE)</f>
        <v xml:space="preserve"> education</v>
      </c>
      <c r="I517" t="s">
        <v>4829</v>
      </c>
    </row>
    <row r="518" spans="1:9">
      <c r="A518">
        <v>333</v>
      </c>
      <c r="B518">
        <v>1185</v>
      </c>
      <c r="C518" s="1">
        <v>39344</v>
      </c>
      <c r="D518">
        <v>50</v>
      </c>
      <c r="E518" t="s">
        <v>4508</v>
      </c>
      <c r="F518" t="str">
        <f>VLOOKUP(B518,judges!A:B,2,FALSE)</f>
        <v>david bernard flinn</v>
      </c>
      <c r="G518" t="str">
        <f>VLOOKUP(A518,donors!A:C,2,FALSE)</f>
        <v xml:space="preserve"> university of california</v>
      </c>
      <c r="H518" t="str">
        <f>VLOOKUP($A518,donors!$A:$C,3,FALSE)</f>
        <v xml:space="preserve"> education</v>
      </c>
      <c r="I518" t="s">
        <v>4829</v>
      </c>
    </row>
    <row r="519" spans="1:9">
      <c r="A519">
        <v>334</v>
      </c>
      <c r="B519">
        <v>1185</v>
      </c>
      <c r="C519" s="1">
        <v>39140</v>
      </c>
      <c r="D519">
        <v>50</v>
      </c>
      <c r="E519" t="s">
        <v>4509</v>
      </c>
      <c r="F519" t="str">
        <f>VLOOKUP(B519,judges!A:B,2,FALSE)</f>
        <v>david bernard flinn</v>
      </c>
      <c r="G519" t="str">
        <f>VLOOKUP(A519,donors!A:C,2,FALSE)</f>
        <v xml:space="preserve"> avery fuller welch foundation</v>
      </c>
      <c r="H519" t="str">
        <f>VLOOKUP($A519,donors!$A:$C,3,FALSE)</f>
        <v xml:space="preserve"> children's foundation</v>
      </c>
      <c r="I519" t="s">
        <v>4829</v>
      </c>
    </row>
    <row r="520" spans="1:9">
      <c r="A520">
        <v>334</v>
      </c>
      <c r="B520">
        <v>1185</v>
      </c>
      <c r="C520" s="1">
        <v>39203</v>
      </c>
      <c r="D520">
        <v>50</v>
      </c>
      <c r="E520" t="s">
        <v>4509</v>
      </c>
      <c r="F520" t="str">
        <f>VLOOKUP(B520,judges!A:B,2,FALSE)</f>
        <v>david bernard flinn</v>
      </c>
      <c r="G520" t="str">
        <f>VLOOKUP(A520,donors!A:C,2,FALSE)</f>
        <v xml:space="preserve"> avery fuller welch foundation</v>
      </c>
      <c r="H520" t="str">
        <f>VLOOKUP($A520,donors!$A:$C,3,FALSE)</f>
        <v xml:space="preserve"> children's foundation</v>
      </c>
      <c r="I520" t="s">
        <v>4829</v>
      </c>
    </row>
    <row r="521" spans="1:9">
      <c r="A521">
        <v>334</v>
      </c>
      <c r="B521">
        <v>1185</v>
      </c>
      <c r="C521" s="1">
        <v>39378</v>
      </c>
      <c r="D521">
        <v>50</v>
      </c>
      <c r="E521" t="s">
        <v>4509</v>
      </c>
      <c r="F521" t="str">
        <f>VLOOKUP(B521,judges!A:B,2,FALSE)</f>
        <v>david bernard flinn</v>
      </c>
      <c r="G521" t="str">
        <f>VLOOKUP(A521,donors!A:C,2,FALSE)</f>
        <v xml:space="preserve"> avery fuller welch foundation</v>
      </c>
      <c r="H521" t="str">
        <f>VLOOKUP($A521,donors!$A:$C,3,FALSE)</f>
        <v xml:space="preserve"> children's foundation</v>
      </c>
      <c r="I521" t="s">
        <v>4829</v>
      </c>
    </row>
    <row r="522" spans="1:9">
      <c r="A522">
        <v>335</v>
      </c>
      <c r="B522">
        <v>1185</v>
      </c>
      <c r="C522" s="1">
        <v>39208</v>
      </c>
      <c r="D522">
        <v>100</v>
      </c>
      <c r="E522" t="s">
        <v>4510</v>
      </c>
      <c r="F522" t="str">
        <f>VLOOKUP(B522,judges!A:B,2,FALSE)</f>
        <v>david bernard flinn</v>
      </c>
      <c r="G522" t="str">
        <f>VLOOKUP(A522,donors!A:C,2,FALSE)</f>
        <v xml:space="preserve"> patrick dare</v>
      </c>
      <c r="H522" t="str">
        <f>VLOOKUP($A522,donors!$A:$C,3,FALSE)</f>
        <v xml:space="preserve"> n/a</v>
      </c>
      <c r="I522" t="s">
        <v>4829</v>
      </c>
    </row>
    <row r="523" spans="1:9">
      <c r="A523">
        <v>336</v>
      </c>
      <c r="B523">
        <v>1185</v>
      </c>
      <c r="C523" s="1">
        <v>39389</v>
      </c>
      <c r="D523">
        <v>200</v>
      </c>
      <c r="E523" t="s">
        <v>4511</v>
      </c>
      <c r="F523" t="str">
        <f>VLOOKUP(B523,judges!A:B,2,FALSE)</f>
        <v>david bernard flinn</v>
      </c>
      <c r="G523" t="str">
        <f>VLOOKUP(A523,donors!A:C,2,FALSE)</f>
        <v xml:space="preserve"> martin dare</v>
      </c>
      <c r="H523" t="str">
        <f>VLOOKUP($A523,donors!$A:$C,3,FALSE)</f>
        <v xml:space="preserve"> n/a</v>
      </c>
      <c r="I523" t="s">
        <v>4829</v>
      </c>
    </row>
    <row r="524" spans="1:9">
      <c r="A524">
        <v>337</v>
      </c>
      <c r="B524">
        <v>1185</v>
      </c>
      <c r="C524" s="1">
        <v>39400</v>
      </c>
      <c r="D524">
        <v>150</v>
      </c>
      <c r="E524" t="s">
        <v>4512</v>
      </c>
      <c r="F524" t="str">
        <f>VLOOKUP(B524,judges!A:B,2,FALSE)</f>
        <v>david bernard flinn</v>
      </c>
      <c r="G524" t="str">
        <f>VLOOKUP(A524,donors!A:C,2,FALSE)</f>
        <v xml:space="preserve"> eukel foundation</v>
      </c>
      <c r="H524" t="str">
        <f>VLOOKUP($A524,donors!$A:$C,3,FALSE)</f>
        <v xml:space="preserve"> education foundation</v>
      </c>
      <c r="I524" t="s">
        <v>4829</v>
      </c>
    </row>
    <row r="525" spans="1:9">
      <c r="A525">
        <v>13</v>
      </c>
      <c r="B525">
        <v>1224</v>
      </c>
      <c r="C525" s="1">
        <v>39093</v>
      </c>
      <c r="D525">
        <v>75</v>
      </c>
      <c r="E525" t="s">
        <v>4513</v>
      </c>
      <c r="F525" t="str">
        <f>VLOOKUP(B525,judges!A:B,2,FALSE)</f>
        <v>susan lrene etezadi</v>
      </c>
      <c r="G525" t="str">
        <f>VLOOKUP(A525,donors!A:C,2,FALSE)</f>
        <v xml:space="preserve"> san mateo county bar association</v>
      </c>
      <c r="H525" t="str">
        <f>VLOOKUP($A525,donors!$A:$C,3,FALSE)</f>
        <v xml:space="preserve"> attorney professional association</v>
      </c>
      <c r="I525" t="s">
        <v>4830</v>
      </c>
    </row>
    <row r="526" spans="1:9">
      <c r="A526">
        <v>29</v>
      </c>
      <c r="B526">
        <v>1224</v>
      </c>
      <c r="C526" s="1">
        <v>39388</v>
      </c>
      <c r="D526">
        <v>75</v>
      </c>
      <c r="E526" t="s">
        <v>4207</v>
      </c>
      <c r="F526" t="str">
        <f>VLOOKUP(B526,judges!A:B,2,FALSE)</f>
        <v>susan lrene etezadi</v>
      </c>
      <c r="G526" t="str">
        <f>VLOOKUP(A526,donors!A:C,2,FALSE)</f>
        <v xml:space="preserve"> san mateo county trial lawyers association</v>
      </c>
      <c r="H526" t="str">
        <f>VLOOKUP($A526,donors!$A:$C,3,FALSE)</f>
        <v xml:space="preserve"> judges' night</v>
      </c>
      <c r="I526" t="s">
        <v>4830</v>
      </c>
    </row>
    <row r="527" spans="1:9">
      <c r="A527">
        <v>338</v>
      </c>
      <c r="B527">
        <v>1224</v>
      </c>
      <c r="C527" s="1">
        <v>39241</v>
      </c>
      <c r="D527">
        <v>100</v>
      </c>
      <c r="E527" t="s">
        <v>4514</v>
      </c>
      <c r="F527" t="str">
        <f>VLOOKUP(B527,judges!A:B,2,FALSE)</f>
        <v>susan lrene etezadi</v>
      </c>
      <c r="G527" t="str">
        <f>VLOOKUP(A527,donors!A:C,2,FALSE)</f>
        <v xml:space="preserve"> wilmer hale law firm</v>
      </c>
      <c r="H527" t="str">
        <f>VLOOKUP($A527,donors!$A:$C,3,FALSE)</f>
        <v xml:space="preserve"> legal firm</v>
      </c>
      <c r="I527" t="s">
        <v>4830</v>
      </c>
    </row>
    <row r="528" spans="1:9">
      <c r="A528">
        <v>339</v>
      </c>
      <c r="B528">
        <v>1224</v>
      </c>
      <c r="C528" s="1">
        <v>39390</v>
      </c>
      <c r="D528">
        <v>170</v>
      </c>
      <c r="E528" t="s">
        <v>4515</v>
      </c>
      <c r="F528" t="str">
        <f>VLOOKUP(B528,judges!A:B,2,FALSE)</f>
        <v>susan lrene etezadi</v>
      </c>
      <c r="G528" t="str">
        <f>VLOOKUP(A528,donors!A:C,2,FALSE)</f>
        <v xml:space="preserve"> curtis roe</v>
      </c>
      <c r="H528" t="str">
        <f>VLOOKUP($A528,donors!$A:$C,3,FALSE)</f>
        <v xml:space="preserve"> personal friend</v>
      </c>
      <c r="I528" t="s">
        <v>4830</v>
      </c>
    </row>
    <row r="529" spans="1:9">
      <c r="A529">
        <v>13</v>
      </c>
      <c r="B529">
        <v>1224</v>
      </c>
      <c r="C529" s="1">
        <v>39238</v>
      </c>
      <c r="D529">
        <v>75</v>
      </c>
      <c r="E529" t="s">
        <v>4516</v>
      </c>
      <c r="F529" t="str">
        <f>VLOOKUP(B529,judges!A:B,2,FALSE)</f>
        <v>susan lrene etezadi</v>
      </c>
      <c r="G529" t="str">
        <f>VLOOKUP(A529,donors!A:C,2,FALSE)</f>
        <v xml:space="preserve"> san mateo county bar association</v>
      </c>
      <c r="H529" t="str">
        <f>VLOOKUP($A529,donors!$A:$C,3,FALSE)</f>
        <v xml:space="preserve"> attorney professional association</v>
      </c>
      <c r="I529" t="s">
        <v>4830</v>
      </c>
    </row>
    <row r="530" spans="1:9">
      <c r="A530">
        <v>340</v>
      </c>
      <c r="B530">
        <v>1224</v>
      </c>
      <c r="C530" s="1">
        <v>39228</v>
      </c>
      <c r="D530">
        <v>75</v>
      </c>
      <c r="E530" t="s">
        <v>4207</v>
      </c>
      <c r="F530" t="str">
        <f>VLOOKUP(B530,judges!A:B,2,FALSE)</f>
        <v>susan lrene etezadi</v>
      </c>
      <c r="G530" t="str">
        <f>VLOOKUP(A530,donors!A:C,2,FALSE)</f>
        <v xml:space="preserve"> iranian american bar association north. chapter</v>
      </c>
      <c r="H530" t="str">
        <f>VLOOKUP($A530,donors!$A:$C,3,FALSE)</f>
        <v xml:space="preserve"> legal association of iranian-american lawyers</v>
      </c>
      <c r="I530" t="s">
        <v>4830</v>
      </c>
    </row>
    <row r="531" spans="1:9">
      <c r="A531">
        <v>13</v>
      </c>
      <c r="B531">
        <v>1224</v>
      </c>
      <c r="C531" s="1">
        <v>39093</v>
      </c>
      <c r="D531">
        <v>75</v>
      </c>
      <c r="E531" t="s">
        <v>4513</v>
      </c>
      <c r="F531" t="str">
        <f>VLOOKUP(B531,judges!A:B,2,FALSE)</f>
        <v>susan lrene etezadi</v>
      </c>
      <c r="G531" t="str">
        <f>VLOOKUP(A531,donors!A:C,2,FALSE)</f>
        <v xml:space="preserve"> san mateo county bar association</v>
      </c>
      <c r="H531" t="str">
        <f>VLOOKUP($A531,donors!$A:$C,3,FALSE)</f>
        <v xml:space="preserve"> attorney professional association</v>
      </c>
      <c r="I531" t="s">
        <v>4831</v>
      </c>
    </row>
    <row r="532" spans="1:9">
      <c r="A532">
        <v>29</v>
      </c>
      <c r="B532">
        <v>1224</v>
      </c>
      <c r="C532" s="1">
        <v>39388</v>
      </c>
      <c r="D532">
        <v>75</v>
      </c>
      <c r="E532" t="s">
        <v>4207</v>
      </c>
      <c r="F532" t="str">
        <f>VLOOKUP(B532,judges!A:B,2,FALSE)</f>
        <v>susan lrene etezadi</v>
      </c>
      <c r="G532" t="str">
        <f>VLOOKUP(A532,donors!A:C,2,FALSE)</f>
        <v xml:space="preserve"> san mateo county trial lawyers association</v>
      </c>
      <c r="H532" t="str">
        <f>VLOOKUP($A532,donors!$A:$C,3,FALSE)</f>
        <v xml:space="preserve"> judges' night</v>
      </c>
      <c r="I532" t="s">
        <v>4831</v>
      </c>
    </row>
    <row r="533" spans="1:9">
      <c r="A533">
        <v>338</v>
      </c>
      <c r="B533">
        <v>1224</v>
      </c>
      <c r="C533" s="1">
        <v>39241</v>
      </c>
      <c r="D533">
        <v>100</v>
      </c>
      <c r="E533" t="s">
        <v>4514</v>
      </c>
      <c r="F533" t="str">
        <f>VLOOKUP(B533,judges!A:B,2,FALSE)</f>
        <v>susan lrene etezadi</v>
      </c>
      <c r="G533" t="str">
        <f>VLOOKUP(A533,donors!A:C,2,FALSE)</f>
        <v xml:space="preserve"> wilmer hale law firm</v>
      </c>
      <c r="H533" t="str">
        <f>VLOOKUP($A533,donors!$A:$C,3,FALSE)</f>
        <v xml:space="preserve"> legal firm</v>
      </c>
      <c r="I533" t="s">
        <v>4831</v>
      </c>
    </row>
    <row r="534" spans="1:9">
      <c r="A534">
        <v>339</v>
      </c>
      <c r="B534">
        <v>1224</v>
      </c>
      <c r="C534" s="1">
        <v>39390</v>
      </c>
      <c r="D534">
        <v>170</v>
      </c>
      <c r="E534" t="s">
        <v>4515</v>
      </c>
      <c r="F534" t="str">
        <f>VLOOKUP(B534,judges!A:B,2,FALSE)</f>
        <v>susan lrene etezadi</v>
      </c>
      <c r="G534" t="str">
        <f>VLOOKUP(A534,donors!A:C,2,FALSE)</f>
        <v xml:space="preserve"> curtis roe</v>
      </c>
      <c r="H534" t="str">
        <f>VLOOKUP($A534,donors!$A:$C,3,FALSE)</f>
        <v xml:space="preserve"> personal friend</v>
      </c>
      <c r="I534" t="s">
        <v>4831</v>
      </c>
    </row>
    <row r="535" spans="1:9">
      <c r="A535">
        <v>13</v>
      </c>
      <c r="B535">
        <v>1224</v>
      </c>
      <c r="C535" s="1">
        <v>39238</v>
      </c>
      <c r="D535">
        <v>75</v>
      </c>
      <c r="E535" t="s">
        <v>4516</v>
      </c>
      <c r="F535" t="str">
        <f>VLOOKUP(B535,judges!A:B,2,FALSE)</f>
        <v>susan lrene etezadi</v>
      </c>
      <c r="G535" t="str">
        <f>VLOOKUP(A535,donors!A:C,2,FALSE)</f>
        <v xml:space="preserve"> san mateo county bar association</v>
      </c>
      <c r="H535" t="str">
        <f>VLOOKUP($A535,donors!$A:$C,3,FALSE)</f>
        <v xml:space="preserve"> attorney professional association</v>
      </c>
      <c r="I535" t="s">
        <v>4831</v>
      </c>
    </row>
    <row r="536" spans="1:9">
      <c r="A536">
        <v>340</v>
      </c>
      <c r="B536">
        <v>1224</v>
      </c>
      <c r="C536" s="1">
        <v>39228</v>
      </c>
      <c r="D536">
        <v>75</v>
      </c>
      <c r="E536" t="s">
        <v>4207</v>
      </c>
      <c r="F536" t="str">
        <f>VLOOKUP(B536,judges!A:B,2,FALSE)</f>
        <v>susan lrene etezadi</v>
      </c>
      <c r="G536" t="str">
        <f>VLOOKUP(A536,donors!A:C,2,FALSE)</f>
        <v xml:space="preserve"> iranian american bar association north. chapter</v>
      </c>
      <c r="H536" t="str">
        <f>VLOOKUP($A536,donors!$A:$C,3,FALSE)</f>
        <v xml:space="preserve"> legal association of iranian-american lawyers</v>
      </c>
      <c r="I536" t="s">
        <v>4831</v>
      </c>
    </row>
    <row r="537" spans="1:9">
      <c r="A537">
        <v>341</v>
      </c>
      <c r="B537">
        <v>1232</v>
      </c>
      <c r="C537" s="1">
        <v>39431</v>
      </c>
      <c r="D537">
        <v>300</v>
      </c>
      <c r="E537" t="s">
        <v>4517</v>
      </c>
      <c r="F537" t="str">
        <f>VLOOKUP(B537,judges!A:B,2,FALSE)</f>
        <v>charles william ervin</v>
      </c>
      <c r="G537" t="str">
        <f>VLOOKUP(A537,donors!A:C,2,FALSE)</f>
        <v xml:space="preserve"> wilcoxen callahamllp</v>
      </c>
      <c r="H537" t="str">
        <f>VLOOKUP($A537,donors!$A:$C,3,FALSE)</f>
        <v xml:space="preserve"> law firm</v>
      </c>
      <c r="I537" t="s">
        <v>4832</v>
      </c>
    </row>
    <row r="538" spans="1:9">
      <c r="A538">
        <v>342</v>
      </c>
      <c r="B538">
        <v>1234</v>
      </c>
      <c r="C538" s="2">
        <v>39457</v>
      </c>
      <c r="D538">
        <v>100</v>
      </c>
      <c r="E538" t="s">
        <v>4207</v>
      </c>
      <c r="F538" t="str">
        <f>VLOOKUP(B538,judges!A:B,2,FALSE)</f>
        <v>norman l. epstein</v>
      </c>
      <c r="G538" t="str">
        <f>VLOOKUP(A538,donors!A:C,2,FALSE)</f>
        <v xml:space="preserve"> counsumer attes of las angeles</v>
      </c>
      <c r="H538" t="str">
        <f>VLOOKUP($A538,donors!$A:$C,3,FALSE)</f>
        <v xml:space="preserve"> bar association</v>
      </c>
      <c r="I538" t="s">
        <v>4833</v>
      </c>
    </row>
    <row r="539" spans="1:9">
      <c r="A539">
        <v>343</v>
      </c>
      <c r="B539">
        <v>1252</v>
      </c>
      <c r="C539" s="1">
        <v>39299</v>
      </c>
      <c r="D539">
        <v>150</v>
      </c>
      <c r="E539" t="s">
        <v>4518</v>
      </c>
      <c r="F539" t="str">
        <f>VLOOKUP(B539,judges!A:B,2,FALSE)</f>
        <v>lee smalley edmon</v>
      </c>
      <c r="G539" t="str">
        <f>VLOOKUP(A539,donors!A:C,2,FALSE)</f>
        <v xml:space="preserve"> voryssaterseymour &amp; pease llp</v>
      </c>
      <c r="H539" t="str">
        <f>VLOOKUP($A539,donors!$A:$C,3,FALSE)</f>
        <v xml:space="preserve"> law firm</v>
      </c>
      <c r="I539" t="s">
        <v>4834</v>
      </c>
    </row>
    <row r="540" spans="1:9">
      <c r="A540">
        <v>344</v>
      </c>
      <c r="B540">
        <v>1252</v>
      </c>
      <c r="C540" s="1">
        <v>39025</v>
      </c>
      <c r="D540">
        <v>250</v>
      </c>
      <c r="E540" t="s">
        <v>4518</v>
      </c>
      <c r="F540" t="str">
        <f>VLOOKUP(B540,judges!A:B,2,FALSE)</f>
        <v>lee smalley edmon</v>
      </c>
      <c r="G540" t="str">
        <f>VLOOKUP(A540,donors!A:C,2,FALSE)</f>
        <v xml:space="preserve"> american general life insurance company</v>
      </c>
      <c r="H540" t="str">
        <f>VLOOKUP($A540,donors!$A:$C,3,FALSE)</f>
        <v xml:space="preserve"> insurance company</v>
      </c>
      <c r="I540" t="s">
        <v>4834</v>
      </c>
    </row>
    <row r="541" spans="1:9">
      <c r="A541">
        <v>345</v>
      </c>
      <c r="B541">
        <v>1252</v>
      </c>
      <c r="C541" s="1">
        <v>39367</v>
      </c>
      <c r="D541">
        <v>125</v>
      </c>
      <c r="E541" t="s">
        <v>4518</v>
      </c>
      <c r="F541" t="str">
        <f>VLOOKUP(B541,judges!A:B,2,FALSE)</f>
        <v>lee smalley edmon</v>
      </c>
      <c r="G541" t="str">
        <f>VLOOKUP(A541,donors!A:C,2,FALSE)</f>
        <v xml:space="preserve"> advanced discovery</v>
      </c>
      <c r="H541" t="str">
        <f>VLOOKUP($A541,donors!$A:$C,3,FALSE)</f>
        <v xml:space="preserve"> document service</v>
      </c>
      <c r="I541" t="s">
        <v>4834</v>
      </c>
    </row>
    <row r="542" spans="1:9">
      <c r="A542">
        <v>346</v>
      </c>
      <c r="B542">
        <v>1255</v>
      </c>
      <c r="C542" s="1">
        <v>39208</v>
      </c>
      <c r="D542">
        <v>150</v>
      </c>
      <c r="E542" t="s">
        <v>4519</v>
      </c>
      <c r="F542" t="str">
        <f>VLOOKUP(B542,judges!A:B,2,FALSE)</f>
        <v>steven lawrence dylina</v>
      </c>
      <c r="G542" t="str">
        <f>VLOOKUP(A542,donors!A:C,2,FALSE)</f>
        <v xml:space="preserve"> allison s. reichert</v>
      </c>
      <c r="H542" t="str">
        <f>VLOOKUP($A542,donors!$A:$C,3,FALSE)</f>
        <v xml:space="preserve"> dinnere for performing wedding</v>
      </c>
      <c r="I542" t="s">
        <v>4835</v>
      </c>
    </row>
    <row r="543" spans="1:9">
      <c r="A543">
        <v>347</v>
      </c>
      <c r="B543">
        <v>1259</v>
      </c>
      <c r="D543">
        <v>250</v>
      </c>
      <c r="E543" t="s">
        <v>4520</v>
      </c>
      <c r="F543" t="str">
        <f>VLOOKUP(B543,judges!A:B,2,FALSE)</f>
        <v>kim garlin dunning</v>
      </c>
      <c r="G543" t="str">
        <f>VLOOKUP(A543,donors!A:C,2,FALSE)</f>
        <v xml:space="preserve"> assn. of business trial lawyers</v>
      </c>
      <c r="H543" t="str">
        <f>VLOOKUP($A543,donors!$A:$C,3,FALSE)</f>
        <v xml:space="preserve"> legal organization</v>
      </c>
      <c r="I543" t="s">
        <v>4836</v>
      </c>
    </row>
    <row r="544" spans="1:9">
      <c r="A544">
        <v>348</v>
      </c>
      <c r="B544">
        <v>1259</v>
      </c>
      <c r="D544">
        <v>250</v>
      </c>
      <c r="E544" t="s">
        <v>4521</v>
      </c>
      <c r="F544" t="str">
        <f>VLOOKUP(B544,judges!A:B,2,FALSE)</f>
        <v>kim garlin dunning</v>
      </c>
      <c r="G544" t="str">
        <f>VLOOKUP(A544,donors!A:C,2,FALSE)</f>
        <v xml:space="preserve"> orange county bar assn</v>
      </c>
      <c r="H544" t="str">
        <f>VLOOKUP($A544,donors!$A:$C,3,FALSE)</f>
        <v xml:space="preserve"> legal organization</v>
      </c>
      <c r="I544" t="s">
        <v>4836</v>
      </c>
    </row>
    <row r="545" spans="1:9">
      <c r="A545">
        <v>7</v>
      </c>
      <c r="B545">
        <v>1291</v>
      </c>
      <c r="C545" s="1">
        <v>39360</v>
      </c>
      <c r="D545">
        <v>55</v>
      </c>
      <c r="E545" t="s">
        <v>4522</v>
      </c>
      <c r="F545" t="str">
        <f>VLOOKUP(B545,judges!A:B,2,FALSE)</f>
        <v>james j. di cesare</v>
      </c>
      <c r="G545" t="str">
        <f>VLOOKUP(A545,donors!A:C,2,FALSE)</f>
        <v xml:space="preserve"> american board of trial advocates</v>
      </c>
      <c r="H545" t="str">
        <f>VLOOKUP($A545,donors!$A:$C,3,FALSE)</f>
        <v xml:space="preserve"> bar association</v>
      </c>
      <c r="I545" t="s">
        <v>4837</v>
      </c>
    </row>
    <row r="546" spans="1:9">
      <c r="A546">
        <v>349</v>
      </c>
      <c r="B546">
        <v>1291</v>
      </c>
      <c r="C546" s="1">
        <v>39252</v>
      </c>
      <c r="D546">
        <v>60</v>
      </c>
      <c r="E546" t="s">
        <v>4523</v>
      </c>
      <c r="F546" t="str">
        <f>VLOOKUP(B546,judges!A:B,2,FALSE)</f>
        <v>james j. di cesare</v>
      </c>
      <c r="G546" t="str">
        <f>VLOOKUP(A546,donors!A:C,2,FALSE)</f>
        <v xml:space="preserve"> public law center</v>
      </c>
      <c r="H546" t="str">
        <f>VLOOKUP($A546,donors!$A:$C,3,FALSE)</f>
        <v xml:space="preserve"> pro bone service organizaiton</v>
      </c>
      <c r="I546" t="s">
        <v>4837</v>
      </c>
    </row>
    <row r="547" spans="1:9">
      <c r="A547">
        <v>350</v>
      </c>
      <c r="B547">
        <v>1291</v>
      </c>
      <c r="D547">
        <v>80</v>
      </c>
      <c r="E547" t="s">
        <v>4524</v>
      </c>
      <c r="F547" t="str">
        <f>VLOOKUP(B547,judges!A:B,2,FALSE)</f>
        <v>james j. di cesare</v>
      </c>
      <c r="G547" t="str">
        <f>VLOOKUP(A547,donors!A:C,2,FALSE)</f>
        <v xml:space="preserve"> allisin lee</v>
      </c>
      <c r="H547" t="str">
        <f>VLOOKUP($A547,donors!$A:$C,3,FALSE)</f>
        <v xml:space="preserve"> frieno maliro ct. 90263</v>
      </c>
      <c r="I547" t="s">
        <v>4837</v>
      </c>
    </row>
    <row r="548" spans="1:9">
      <c r="A548">
        <v>351</v>
      </c>
      <c r="B548">
        <v>1291</v>
      </c>
      <c r="C548" s="1">
        <v>39417</v>
      </c>
      <c r="D548">
        <v>125</v>
      </c>
      <c r="E548" t="s">
        <v>4374</v>
      </c>
      <c r="F548" t="str">
        <f>VLOOKUP(B548,judges!A:B,2,FALSE)</f>
        <v>james j. di cesare</v>
      </c>
      <c r="G548" t="str">
        <f>VLOOKUP(A548,donors!A:C,2,FALSE)</f>
        <v xml:space="preserve"> wayne &amp; canty law center</v>
      </c>
      <c r="H548" t="str">
        <f>VLOOKUP($A548,donors!$A:$C,3,FALSE)</f>
        <v xml:space="preserve"> friends/economist</v>
      </c>
      <c r="I548" t="s">
        <v>4838</v>
      </c>
    </row>
    <row r="549" spans="1:9">
      <c r="A549">
        <v>352</v>
      </c>
      <c r="B549">
        <v>1291</v>
      </c>
      <c r="C549" s="1">
        <v>39424</v>
      </c>
      <c r="D549">
        <v>180</v>
      </c>
      <c r="E549" t="s">
        <v>4374</v>
      </c>
      <c r="F549" t="str">
        <f>VLOOKUP(B549,judges!A:B,2,FALSE)</f>
        <v>james j. di cesare</v>
      </c>
      <c r="G549" t="str">
        <f>VLOOKUP(A549,donors!A:C,2,FALSE)</f>
        <v xml:space="preserve"> robinson calgagne robinson</v>
      </c>
      <c r="H549" t="str">
        <f>VLOOKUP($A549,donors!$A:$C,3,FALSE)</f>
        <v xml:space="preserve"> attyj   newport beach ca 92660</v>
      </c>
      <c r="I549" t="s">
        <v>4838</v>
      </c>
    </row>
    <row r="550" spans="1:9">
      <c r="A550">
        <v>353</v>
      </c>
      <c r="B550">
        <v>1291</v>
      </c>
      <c r="C550" s="1">
        <v>39101</v>
      </c>
      <c r="D550">
        <v>100</v>
      </c>
      <c r="E550" t="s">
        <v>4525</v>
      </c>
      <c r="F550" t="str">
        <f>VLOOKUP(B550,judges!A:B,2,FALSE)</f>
        <v>james j. di cesare</v>
      </c>
      <c r="G550" t="str">
        <f>VLOOKUP(A550,donors!A:C,2,FALSE)</f>
        <v xml:space="preserve"> orange county bar ass</v>
      </c>
      <c r="H550" t="str">
        <f>VLOOKUP($A550,donors!$A:$C,3,FALSE)</f>
        <v xml:space="preserve"> bar ass</v>
      </c>
      <c r="I550" t="s">
        <v>4838</v>
      </c>
    </row>
    <row r="551" spans="1:9">
      <c r="A551">
        <v>354</v>
      </c>
      <c r="B551">
        <v>1291</v>
      </c>
      <c r="D551">
        <v>180</v>
      </c>
      <c r="E551" t="s">
        <v>4526</v>
      </c>
      <c r="F551" t="str">
        <f>VLOOKUP(B551,judges!A:B,2,FALSE)</f>
        <v>james j. di cesare</v>
      </c>
      <c r="G551" t="str">
        <f>VLOOKUP(A551,donors!A:C,2,FALSE)</f>
        <v xml:space="preserve"> american business trial lawyers ass.</v>
      </c>
      <c r="H551" t="str">
        <f>VLOOKUP($A551,donors!$A:$C,3,FALSE)</f>
        <v xml:space="preserve"> bar asi</v>
      </c>
      <c r="I551" t="s">
        <v>4838</v>
      </c>
    </row>
    <row r="552" spans="1:9">
      <c r="A552">
        <v>355</v>
      </c>
      <c r="B552">
        <v>1291</v>
      </c>
      <c r="C552" s="1">
        <v>39241</v>
      </c>
      <c r="D552">
        <v>45</v>
      </c>
      <c r="E552" t="s">
        <v>4527</v>
      </c>
      <c r="F552" t="str">
        <f>VLOOKUP(B552,judges!A:B,2,FALSE)</f>
        <v>james j. di cesare</v>
      </c>
      <c r="G552" t="str">
        <f>VLOOKUP(A552,donors!A:C,2,FALSE)</f>
        <v xml:space="preserve"> orange county trial lawyers ass.</v>
      </c>
      <c r="H552" t="str">
        <f>VLOOKUP($A552,donors!$A:$C,3,FALSE)</f>
        <v xml:space="preserve"> bav all.        ca 92653</v>
      </c>
      <c r="I552" t="s">
        <v>4838</v>
      </c>
    </row>
    <row r="553" spans="1:9">
      <c r="A553">
        <v>355</v>
      </c>
      <c r="B553">
        <v>1291</v>
      </c>
      <c r="C553" t="s">
        <v>3018</v>
      </c>
      <c r="D553">
        <v>90</v>
      </c>
      <c r="E553" t="s">
        <v>4528</v>
      </c>
      <c r="F553" t="str">
        <f>VLOOKUP(B553,judges!A:B,2,FALSE)</f>
        <v>james j. di cesare</v>
      </c>
      <c r="G553" t="str">
        <f>VLOOKUP(A553,donors!A:C,2,FALSE)</f>
        <v xml:space="preserve"> orange county trial lawyers ass.</v>
      </c>
      <c r="H553" t="str">
        <f>VLOOKUP($A553,donors!$A:$C,3,FALSE)</f>
        <v xml:space="preserve"> bav all.        ca 92653</v>
      </c>
      <c r="I553" t="s">
        <v>4838</v>
      </c>
    </row>
    <row r="554" spans="1:9">
      <c r="A554">
        <v>91</v>
      </c>
      <c r="B554">
        <v>1291</v>
      </c>
      <c r="C554" s="1">
        <v>39191</v>
      </c>
      <c r="D554">
        <v>300</v>
      </c>
      <c r="E554" t="s">
        <v>4529</v>
      </c>
      <c r="F554" t="str">
        <f>VLOOKUP(B554,judges!A:B,2,FALSE)</f>
        <v>james j. di cesare</v>
      </c>
      <c r="G554" t="str">
        <f>VLOOKUP(A554,donors!A:C,2,FALSE)</f>
        <v xml:space="preserve"> wylie aitken</v>
      </c>
      <c r="H554" t="str">
        <f>VLOOKUP($A554,donors!$A:$C,3,FALSE)</f>
        <v xml:space="preserve"> law firm</v>
      </c>
      <c r="I554" t="s">
        <v>4838</v>
      </c>
    </row>
    <row r="555" spans="1:9">
      <c r="A555">
        <v>91</v>
      </c>
      <c r="B555">
        <v>1291</v>
      </c>
      <c r="C555" s="1">
        <v>39154</v>
      </c>
      <c r="D555">
        <v>25</v>
      </c>
      <c r="E555" t="s">
        <v>4530</v>
      </c>
      <c r="F555" t="str">
        <f>VLOOKUP(B555,judges!A:B,2,FALSE)</f>
        <v>james j. di cesare</v>
      </c>
      <c r="G555" t="str">
        <f>VLOOKUP(A555,donors!A:C,2,FALSE)</f>
        <v xml:space="preserve"> wylie aitken</v>
      </c>
      <c r="H555" t="str">
        <f>VLOOKUP($A555,donors!$A:$C,3,FALSE)</f>
        <v xml:space="preserve"> law firm</v>
      </c>
      <c r="I555" t="s">
        <v>4838</v>
      </c>
    </row>
    <row r="556" spans="1:9">
      <c r="A556">
        <v>356</v>
      </c>
      <c r="B556">
        <v>1294</v>
      </c>
      <c r="C556" s="1">
        <v>39180</v>
      </c>
      <c r="D556">
        <v>200</v>
      </c>
      <c r="E556" t="s">
        <v>4531</v>
      </c>
      <c r="F556" t="str">
        <f>VLOOKUP(B556,judges!A:B,2,FALSE)</f>
        <v>francis michael devaney</v>
      </c>
      <c r="G556" t="str">
        <f>VLOOKUP(A556,donors!A:C,2,FALSE)</f>
        <v xml:space="preserve"> adrienne vargas san diego foundation</v>
      </c>
      <c r="H556" t="str">
        <f>VLOOKUP($A556,donors!$A:$C,3,FALSE)</f>
        <v xml:space="preserve"> fund-raising/charitable-giving</v>
      </c>
      <c r="I556" t="s">
        <v>4839</v>
      </c>
    </row>
    <row r="557" spans="1:9">
      <c r="A557">
        <v>357</v>
      </c>
      <c r="B557">
        <v>1294</v>
      </c>
      <c r="C557" s="1">
        <v>39208</v>
      </c>
      <c r="D557">
        <v>200</v>
      </c>
      <c r="E557" t="s">
        <v>4328</v>
      </c>
      <c r="F557" t="str">
        <f>VLOOKUP(B557,judges!A:B,2,FALSE)</f>
        <v>francis michael devaney</v>
      </c>
      <c r="G557" t="str">
        <f>VLOOKUP(A557,donors!A:C,2,FALSE)</f>
        <v xml:space="preserve"> stutz artiano shinoff &amp; holtz</v>
      </c>
      <c r="H557" t="str">
        <f>VLOOKUP($A557,donors!$A:$C,3,FALSE)</f>
        <v xml:space="preserve"> law firm</v>
      </c>
      <c r="I557" t="s">
        <v>4839</v>
      </c>
    </row>
    <row r="558" spans="1:9">
      <c r="A558">
        <v>357</v>
      </c>
      <c r="B558">
        <v>1294</v>
      </c>
      <c r="C558" s="1">
        <v>39220</v>
      </c>
      <c r="D558">
        <v>150</v>
      </c>
      <c r="E558" t="s">
        <v>4532</v>
      </c>
      <c r="F558" t="str">
        <f>VLOOKUP(B558,judges!A:B,2,FALSE)</f>
        <v>francis michael devaney</v>
      </c>
      <c r="G558" t="str">
        <f>VLOOKUP(A558,donors!A:C,2,FALSE)</f>
        <v xml:space="preserve"> stutz artiano shinoff &amp; holtz</v>
      </c>
      <c r="H558" t="str">
        <f>VLOOKUP($A558,donors!$A:$C,3,FALSE)</f>
        <v xml:space="preserve"> law firm</v>
      </c>
      <c r="I558" t="s">
        <v>4839</v>
      </c>
    </row>
    <row r="559" spans="1:9">
      <c r="A559">
        <v>358</v>
      </c>
      <c r="B559">
        <v>1298</v>
      </c>
      <c r="C559" s="1">
        <v>39403</v>
      </c>
      <c r="D559">
        <v>576</v>
      </c>
      <c r="E559" t="s">
        <v>4533</v>
      </c>
      <c r="F559" t="str">
        <f>VLOOKUP(B559,judges!A:B,2,FALSE)</f>
        <v>tara michele desautels</v>
      </c>
      <c r="G559" t="str">
        <f>VLOOKUP(A559,donors!A:C,2,FALSE)</f>
        <v xml:space="preserve"> talley &amp; mike henry</v>
      </c>
      <c r="H559" t="str">
        <f>VLOOKUP($A559,donors!$A:$C,3,FALSE)</f>
        <v xml:space="preserve"> --blank--</v>
      </c>
      <c r="I559" t="s">
        <v>4840</v>
      </c>
    </row>
    <row r="560" spans="1:9">
      <c r="A560">
        <v>25</v>
      </c>
      <c r="B560">
        <v>1299</v>
      </c>
      <c r="C560" s="1">
        <v>39172</v>
      </c>
      <c r="D560">
        <v>75</v>
      </c>
      <c r="E560" t="s">
        <v>4207</v>
      </c>
      <c r="F560" t="str">
        <f>VLOOKUP(B560,judges!A:B,2,FALSE)</f>
        <v>thomas  desantos</v>
      </c>
      <c r="G560" t="str">
        <f>VLOOKUP(A560,donors!A:C,2,FALSE)</f>
        <v xml:space="preserve"> kings county bar association</v>
      </c>
      <c r="H560" t="str">
        <f>VLOOKUP($A560,donors!$A:$C,3,FALSE)</f>
        <v xml:space="preserve"> county bar association</v>
      </c>
      <c r="I560" t="s">
        <v>4841</v>
      </c>
    </row>
    <row r="561" spans="1:9">
      <c r="A561">
        <v>359</v>
      </c>
      <c r="B561">
        <v>1299</v>
      </c>
      <c r="C561" s="1">
        <v>39156</v>
      </c>
      <c r="D561">
        <v>75</v>
      </c>
      <c r="E561" t="s">
        <v>4218</v>
      </c>
      <c r="F561" t="str">
        <f>VLOOKUP(B561,judges!A:B,2,FALSE)</f>
        <v>thomas  desantos</v>
      </c>
      <c r="G561" t="str">
        <f>VLOOKUP(A561,donors!A:C,2,FALSE)</f>
        <v xml:space="preserve"> *abtl (c/o mccormick barstow) </v>
      </c>
      <c r="H561" t="str">
        <f>VLOOKUP($A561,donors!$A:$C,3,FALSE)</f>
        <v xml:space="preserve"> bar association</v>
      </c>
      <c r="I561" t="s">
        <v>4841</v>
      </c>
    </row>
    <row r="562" spans="1:9">
      <c r="A562">
        <v>359</v>
      </c>
      <c r="B562">
        <v>1299</v>
      </c>
      <c r="C562" s="1">
        <v>39395</v>
      </c>
      <c r="D562">
        <v>75</v>
      </c>
      <c r="E562" t="s">
        <v>4393</v>
      </c>
      <c r="F562" t="str">
        <f>VLOOKUP(B562,judges!A:B,2,FALSE)</f>
        <v>thomas  desantos</v>
      </c>
      <c r="G562" t="str">
        <f>VLOOKUP(A562,donors!A:C,2,FALSE)</f>
        <v xml:space="preserve"> *abtl (c/o mccormick barstow) </v>
      </c>
      <c r="H562" t="str">
        <f>VLOOKUP($A562,donors!$A:$C,3,FALSE)</f>
        <v xml:space="preserve"> bar association</v>
      </c>
      <c r="I562" t="s">
        <v>4841</v>
      </c>
    </row>
    <row r="563" spans="1:9">
      <c r="A563">
        <v>59</v>
      </c>
      <c r="B563">
        <v>1299</v>
      </c>
      <c r="C563" s="1">
        <v>39201</v>
      </c>
      <c r="D563">
        <v>100</v>
      </c>
      <c r="E563" t="s">
        <v>4534</v>
      </c>
      <c r="F563" t="str">
        <f>VLOOKUP(B563,judges!A:B,2,FALSE)</f>
        <v>thomas  desantos</v>
      </c>
      <c r="G563" t="str">
        <f>VLOOKUP(A563,donors!A:C,2,FALSE)</f>
        <v xml:space="preserve"> american board of trial advocates (abota)</v>
      </c>
      <c r="H563" t="str">
        <f>VLOOKUP($A563,donors!$A:$C,3,FALSE)</f>
        <v xml:space="preserve"> association of trail lawyers</v>
      </c>
      <c r="I563" t="s">
        <v>4841</v>
      </c>
    </row>
    <row r="564" spans="1:9">
      <c r="A564">
        <v>360</v>
      </c>
      <c r="B564">
        <v>1299</v>
      </c>
      <c r="C564" s="1">
        <v>39404</v>
      </c>
      <c r="D564">
        <v>40</v>
      </c>
      <c r="E564" t="s">
        <v>4207</v>
      </c>
      <c r="F564" t="str">
        <f>VLOOKUP(B564,judges!A:B,2,FALSE)</f>
        <v>thomas  desantos</v>
      </c>
      <c r="G564" t="str">
        <f>VLOOKUP(A564,donors!A:C,2,FALSE)</f>
        <v xml:space="preserve"> tulare/kings hispanic chamber of commerce</v>
      </c>
      <c r="H564" t="str">
        <f>VLOOKUP($A564,donors!$A:$C,3,FALSE)</f>
        <v xml:space="preserve"> business/ swearing in of officers</v>
      </c>
      <c r="I564" t="s">
        <v>4841</v>
      </c>
    </row>
    <row r="565" spans="1:9">
      <c r="A565">
        <v>361</v>
      </c>
      <c r="B565">
        <v>1308</v>
      </c>
      <c r="C565" s="1">
        <v>39444</v>
      </c>
      <c r="D565">
        <v>150</v>
      </c>
      <c r="E565" t="s">
        <v>4535</v>
      </c>
      <c r="F565" t="str">
        <f>VLOOKUP(B565,judges!A:B,2,FALSE)</f>
        <v>peter c. deddeh</v>
      </c>
      <c r="G565" t="str">
        <f>VLOOKUP(A565,donors!A:C,2,FALSE)</f>
        <v xml:space="preserve"> michael dallo</v>
      </c>
      <c r="H565" t="str">
        <f>VLOOKUP($A565,donors!$A:$C,3,FALSE)</f>
        <v xml:space="preserve"> business owner</v>
      </c>
      <c r="I565" t="s">
        <v>4842</v>
      </c>
    </row>
    <row r="566" spans="1:9">
      <c r="A566">
        <v>362</v>
      </c>
      <c r="B566">
        <v>1315</v>
      </c>
      <c r="C566" s="1">
        <v>39093</v>
      </c>
      <c r="D566">
        <v>65</v>
      </c>
      <c r="E566" t="s">
        <v>4187</v>
      </c>
      <c r="F566" t="str">
        <f>VLOOKUP(B566,judges!A:B,2,FALSE)</f>
        <v>leland  davis iii</v>
      </c>
      <c r="G566" t="str">
        <f>VLOOKUP(A566,donors!A:C,2,FALSE)</f>
        <v xml:space="preserve"> san mateo county bar associaton</v>
      </c>
      <c r="H566" t="str">
        <f>VLOOKUP($A566,donors!$A:$C,3,FALSE)</f>
        <v xml:space="preserve"> attorney orgabization</v>
      </c>
      <c r="I566" t="s">
        <v>4843</v>
      </c>
    </row>
    <row r="567" spans="1:9">
      <c r="A567">
        <v>362</v>
      </c>
      <c r="B567">
        <v>1315</v>
      </c>
      <c r="C567" s="1">
        <v>39351</v>
      </c>
      <c r="D567">
        <v>50</v>
      </c>
      <c r="E567" t="s">
        <v>4217</v>
      </c>
      <c r="F567" t="str">
        <f>VLOOKUP(B567,judges!A:B,2,FALSE)</f>
        <v>leland  davis iii</v>
      </c>
      <c r="G567" t="str">
        <f>VLOOKUP(A567,donors!A:C,2,FALSE)</f>
        <v xml:space="preserve"> san mateo county bar associaton</v>
      </c>
      <c r="H567" t="str">
        <f>VLOOKUP($A567,donors!$A:$C,3,FALSE)</f>
        <v xml:space="preserve"> attorney orgabization</v>
      </c>
      <c r="I567" t="s">
        <v>4843</v>
      </c>
    </row>
    <row r="568" spans="1:9">
      <c r="A568">
        <v>362</v>
      </c>
      <c r="B568">
        <v>1315</v>
      </c>
      <c r="C568" s="1">
        <v>39388</v>
      </c>
      <c r="D568">
        <v>65</v>
      </c>
      <c r="E568" t="s">
        <v>4187</v>
      </c>
      <c r="F568" t="str">
        <f>VLOOKUP(B568,judges!A:B,2,FALSE)</f>
        <v>leland  davis iii</v>
      </c>
      <c r="G568" t="str">
        <f>VLOOKUP(A568,donors!A:C,2,FALSE)</f>
        <v xml:space="preserve"> san mateo county bar associaton</v>
      </c>
      <c r="H568" t="str">
        <f>VLOOKUP($A568,donors!$A:$C,3,FALSE)</f>
        <v xml:space="preserve"> attorney orgabization</v>
      </c>
      <c r="I568" t="s">
        <v>4843</v>
      </c>
    </row>
    <row r="569" spans="1:9">
      <c r="A569">
        <v>13</v>
      </c>
      <c r="B569">
        <v>1315</v>
      </c>
      <c r="C569" s="1">
        <v>39421</v>
      </c>
      <c r="D569">
        <v>50</v>
      </c>
      <c r="E569" t="s">
        <v>4499</v>
      </c>
      <c r="F569" t="str">
        <f>VLOOKUP(B569,judges!A:B,2,FALSE)</f>
        <v>leland  davis iii</v>
      </c>
      <c r="G569" t="str">
        <f>VLOOKUP(A569,donors!A:C,2,FALSE)</f>
        <v xml:space="preserve"> san mateo county bar association</v>
      </c>
      <c r="H569" t="str">
        <f>VLOOKUP($A569,donors!$A:$C,3,FALSE)</f>
        <v xml:space="preserve"> attorney professional association</v>
      </c>
      <c r="I569" t="s">
        <v>4843</v>
      </c>
    </row>
    <row r="570" spans="1:9">
      <c r="A570">
        <v>363</v>
      </c>
      <c r="B570">
        <v>1342</v>
      </c>
      <c r="C570" s="2">
        <v>39578</v>
      </c>
      <c r="D570">
        <v>400</v>
      </c>
      <c r="E570" t="s">
        <v>4536</v>
      </c>
      <c r="F570" t="str">
        <f>VLOOKUP(B570,judges!A:B,2,FALSE)</f>
        <v>jac a crawford</v>
      </c>
      <c r="G570" t="str">
        <f>VLOOKUP(A570,donors!A:C,2,FALSE)</f>
        <v xml:space="preserve"> sunset magazine;</v>
      </c>
      <c r="H570" t="str">
        <f>VLOOKUP($A570,donors!$A:$C,3,FALSE)</f>
        <v xml:space="preserve"> prize drawing</v>
      </c>
      <c r="I570" t="s">
        <v>4844</v>
      </c>
    </row>
    <row r="571" spans="1:9">
      <c r="A571">
        <v>364</v>
      </c>
      <c r="B571">
        <v>1350</v>
      </c>
      <c r="C571" s="1">
        <v>39088</v>
      </c>
      <c r="D571">
        <v>50</v>
      </c>
      <c r="E571" t="s">
        <v>4537</v>
      </c>
      <c r="F571" t="str">
        <f>VLOOKUP(B571,judges!A:B,2,FALSE)</f>
        <v>steven g counelis</v>
      </c>
      <c r="G571" t="str">
        <f>VLOOKUP(A571,donors!A:C,2,FALSE)</f>
        <v xml:space="preserve"> ms. frosene phillps maniatis</v>
      </c>
      <c r="H571" t="str">
        <f>VLOOKUP($A571,donors!$A:$C,3,FALSE)</f>
        <v xml:space="preserve"> journalist</v>
      </c>
      <c r="I571" t="s">
        <v>4845</v>
      </c>
    </row>
    <row r="572" spans="1:9">
      <c r="A572">
        <v>365</v>
      </c>
      <c r="B572">
        <v>1350</v>
      </c>
      <c r="C572" s="1">
        <v>39088</v>
      </c>
      <c r="D572">
        <v>100</v>
      </c>
      <c r="E572" t="s">
        <v>4538</v>
      </c>
      <c r="F572" t="str">
        <f>VLOOKUP(B572,judges!A:B,2,FALSE)</f>
        <v>steven g counelis</v>
      </c>
      <c r="G572" t="str">
        <f>VLOOKUP(A572,donors!A:C,2,FALSE)</f>
        <v xml:space="preserve"> mrs. betty vlahos</v>
      </c>
      <c r="H572" t="str">
        <f>VLOOKUP($A572,donors!$A:$C,3,FALSE)</f>
        <v xml:space="preserve"> retired</v>
      </c>
      <c r="I572" t="s">
        <v>4845</v>
      </c>
    </row>
    <row r="573" spans="1:9">
      <c r="A573">
        <v>366</v>
      </c>
      <c r="B573">
        <v>1350</v>
      </c>
      <c r="C573" s="1">
        <v>39088</v>
      </c>
      <c r="D573">
        <v>100</v>
      </c>
      <c r="E573" t="s">
        <v>4254</v>
      </c>
      <c r="F573" t="str">
        <f>VLOOKUP(B573,judges!A:B,2,FALSE)</f>
        <v>steven g counelis</v>
      </c>
      <c r="G573" t="str">
        <f>VLOOKUP(A573,donors!A:C,2,FALSE)</f>
        <v xml:space="preserve"> mr. &amp; mrs. paul anest</v>
      </c>
      <c r="H573" t="str">
        <f>VLOOKUP($A573,donors!$A:$C,3,FALSE)</f>
        <v xml:space="preserve"> retired</v>
      </c>
      <c r="I573" t="s">
        <v>4845</v>
      </c>
    </row>
    <row r="574" spans="1:9">
      <c r="A574">
        <v>367</v>
      </c>
      <c r="B574">
        <v>1350</v>
      </c>
      <c r="C574" s="1">
        <v>39088</v>
      </c>
      <c r="D574">
        <v>50</v>
      </c>
      <c r="E574" t="s">
        <v>4539</v>
      </c>
      <c r="F574" t="str">
        <f>VLOOKUP(B574,judges!A:B,2,FALSE)</f>
        <v>steven g counelis</v>
      </c>
      <c r="G574" t="str">
        <f>VLOOKUP(A574,donors!A:C,2,FALSE)</f>
        <v xml:space="preserve"> rev. &amp; mrs. nicholas triantafilou</v>
      </c>
      <c r="H574" t="str">
        <f>VLOOKUP($A574,donors!$A:$C,3,FALSE)</f>
        <v xml:space="preserve"> clergy</v>
      </c>
      <c r="I574" t="s">
        <v>4846</v>
      </c>
    </row>
    <row r="575" spans="1:9">
      <c r="A575">
        <v>368</v>
      </c>
      <c r="B575">
        <v>1350</v>
      </c>
      <c r="C575" s="1">
        <v>39088</v>
      </c>
      <c r="D575">
        <v>100</v>
      </c>
      <c r="E575" t="s">
        <v>4540</v>
      </c>
      <c r="F575" t="str">
        <f>VLOOKUP(B575,judges!A:B,2,FALSE)</f>
        <v>steven g counelis</v>
      </c>
      <c r="G575" t="str">
        <f>VLOOKUP(A575,donors!A:C,2,FALSE)</f>
        <v xml:space="preserve"> mr. &amp; mrs. james tziouvalas</v>
      </c>
      <c r="H575" t="str">
        <f>VLOOKUP($A575,donors!$A:$C,3,FALSE)</f>
        <v xml:space="preserve"> retired/analyst</v>
      </c>
      <c r="I575" t="s">
        <v>4846</v>
      </c>
    </row>
    <row r="576" spans="1:9">
      <c r="A576">
        <v>369</v>
      </c>
      <c r="B576">
        <v>1350</v>
      </c>
      <c r="C576" s="1">
        <v>39088</v>
      </c>
      <c r="D576">
        <v>50</v>
      </c>
      <c r="E576" t="s">
        <v>4541</v>
      </c>
      <c r="F576" t="str">
        <f>VLOOKUP(B576,judges!A:B,2,FALSE)</f>
        <v>steven g counelis</v>
      </c>
      <c r="G576" t="str">
        <f>VLOOKUP(A576,donors!A:C,2,FALSE)</f>
        <v xml:space="preserve"> rev. &amp; mrs. peter stavisky</v>
      </c>
      <c r="H576" t="str">
        <f>VLOOKUP($A576,donors!$A:$C,3,FALSE)</f>
        <v xml:space="preserve"> clergy</v>
      </c>
      <c r="I576" t="s">
        <v>4846</v>
      </c>
    </row>
    <row r="577" spans="1:9">
      <c r="A577">
        <v>370</v>
      </c>
      <c r="B577">
        <v>1350</v>
      </c>
      <c r="C577" t="s">
        <v>3019</v>
      </c>
      <c r="D577">
        <v>100</v>
      </c>
      <c r="E577" t="s">
        <v>4444</v>
      </c>
      <c r="F577" t="str">
        <f>VLOOKUP(B577,judges!A:B,2,FALSE)</f>
        <v>steven g counelis</v>
      </c>
      <c r="G577" t="str">
        <f>VLOOKUP(A577,donors!A:C,2,FALSE)</f>
        <v xml:space="preserve"> mr. &amp; mrs. ted theodorou</v>
      </c>
      <c r="H577" t="str">
        <f>VLOOKUP($A577,donors!$A:$C,3,FALSE)</f>
        <v xml:space="preserve"> project manager/retired</v>
      </c>
      <c r="I577" t="s">
        <v>4846</v>
      </c>
    </row>
    <row r="578" spans="1:9">
      <c r="A578">
        <v>371</v>
      </c>
      <c r="B578">
        <v>1350</v>
      </c>
      <c r="C578" s="1">
        <v>39088</v>
      </c>
      <c r="D578">
        <v>300</v>
      </c>
      <c r="E578" t="s">
        <v>4542</v>
      </c>
      <c r="F578" t="str">
        <f>VLOOKUP(B578,judges!A:B,2,FALSE)</f>
        <v>steven g counelis</v>
      </c>
      <c r="G578" t="str">
        <f>VLOOKUP(A578,donors!A:C,2,FALSE)</f>
        <v xml:space="preserve"> dr. &amp; mrs. james sellas</v>
      </c>
      <c r="H578" t="str">
        <f>VLOOKUP($A578,donors!$A:$C,3,FALSE)</f>
        <v xml:space="preserve"> oral surgeon</v>
      </c>
      <c r="I578" t="s">
        <v>4846</v>
      </c>
    </row>
    <row r="579" spans="1:9">
      <c r="A579">
        <v>372</v>
      </c>
      <c r="B579">
        <v>1350</v>
      </c>
      <c r="C579" s="1">
        <v>39088</v>
      </c>
      <c r="D579">
        <v>50</v>
      </c>
      <c r="E579" t="s">
        <v>4543</v>
      </c>
      <c r="F579" t="str">
        <f>VLOOKUP(B579,judges!A:B,2,FALSE)</f>
        <v>steven g counelis</v>
      </c>
      <c r="G579" t="str">
        <f>VLOOKUP(A579,donors!A:C,2,FALSE)</f>
        <v xml:space="preserve"> mr. &amp; mrs. theodore sakkis</v>
      </c>
      <c r="H579" t="str">
        <f>VLOOKUP($A579,donors!$A:$C,3,FALSE)</f>
        <v xml:space="preserve"> retired</v>
      </c>
      <c r="I579" t="s">
        <v>4846</v>
      </c>
    </row>
    <row r="580" spans="1:9">
      <c r="A580">
        <v>373</v>
      </c>
      <c r="B580">
        <v>1350</v>
      </c>
      <c r="C580" s="1">
        <v>39088</v>
      </c>
      <c r="D580">
        <v>100</v>
      </c>
      <c r="E580" t="s">
        <v>4444</v>
      </c>
      <c r="F580" t="str">
        <f>VLOOKUP(B580,judges!A:B,2,FALSE)</f>
        <v>steven g counelis</v>
      </c>
      <c r="G580" t="str">
        <f>VLOOKUP(A580,donors!A:C,2,FALSE)</f>
        <v xml:space="preserve"> dr. &amp; mrs. david matty</v>
      </c>
      <c r="H580" t="str">
        <f>VLOOKUP($A580,donors!$A:$C,3,FALSE)</f>
        <v xml:space="preserve"> business owner</v>
      </c>
      <c r="I580" t="s">
        <v>4847</v>
      </c>
    </row>
    <row r="581" spans="1:9">
      <c r="A581">
        <v>374</v>
      </c>
      <c r="B581">
        <v>1350</v>
      </c>
      <c r="C581" s="1">
        <v>39088</v>
      </c>
      <c r="D581">
        <v>100</v>
      </c>
      <c r="E581" t="s">
        <v>4544</v>
      </c>
      <c r="F581" t="str">
        <f>VLOOKUP(B581,judges!A:B,2,FALSE)</f>
        <v>steven g counelis</v>
      </c>
      <c r="G581" t="str">
        <f>VLOOKUP(A581,donors!A:C,2,FALSE)</f>
        <v xml:space="preserve"> mr. chris hondros</v>
      </c>
      <c r="H581" t="str">
        <f>VLOOKUP($A581,donors!$A:$C,3,FALSE)</f>
        <v xml:space="preserve"> student</v>
      </c>
      <c r="I581" t="s">
        <v>4847</v>
      </c>
    </row>
    <row r="582" spans="1:9">
      <c r="A582">
        <v>375</v>
      </c>
      <c r="B582">
        <v>1350</v>
      </c>
      <c r="C582" s="1">
        <v>39088</v>
      </c>
      <c r="D582">
        <v>50</v>
      </c>
      <c r="E582" t="s">
        <v>4545</v>
      </c>
      <c r="F582" t="str">
        <f>VLOOKUP(B582,judges!A:B,2,FALSE)</f>
        <v>steven g counelis</v>
      </c>
      <c r="G582" t="str">
        <f>VLOOKUP(A582,donors!A:C,2,FALSE)</f>
        <v xml:space="preserve"> mr. &amp; mrs. craig lewandowski</v>
      </c>
      <c r="H582" t="str">
        <f>VLOOKUP($A582,donors!$A:$C,3,FALSE)</f>
        <v xml:space="preserve"> small business owners</v>
      </c>
      <c r="I582" t="s">
        <v>4847</v>
      </c>
    </row>
    <row r="583" spans="1:9">
      <c r="A583">
        <v>376</v>
      </c>
      <c r="B583">
        <v>1350</v>
      </c>
      <c r="C583" s="1">
        <v>39088</v>
      </c>
      <c r="D583">
        <v>100</v>
      </c>
      <c r="E583" t="s">
        <v>4254</v>
      </c>
      <c r="F583" t="str">
        <f>VLOOKUP(B583,judges!A:B,2,FALSE)</f>
        <v>steven g counelis</v>
      </c>
      <c r="G583" t="str">
        <f>VLOOKUP(A583,donors!A:C,2,FALSE)</f>
        <v xml:space="preserve"> ms. sharon matty</v>
      </c>
      <c r="H583" t="str">
        <f>VLOOKUP($A583,donors!$A:$C,3,FALSE)</f>
        <v xml:space="preserve"> white collar/sales</v>
      </c>
      <c r="I583" t="s">
        <v>4847</v>
      </c>
    </row>
    <row r="584" spans="1:9">
      <c r="A584">
        <v>377</v>
      </c>
      <c r="B584">
        <v>1350</v>
      </c>
      <c r="C584" s="1">
        <v>39088</v>
      </c>
      <c r="D584">
        <v>300</v>
      </c>
      <c r="E584" t="s">
        <v>4524</v>
      </c>
      <c r="F584" t="str">
        <f>VLOOKUP(B584,judges!A:B,2,FALSE)</f>
        <v>steven g counelis</v>
      </c>
      <c r="G584" t="str">
        <f>VLOOKUP(A584,donors!A:C,2,FALSE)</f>
        <v xml:space="preserve"> mr. &amp; mrs. gerry ranglas</v>
      </c>
      <c r="H584" t="str">
        <f>VLOOKUP($A584,donors!$A:$C,3,FALSE)</f>
        <v xml:space="preserve"> real estate development</v>
      </c>
      <c r="I584" t="s">
        <v>4847</v>
      </c>
    </row>
    <row r="585" spans="1:9">
      <c r="A585">
        <v>378</v>
      </c>
      <c r="B585">
        <v>1350</v>
      </c>
      <c r="C585" s="1">
        <v>39088</v>
      </c>
      <c r="D585">
        <v>100</v>
      </c>
      <c r="E585" t="s">
        <v>4546</v>
      </c>
      <c r="F585" t="str">
        <f>VLOOKUP(B585,judges!A:B,2,FALSE)</f>
        <v>steven g counelis</v>
      </c>
      <c r="G585" t="str">
        <f>VLOOKUP(A585,donors!A:C,2,FALSE)</f>
        <v xml:space="preserve"> mr. &amp; mrs. constantine tzavaras</v>
      </c>
      <c r="H585" t="str">
        <f>VLOOKUP($A585,donors!$A:$C,3,FALSE)</f>
        <v xml:space="preserve"> pilot/human resources</v>
      </c>
      <c r="I585" t="s">
        <v>4847</v>
      </c>
    </row>
    <row r="586" spans="1:9">
      <c r="A586">
        <v>379</v>
      </c>
      <c r="B586">
        <v>1350</v>
      </c>
      <c r="C586" s="1">
        <v>39088</v>
      </c>
      <c r="D586">
        <v>200</v>
      </c>
      <c r="E586" t="s">
        <v>4547</v>
      </c>
      <c r="F586" t="str">
        <f>VLOOKUP(B586,judges!A:B,2,FALSE)</f>
        <v>steven g counelis</v>
      </c>
      <c r="G586" t="str">
        <f>VLOOKUP(A586,donors!A:C,2,FALSE)</f>
        <v xml:space="preserve"> mr. &amp; mrs. john georgiou</v>
      </c>
      <c r="H586" t="str">
        <f>VLOOKUP($A586,donors!$A:$C,3,FALSE)</f>
        <v xml:space="preserve"> retired</v>
      </c>
      <c r="I586" t="s">
        <v>4848</v>
      </c>
    </row>
    <row r="587" spans="1:9">
      <c r="A587">
        <v>380</v>
      </c>
      <c r="B587">
        <v>1350</v>
      </c>
      <c r="C587" s="1">
        <v>39088</v>
      </c>
      <c r="D587">
        <v>200</v>
      </c>
      <c r="E587" t="s">
        <v>4548</v>
      </c>
      <c r="F587" t="str">
        <f>VLOOKUP(B587,judges!A:B,2,FALSE)</f>
        <v>steven g counelis</v>
      </c>
      <c r="G587" t="str">
        <f>VLOOKUP(A587,donors!A:C,2,FALSE)</f>
        <v xml:space="preserve"> mr. &amp; mrs. david chilimidos</v>
      </c>
      <c r="H587" t="str">
        <f>VLOOKUP($A587,donors!$A:$C,3,FALSE)</f>
        <v xml:space="preserve"> retired/deputy da</v>
      </c>
      <c r="I587" t="s">
        <v>4848</v>
      </c>
    </row>
    <row r="588" spans="1:9">
      <c r="A588">
        <v>381</v>
      </c>
      <c r="B588">
        <v>1350</v>
      </c>
      <c r="C588" s="1">
        <v>39088</v>
      </c>
      <c r="D588">
        <v>50</v>
      </c>
      <c r="E588" t="s">
        <v>4549</v>
      </c>
      <c r="F588" t="str">
        <f>VLOOKUP(B588,judges!A:B,2,FALSE)</f>
        <v>steven g counelis</v>
      </c>
      <c r="G588" t="str">
        <f>VLOOKUP(A588,donors!A:C,2,FALSE)</f>
        <v xml:space="preserve"> mr. &amp; mrs. james hronas</v>
      </c>
      <c r="H588" t="str">
        <f>VLOOKUP($A588,donors!$A:$C,3,FALSE)</f>
        <v xml:space="preserve"> small business owners</v>
      </c>
      <c r="I588" t="s">
        <v>4848</v>
      </c>
    </row>
    <row r="589" spans="1:9">
      <c r="A589">
        <v>382</v>
      </c>
      <c r="B589">
        <v>1350</v>
      </c>
      <c r="C589" s="1">
        <v>39088</v>
      </c>
      <c r="D589">
        <v>420</v>
      </c>
      <c r="E589" t="s">
        <v>4550</v>
      </c>
      <c r="F589" t="str">
        <f>VLOOKUP(B589,judges!A:B,2,FALSE)</f>
        <v>steven g counelis</v>
      </c>
      <c r="G589" t="str">
        <f>VLOOKUP(A589,donors!A:C,2,FALSE)</f>
        <v xml:space="preserve"> mr. &amp; dr. peter &amp; katherine kouvelis</v>
      </c>
      <c r="H589" t="str">
        <f>VLOOKUP($A589,donors!$A:$C,3,FALSE)</f>
        <v xml:space="preserve"> ret. police officer/phyician</v>
      </c>
      <c r="I589" t="s">
        <v>4848</v>
      </c>
    </row>
    <row r="590" spans="1:9">
      <c r="A590">
        <v>383</v>
      </c>
      <c r="B590">
        <v>1350</v>
      </c>
      <c r="C590" s="1">
        <v>39088</v>
      </c>
      <c r="D590">
        <v>300</v>
      </c>
      <c r="E590" t="s">
        <v>4551</v>
      </c>
      <c r="F590" t="str">
        <f>VLOOKUP(B590,judges!A:B,2,FALSE)</f>
        <v>steven g counelis</v>
      </c>
      <c r="G590" t="str">
        <f>VLOOKUP(A590,donors!A:C,2,FALSE)</f>
        <v xml:space="preserve"> mrs. alice kopan</v>
      </c>
      <c r="H590" t="str">
        <f>VLOOKUP($A590,donors!$A:$C,3,FALSE)</f>
        <v xml:space="preserve"> retired</v>
      </c>
      <c r="I590" t="s">
        <v>4848</v>
      </c>
    </row>
    <row r="591" spans="1:9">
      <c r="A591">
        <v>383</v>
      </c>
      <c r="B591">
        <v>1350</v>
      </c>
      <c r="C591" s="1">
        <v>39088</v>
      </c>
      <c r="D591">
        <v>50</v>
      </c>
      <c r="E591" t="s">
        <v>4362</v>
      </c>
      <c r="F591" t="str">
        <f>VLOOKUP(B591,judges!A:B,2,FALSE)</f>
        <v>steven g counelis</v>
      </c>
      <c r="G591" t="str">
        <f>VLOOKUP(A591,donors!A:C,2,FALSE)</f>
        <v xml:space="preserve"> mrs. alice kopan</v>
      </c>
      <c r="H591" t="str">
        <f>VLOOKUP($A591,donors!$A:$C,3,FALSE)</f>
        <v xml:space="preserve"> retired</v>
      </c>
      <c r="I591" t="s">
        <v>4848</v>
      </c>
    </row>
    <row r="592" spans="1:9">
      <c r="A592">
        <v>383</v>
      </c>
      <c r="B592">
        <v>1350</v>
      </c>
      <c r="C592" s="1">
        <v>39088</v>
      </c>
      <c r="D592">
        <v>200</v>
      </c>
      <c r="E592" t="s">
        <v>4552</v>
      </c>
      <c r="F592" t="str">
        <f>VLOOKUP(B592,judges!A:B,2,FALSE)</f>
        <v>steven g counelis</v>
      </c>
      <c r="G592" t="str">
        <f>VLOOKUP(A592,donors!A:C,2,FALSE)</f>
        <v xml:space="preserve"> mrs. alice kopan</v>
      </c>
      <c r="H592" t="str">
        <f>VLOOKUP($A592,donors!$A:$C,3,FALSE)</f>
        <v xml:space="preserve"> retired</v>
      </c>
      <c r="I592" t="s">
        <v>4848</v>
      </c>
    </row>
    <row r="593" spans="1:9">
      <c r="A593">
        <v>384</v>
      </c>
      <c r="B593">
        <v>1350</v>
      </c>
      <c r="C593" s="1">
        <v>39088</v>
      </c>
      <c r="D593">
        <v>100</v>
      </c>
      <c r="E593" t="s">
        <v>4254</v>
      </c>
      <c r="F593" t="str">
        <f>VLOOKUP(B593,judges!A:B,2,FALSE)</f>
        <v>steven g counelis</v>
      </c>
      <c r="G593" t="str">
        <f>VLOOKUP(A593,donors!A:C,2,FALSE)</f>
        <v xml:space="preserve"> dr. &amp; mrs. james kallins</v>
      </c>
      <c r="H593" t="str">
        <f>VLOOKUP($A593,donors!$A:$C,3,FALSE)</f>
        <v xml:space="preserve"> retired</v>
      </c>
      <c r="I593" t="s">
        <v>4848</v>
      </c>
    </row>
    <row r="594" spans="1:9">
      <c r="A594">
        <v>385</v>
      </c>
      <c r="B594">
        <v>1350</v>
      </c>
      <c r="C594" s="1">
        <v>39088</v>
      </c>
      <c r="D594">
        <v>50</v>
      </c>
      <c r="E594" t="s">
        <v>4538</v>
      </c>
      <c r="F594" t="str">
        <f>VLOOKUP(B594,judges!A:B,2,FALSE)</f>
        <v>steven g counelis</v>
      </c>
      <c r="G594" t="str">
        <f>VLOOKUP(A594,donors!A:C,2,FALSE)</f>
        <v xml:space="preserve"> rev. &amp; mrs. john alexandres</v>
      </c>
      <c r="H594" t="str">
        <f>VLOOKUP($A594,donors!$A:$C,3,FALSE)</f>
        <v xml:space="preserve"> clergy</v>
      </c>
      <c r="I594" t="s">
        <v>4849</v>
      </c>
    </row>
    <row r="595" spans="1:9">
      <c r="A595">
        <v>386</v>
      </c>
      <c r="B595">
        <v>1350</v>
      </c>
      <c r="C595" s="1">
        <v>39088</v>
      </c>
      <c r="D595">
        <v>50</v>
      </c>
      <c r="E595" t="s">
        <v>4553</v>
      </c>
      <c r="F595" t="str">
        <f>VLOOKUP(B595,judges!A:B,2,FALSE)</f>
        <v>steven g counelis</v>
      </c>
      <c r="G595" t="str">
        <f>VLOOKUP(A595,donors!A:C,2,FALSE)</f>
        <v xml:space="preserve"> mr. &amp; mrs. gus christopoulos</v>
      </c>
      <c r="H595" t="str">
        <f>VLOOKUP($A595,donors!$A:$C,3,FALSE)</f>
        <v xml:space="preserve"> restaurant owner</v>
      </c>
      <c r="I595" t="s">
        <v>4849</v>
      </c>
    </row>
    <row r="596" spans="1:9">
      <c r="A596">
        <v>387</v>
      </c>
      <c r="B596">
        <v>1350</v>
      </c>
      <c r="C596" s="1">
        <v>39088</v>
      </c>
      <c r="D596">
        <v>200</v>
      </c>
      <c r="E596" t="s">
        <v>4554</v>
      </c>
      <c r="F596" t="str">
        <f>VLOOKUP(B596,judges!A:B,2,FALSE)</f>
        <v>steven g counelis</v>
      </c>
      <c r="G596" t="str">
        <f>VLOOKUP(A596,donors!A:C,2,FALSE)</f>
        <v xml:space="preserve"> mrs. mary datillo</v>
      </c>
      <c r="H596" t="str">
        <f>VLOOKUP($A596,donors!$A:$C,3,FALSE)</f>
        <v xml:space="preserve"> retired</v>
      </c>
      <c r="I596" t="s">
        <v>4849</v>
      </c>
    </row>
    <row r="597" spans="1:9">
      <c r="A597">
        <v>388</v>
      </c>
      <c r="B597">
        <v>1350</v>
      </c>
      <c r="C597" s="1">
        <v>39088</v>
      </c>
      <c r="D597">
        <v>25</v>
      </c>
      <c r="E597" t="s">
        <v>4555</v>
      </c>
      <c r="F597" t="str">
        <f>VLOOKUP(B597,judges!A:B,2,FALSE)</f>
        <v>steven g counelis</v>
      </c>
      <c r="G597" t="str">
        <f>VLOOKUP(A597,donors!A:C,2,FALSE)</f>
        <v xml:space="preserve"> mr.&amp; mrs. george alexandres</v>
      </c>
      <c r="H597" t="str">
        <f>VLOOKUP($A597,donors!$A:$C,3,FALSE)</f>
        <v xml:space="preserve"> retired</v>
      </c>
      <c r="I597" t="s">
        <v>4849</v>
      </c>
    </row>
    <row r="598" spans="1:9">
      <c r="A598">
        <v>389</v>
      </c>
      <c r="B598">
        <v>1350</v>
      </c>
      <c r="C598" s="1">
        <v>39088</v>
      </c>
      <c r="D598">
        <v>110</v>
      </c>
      <c r="E598" t="s">
        <v>4556</v>
      </c>
      <c r="F598" t="str">
        <f>VLOOKUP(B598,judges!A:B,2,FALSE)</f>
        <v>steven g counelis</v>
      </c>
      <c r="G598" t="str">
        <f>VLOOKUP(A598,donors!A:C,2,FALSE)</f>
        <v xml:space="preserve"> mr. &amp; mrs. angelo georggin</v>
      </c>
      <c r="H598" t="str">
        <f>VLOOKUP($A598,donors!$A:$C,3,FALSE)</f>
        <v xml:space="preserve"> attorney</v>
      </c>
      <c r="I598" t="s">
        <v>4849</v>
      </c>
    </row>
    <row r="599" spans="1:9">
      <c r="A599">
        <v>390</v>
      </c>
      <c r="B599">
        <v>1350</v>
      </c>
      <c r="C599" s="1">
        <v>39088</v>
      </c>
      <c r="D599">
        <v>65</v>
      </c>
      <c r="E599" t="s">
        <v>4361</v>
      </c>
      <c r="F599" t="str">
        <f>VLOOKUP(B599,judges!A:B,2,FALSE)</f>
        <v>steven g counelis</v>
      </c>
      <c r="G599" t="str">
        <f>VLOOKUP(A599,donors!A:C,2,FALSE)</f>
        <v xml:space="preserve"> metropolitan gerasimos of san francisco</v>
      </c>
      <c r="H599" t="str">
        <f>VLOOKUP($A599,donors!$A:$C,3,FALSE)</f>
        <v xml:space="preserve"> clergy</v>
      </c>
      <c r="I599" t="s">
        <v>4849</v>
      </c>
    </row>
    <row r="600" spans="1:9">
      <c r="A600">
        <v>391</v>
      </c>
      <c r="B600">
        <v>1363</v>
      </c>
      <c r="C600" s="1">
        <v>39160</v>
      </c>
      <c r="D600">
        <v>100</v>
      </c>
      <c r="E600" t="s">
        <v>4557</v>
      </c>
      <c r="F600" t="str">
        <f>VLOOKUP(B600,judges!A:B,2,FALSE)</f>
        <v>rebecca  connolly</v>
      </c>
      <c r="G600" t="str">
        <f>VLOOKUP(A600,donors!A:C,2,FALSE)</f>
        <v xml:space="preserve"> aptos chamber of commerce</v>
      </c>
      <c r="H600" t="str">
        <f>VLOOKUP($A600,donors!$A:$C,3,FALSE)</f>
        <v xml:space="preserve"> --blank--</v>
      </c>
      <c r="I600" t="s">
        <v>4850</v>
      </c>
    </row>
    <row r="601" spans="1:9">
      <c r="A601">
        <v>392</v>
      </c>
      <c r="B601">
        <v>1375</v>
      </c>
      <c r="C601" s="1">
        <v>39196</v>
      </c>
      <c r="D601">
        <v>125</v>
      </c>
      <c r="E601" t="s">
        <v>4558</v>
      </c>
      <c r="F601" t="str">
        <f>VLOOKUP(B601,judges!A:B,2,FALSE)</f>
        <v>thierry patrick colaw</v>
      </c>
      <c r="G601" t="str">
        <f>VLOOKUP(A601,donors!A:C,2,FALSE)</f>
        <v xml:space="preserve"> chris day</v>
      </c>
      <c r="H601" t="str">
        <f>VLOOKUP($A601,donors!$A:$C,3,FALSE)</f>
        <v xml:space="preserve"> none-friend</v>
      </c>
      <c r="I601" t="s">
        <v>4851</v>
      </c>
    </row>
    <row r="602" spans="1:9">
      <c r="A602">
        <v>393</v>
      </c>
      <c r="B602">
        <v>1375</v>
      </c>
      <c r="C602" s="1">
        <v>39227</v>
      </c>
      <c r="D602">
        <v>50</v>
      </c>
      <c r="E602" t="s">
        <v>4559</v>
      </c>
      <c r="F602" t="str">
        <f>VLOOKUP(B602,judges!A:B,2,FALSE)</f>
        <v>thierry patrick colaw</v>
      </c>
      <c r="G602" t="str">
        <f>VLOOKUP(A602,donors!A:C,2,FALSE)</f>
        <v xml:space="preserve"> orange county trial lawyers assoc.</v>
      </c>
      <c r="H602" t="str">
        <f>VLOOKUP($A602,donors!$A:$C,3,FALSE)</f>
        <v xml:space="preserve"> --blank--</v>
      </c>
      <c r="I602" t="s">
        <v>4851</v>
      </c>
    </row>
    <row r="603" spans="1:9">
      <c r="A603">
        <v>114</v>
      </c>
      <c r="B603">
        <v>1375</v>
      </c>
      <c r="C603" s="1">
        <v>39330</v>
      </c>
      <c r="D603">
        <v>75</v>
      </c>
      <c r="E603" t="s">
        <v>4560</v>
      </c>
      <c r="F603" t="str">
        <f>VLOOKUP(B603,judges!A:B,2,FALSE)</f>
        <v>thierry patrick colaw</v>
      </c>
      <c r="G603" t="str">
        <f>VLOOKUP(A603,donors!A:C,2,FALSE)</f>
        <v xml:space="preserve"> mark robinson</v>
      </c>
      <c r="H603" t="str">
        <f>VLOOKUP($A603,donors!$A:$C,3,FALSE)</f>
        <v xml:space="preserve"> attorney</v>
      </c>
      <c r="I603" t="s">
        <v>4851</v>
      </c>
    </row>
    <row r="604" spans="1:9">
      <c r="A604">
        <v>394</v>
      </c>
      <c r="B604">
        <v>1375</v>
      </c>
      <c r="C604" s="1">
        <v>39353</v>
      </c>
      <c r="D604">
        <v>125</v>
      </c>
      <c r="E604" t="s">
        <v>4309</v>
      </c>
      <c r="F604" t="str">
        <f>VLOOKUP(B604,judges!A:B,2,FALSE)</f>
        <v>thierry patrick colaw</v>
      </c>
      <c r="G604" t="str">
        <f>VLOOKUP(A604,donors!A:C,2,FALSE)</f>
        <v xml:space="preserve"> judicate west</v>
      </c>
      <c r="H604" t="str">
        <f>VLOOKUP($A604,donors!$A:$C,3,FALSE)</f>
        <v xml:space="preserve"> adr services</v>
      </c>
      <c r="I604" t="s">
        <v>4851</v>
      </c>
    </row>
    <row r="605" spans="1:9">
      <c r="A605">
        <v>393</v>
      </c>
      <c r="B605">
        <v>1375</v>
      </c>
      <c r="C605" s="1">
        <v>39241</v>
      </c>
      <c r="D605">
        <v>50</v>
      </c>
      <c r="E605" t="s">
        <v>4561</v>
      </c>
      <c r="F605" t="str">
        <f>VLOOKUP(B605,judges!A:B,2,FALSE)</f>
        <v>thierry patrick colaw</v>
      </c>
      <c r="G605" t="str">
        <f>VLOOKUP(A605,donors!A:C,2,FALSE)</f>
        <v xml:space="preserve"> orange county trial lawyers assoc.</v>
      </c>
      <c r="H605" t="str">
        <f>VLOOKUP($A605,donors!$A:$C,3,FALSE)</f>
        <v xml:space="preserve"> --blank--</v>
      </c>
      <c r="I605" t="s">
        <v>4851</v>
      </c>
    </row>
    <row r="606" spans="1:9">
      <c r="A606">
        <v>395</v>
      </c>
      <c r="B606">
        <v>1375</v>
      </c>
      <c r="C606" s="1">
        <v>39424</v>
      </c>
      <c r="D606">
        <v>200</v>
      </c>
      <c r="E606" t="s">
        <v>4562</v>
      </c>
      <c r="F606" t="str">
        <f>VLOOKUP(B606,judges!A:B,2,FALSE)</f>
        <v>thierry patrick colaw</v>
      </c>
      <c r="G606" t="str">
        <f>VLOOKUP(A606,donors!A:C,2,FALSE)</f>
        <v xml:space="preserve"> robinson robinson &amp; callafnie</v>
      </c>
      <c r="H606" t="str">
        <f>VLOOKUP($A606,donors!$A:$C,3,FALSE)</f>
        <v xml:space="preserve"> law firm</v>
      </c>
      <c r="I606" t="s">
        <v>4851</v>
      </c>
    </row>
    <row r="607" spans="1:9">
      <c r="A607">
        <v>396</v>
      </c>
      <c r="B607">
        <v>1385</v>
      </c>
      <c r="C607" s="1">
        <v>39101</v>
      </c>
      <c r="D607">
        <v>8676</v>
      </c>
      <c r="E607" t="s">
        <v>4563</v>
      </c>
      <c r="F607" t="str">
        <f>VLOOKUP(B607,judges!A:B,2,FALSE)</f>
        <v>william d. claster</v>
      </c>
      <c r="G607" t="str">
        <f>VLOOKUP(A607,donors!A:C,2,FALSE)</f>
        <v xml:space="preserve"> gibson dunn + cruteher llp</v>
      </c>
      <c r="H607" t="str">
        <f>VLOOKUP($A607,donors!$A:$C,3,FALSE)</f>
        <v xml:space="preserve"> law firm</v>
      </c>
      <c r="I607" t="s">
        <v>4852</v>
      </c>
    </row>
    <row r="608" spans="1:9">
      <c r="A608">
        <v>396</v>
      </c>
      <c r="B608">
        <v>1385</v>
      </c>
      <c r="C608" s="1">
        <v>39153</v>
      </c>
      <c r="D608">
        <v>75</v>
      </c>
      <c r="E608" t="s">
        <v>4564</v>
      </c>
      <c r="F608" t="str">
        <f>VLOOKUP(B608,judges!A:B,2,FALSE)</f>
        <v>william d. claster</v>
      </c>
      <c r="G608" t="str">
        <f>VLOOKUP(A608,donors!A:C,2,FALSE)</f>
        <v xml:space="preserve"> gibson dunn + cruteher llp</v>
      </c>
      <c r="H608" t="str">
        <f>VLOOKUP($A608,donors!$A:$C,3,FALSE)</f>
        <v xml:space="preserve"> law firm</v>
      </c>
      <c r="I608" t="s">
        <v>4852</v>
      </c>
    </row>
    <row r="609" spans="1:9">
      <c r="A609">
        <v>69</v>
      </c>
      <c r="B609">
        <v>1393</v>
      </c>
      <c r="C609" s="1">
        <v>39101</v>
      </c>
      <c r="D609">
        <v>79.34</v>
      </c>
      <c r="E609" t="s">
        <v>4565</v>
      </c>
      <c r="F609" t="str">
        <f>VLOOKUP(B609,judges!A:B,2,FALSE)</f>
        <v>deborah jane chuang</v>
      </c>
      <c r="G609" t="str">
        <f>VLOOKUP(A609,donors!A:C,2,FALSE)</f>
        <v xml:space="preserve"> orange county bar association</v>
      </c>
      <c r="H609" t="str">
        <f>VLOOKUP($A609,donors!$A:$C,3,FALSE)</f>
        <v xml:space="preserve"> bar association</v>
      </c>
      <c r="I609" t="s">
        <v>4853</v>
      </c>
    </row>
    <row r="610" spans="1:9">
      <c r="A610">
        <v>397</v>
      </c>
      <c r="B610">
        <v>1397</v>
      </c>
      <c r="C610" s="1">
        <v>39440</v>
      </c>
      <c r="D610">
        <v>200</v>
      </c>
      <c r="E610" t="s">
        <v>4311</v>
      </c>
      <c r="F610" t="str">
        <f>VLOOKUP(B610,judges!A:B,2,FALSE)</f>
        <v>rene auguste chouteau</v>
      </c>
      <c r="G610" t="str">
        <f>VLOOKUP(A610,donors!A:C,2,FALSE)</f>
        <v xml:space="preserve"> katherine hall</v>
      </c>
      <c r="H610" t="str">
        <f>VLOOKUP($A610,donors!$A:$C,3,FALSE)</f>
        <v xml:space="preserve"> winery</v>
      </c>
      <c r="I610" t="s">
        <v>4854</v>
      </c>
    </row>
    <row r="611" spans="1:9">
      <c r="A611">
        <v>398</v>
      </c>
      <c r="B611">
        <v>1402</v>
      </c>
      <c r="C611" s="1">
        <v>39341</v>
      </c>
      <c r="D611">
        <v>80</v>
      </c>
      <c r="E611" t="s">
        <v>4566</v>
      </c>
      <c r="F611" t="str">
        <f>VLOOKUP(B611,judges!A:B,2,FALSE)</f>
        <v>vincent j. chiarello</v>
      </c>
      <c r="G611" t="str">
        <f>VLOOKUP(A611,donors!A:C,2,FALSE)</f>
        <v xml:space="preserve"> morrison &amp; foerster</v>
      </c>
      <c r="H611" t="str">
        <f>VLOOKUP($A611,donors!$A:$C,3,FALSE)</f>
        <v xml:space="preserve"> law firm</v>
      </c>
      <c r="I611" t="s">
        <v>4855</v>
      </c>
    </row>
    <row r="612" spans="1:9">
      <c r="A612">
        <v>398</v>
      </c>
      <c r="B612">
        <v>1402</v>
      </c>
      <c r="C612" s="1">
        <v>39359</v>
      </c>
      <c r="D612">
        <v>20</v>
      </c>
      <c r="E612" t="s">
        <v>4567</v>
      </c>
      <c r="F612" t="str">
        <f>VLOOKUP(B612,judges!A:B,2,FALSE)</f>
        <v>vincent j. chiarello</v>
      </c>
      <c r="G612" t="str">
        <f>VLOOKUP(A612,donors!A:C,2,FALSE)</f>
        <v xml:space="preserve"> morrison &amp; foerster</v>
      </c>
      <c r="H612" t="str">
        <f>VLOOKUP($A612,donors!$A:$C,3,FALSE)</f>
        <v xml:space="preserve"> law firm</v>
      </c>
      <c r="I612" t="s">
        <v>4855</v>
      </c>
    </row>
    <row r="613" spans="1:9">
      <c r="A613">
        <v>63</v>
      </c>
      <c r="B613">
        <v>1430</v>
      </c>
      <c r="C613" s="1">
        <v>39403</v>
      </c>
      <c r="D613">
        <v>250</v>
      </c>
      <c r="E613" t="s">
        <v>4356</v>
      </c>
      <c r="F613" t="str">
        <f>VLOOKUP(B613,judges!A:B,2,FALSE)</f>
        <v>michaela p. candela</v>
      </c>
      <c r="G613" t="str">
        <f>VLOOKUP(A613,donors!A:C,2,FALSE)</f>
        <v xml:space="preserve"> tate snyder kimsey</v>
      </c>
      <c r="H613" t="str">
        <f>VLOOKUP($A613,donors!$A:$C,3,FALSE)</f>
        <v xml:space="preserve"> architect</v>
      </c>
      <c r="I613" t="s">
        <v>4856</v>
      </c>
    </row>
    <row r="614" spans="1:9">
      <c r="A614">
        <v>12</v>
      </c>
      <c r="B614">
        <v>1432</v>
      </c>
      <c r="C614" s="1">
        <v>39219</v>
      </c>
      <c r="D614">
        <v>128.25</v>
      </c>
      <c r="E614" t="s">
        <v>4568</v>
      </c>
      <c r="F614" t="str">
        <f>VLOOKUP(B614,judges!A:B,2,FALSE)</f>
        <v>yvonne esperanza campos</v>
      </c>
      <c r="G614" t="str">
        <f>VLOOKUP(A614,donors!A:C,2,FALSE)</f>
        <v xml:space="preserve"> california judges association</v>
      </c>
      <c r="H614" t="str">
        <f>VLOOKUP($A614,donors!$A:$C,3,FALSE)</f>
        <v xml:space="preserve"> professional association (board member</v>
      </c>
      <c r="I614" t="s">
        <v>4857</v>
      </c>
    </row>
    <row r="615" spans="1:9">
      <c r="A615">
        <v>399</v>
      </c>
      <c r="B615">
        <v>1432</v>
      </c>
      <c r="C615" s="1">
        <v>39336</v>
      </c>
      <c r="D615">
        <v>400</v>
      </c>
      <c r="E615" t="s">
        <v>4569</v>
      </c>
      <c r="F615" t="str">
        <f>VLOOKUP(B615,judges!A:B,2,FALSE)</f>
        <v>yvonne esperanza campos</v>
      </c>
      <c r="G615" t="str">
        <f>VLOOKUP(A615,donors!A:C,2,FALSE)</f>
        <v xml:space="preserve"> american judges association</v>
      </c>
      <c r="H615" t="str">
        <f>VLOOKUP($A615,donors!$A:$C,3,FALSE)</f>
        <v xml:space="preserve"> judicial conference- cle</v>
      </c>
      <c r="I615" t="s">
        <v>4857</v>
      </c>
    </row>
    <row r="616" spans="1:9">
      <c r="A616">
        <v>400</v>
      </c>
      <c r="B616">
        <v>1436</v>
      </c>
      <c r="C616" t="s">
        <v>3020</v>
      </c>
      <c r="D616">
        <v>100</v>
      </c>
      <c r="E616" t="s">
        <v>4468</v>
      </c>
      <c r="F616" t="str">
        <f>VLOOKUP(B616,judges!A:B,2,FALSE)</f>
        <v>carolyn m caietti</v>
      </c>
      <c r="G616" t="str">
        <f>VLOOKUP(A616,donors!A:C,2,FALSE)</f>
        <v xml:space="preserve"> our lady of peace academy</v>
      </c>
      <c r="H616" t="str">
        <f>VLOOKUP($A616,donors!$A:$C,3,FALSE)</f>
        <v xml:space="preserve"> --blank--</v>
      </c>
      <c r="I616" t="s">
        <v>4858</v>
      </c>
    </row>
    <row r="617" spans="1:9">
      <c r="A617">
        <v>401</v>
      </c>
      <c r="B617">
        <v>1436</v>
      </c>
      <c r="D617">
        <v>100</v>
      </c>
      <c r="E617" t="s">
        <v>4570</v>
      </c>
      <c r="F617" t="str">
        <f>VLOOKUP(B617,judges!A:B,2,FALSE)</f>
        <v>carolyn m caietti</v>
      </c>
      <c r="G617" t="str">
        <f>VLOOKUP(A617,donors!A:C,2,FALSE)</f>
        <v xml:space="preserve"> eric chodorow c/o prudential</v>
      </c>
      <c r="H617" t="str">
        <f>VLOOKUP($A617,donors!$A:$C,3,FALSE)</f>
        <v xml:space="preserve"> --blank--</v>
      </c>
      <c r="I617" t="s">
        <v>4858</v>
      </c>
    </row>
    <row r="618" spans="1:9">
      <c r="A618">
        <v>402</v>
      </c>
      <c r="B618">
        <v>1436</v>
      </c>
      <c r="C618" t="s">
        <v>3021</v>
      </c>
      <c r="D618">
        <v>100</v>
      </c>
      <c r="E618" t="s">
        <v>4571</v>
      </c>
      <c r="F618" t="str">
        <f>VLOOKUP(B618,judges!A:B,2,FALSE)</f>
        <v>carolyn m caietti</v>
      </c>
      <c r="G618" t="str">
        <f>VLOOKUP(A618,donors!A:C,2,FALSE)</f>
        <v xml:space="preserve"> bartell hotels</v>
      </c>
      <c r="H618" t="str">
        <f>VLOOKUP($A618,donors!$A:$C,3,FALSE)</f>
        <v xml:space="preserve"> --blank--</v>
      </c>
      <c r="I618" t="s">
        <v>4858</v>
      </c>
    </row>
    <row r="619" spans="1:9">
      <c r="A619">
        <v>402</v>
      </c>
      <c r="B619">
        <v>1436</v>
      </c>
      <c r="C619" s="2">
        <v>39762</v>
      </c>
      <c r="D619">
        <v>50</v>
      </c>
      <c r="E619" t="s">
        <v>4572</v>
      </c>
      <c r="F619" t="str">
        <f>VLOOKUP(B619,judges!A:B,2,FALSE)</f>
        <v>carolyn m caietti</v>
      </c>
      <c r="G619" t="str">
        <f>VLOOKUP(A619,donors!A:C,2,FALSE)</f>
        <v xml:space="preserve"> bartell hotels</v>
      </c>
      <c r="H619" t="str">
        <f>VLOOKUP($A619,donors!$A:$C,3,FALSE)</f>
        <v xml:space="preserve"> --blank--</v>
      </c>
      <c r="I619" t="s">
        <v>4858</v>
      </c>
    </row>
    <row r="620" spans="1:9">
      <c r="A620">
        <v>403</v>
      </c>
      <c r="B620">
        <v>1436</v>
      </c>
      <c r="D620">
        <v>50</v>
      </c>
      <c r="E620" t="s">
        <v>4217</v>
      </c>
      <c r="F620" t="str">
        <f>VLOOKUP(B620,judges!A:B,2,FALSE)</f>
        <v>carolyn m caietti</v>
      </c>
      <c r="G620" t="str">
        <f>VLOOKUP(A620,donors!A:C,2,FALSE)</f>
        <v xml:space="preserve"> voices 4 children</v>
      </c>
      <c r="H620" t="str">
        <f>VLOOKUP($A620,donors!$A:$C,3,FALSE)</f>
        <v xml:space="preserve"> --blank--</v>
      </c>
      <c r="I620" t="s">
        <v>4858</v>
      </c>
    </row>
    <row r="621" spans="1:9">
      <c r="A621">
        <v>404</v>
      </c>
      <c r="B621">
        <v>1436</v>
      </c>
      <c r="C621" t="s">
        <v>2999</v>
      </c>
      <c r="D621">
        <v>175</v>
      </c>
      <c r="E621" t="s">
        <v>4573</v>
      </c>
      <c r="F621" t="str">
        <f>VLOOKUP(B621,judges!A:B,2,FALSE)</f>
        <v>carolyn m caietti</v>
      </c>
      <c r="G621" t="str">
        <f>VLOOKUP(A621,donors!A:C,2,FALSE)</f>
        <v xml:space="preserve"> (d)(5)</v>
      </c>
      <c r="H621" t="str">
        <f>VLOOKUP($A621,donors!$A:$C,3,FALSE)</f>
        <v xml:space="preserve"> --blank--</v>
      </c>
      <c r="I621" t="s">
        <v>4858</v>
      </c>
    </row>
    <row r="622" spans="1:9">
      <c r="A622">
        <v>405</v>
      </c>
      <c r="B622">
        <v>1440</v>
      </c>
      <c r="C622" s="1">
        <v>39660</v>
      </c>
      <c r="D622">
        <v>160</v>
      </c>
      <c r="E622" t="s">
        <v>4574</v>
      </c>
      <c r="F622" t="str">
        <f>VLOOKUP(B622,judges!A:B,2,FALSE)</f>
        <v>carlos a. cabrera</v>
      </c>
      <c r="G622" t="str">
        <f>VLOOKUP(A622,donors!A:C,2,FALSE)</f>
        <v xml:space="preserve"> table mountain rancheria</v>
      </c>
      <c r="H622" t="str">
        <f>VLOOKUP($A622,donors!$A:$C,3,FALSE)</f>
        <v xml:space="preserve"> casino</v>
      </c>
      <c r="I622" t="s">
        <v>4859</v>
      </c>
    </row>
    <row r="623" spans="1:9">
      <c r="A623">
        <v>405</v>
      </c>
      <c r="B623">
        <v>1440</v>
      </c>
      <c r="C623" s="1">
        <v>39725</v>
      </c>
      <c r="D623">
        <v>160</v>
      </c>
      <c r="E623" t="s">
        <v>4575</v>
      </c>
      <c r="F623" t="str">
        <f>VLOOKUP(B623,judges!A:B,2,FALSE)</f>
        <v>carlos a. cabrera</v>
      </c>
      <c r="G623" t="str">
        <f>VLOOKUP(A623,donors!A:C,2,FALSE)</f>
        <v xml:space="preserve"> table mountain rancheria</v>
      </c>
      <c r="H623" t="str">
        <f>VLOOKUP($A623,donors!$A:$C,3,FALSE)</f>
        <v xml:space="preserve"> casino</v>
      </c>
      <c r="I623" t="s">
        <v>4859</v>
      </c>
    </row>
    <row r="624" spans="1:9">
      <c r="A624">
        <v>406</v>
      </c>
      <c r="B624">
        <v>1443</v>
      </c>
      <c r="C624" s="1">
        <v>39166</v>
      </c>
      <c r="D624">
        <v>299</v>
      </c>
      <c r="E624" t="s">
        <v>4576</v>
      </c>
      <c r="F624" t="str">
        <f>VLOOKUP(B624,judges!A:B,2,FALSE)</f>
        <v>christine  byrd</v>
      </c>
      <c r="G624" t="str">
        <f>VLOOKUP(A624,donors!A:C,2,FALSE)</f>
        <v xml:space="preserve"> irell &amp; manella llp</v>
      </c>
      <c r="H624" t="str">
        <f>VLOOKUP($A624,donors!$A:$C,3,FALSE)</f>
        <v xml:space="preserve"> law firm</v>
      </c>
      <c r="I624" t="s">
        <v>4860</v>
      </c>
    </row>
    <row r="625" spans="1:9">
      <c r="A625">
        <v>407</v>
      </c>
      <c r="B625">
        <v>1446</v>
      </c>
      <c r="C625" s="1">
        <v>39214</v>
      </c>
      <c r="D625">
        <v>420</v>
      </c>
      <c r="E625" t="s">
        <v>4577</v>
      </c>
      <c r="F625" t="str">
        <f>VLOOKUP(B625,judges!A:B,2,FALSE)</f>
        <v>peter  busch</v>
      </c>
      <c r="G625" t="str">
        <f>VLOOKUP(A625,donors!A:C,2,FALSE)</f>
        <v xml:space="preserve"> howard rice nemerovski canady falk &amp;rabkin</v>
      </c>
      <c r="H625" t="str">
        <f>VLOOKUP($A625,donors!$A:$C,3,FALSE)</f>
        <v xml:space="preserve"> law firm</v>
      </c>
      <c r="I625" t="s">
        <v>4861</v>
      </c>
    </row>
    <row r="626" spans="1:9">
      <c r="A626">
        <v>25</v>
      </c>
      <c r="B626">
        <v>1448</v>
      </c>
      <c r="C626" s="1">
        <v>39172</v>
      </c>
      <c r="D626">
        <v>50</v>
      </c>
      <c r="E626" t="s">
        <v>4187</v>
      </c>
      <c r="F626" t="str">
        <f>VLOOKUP(B626,judges!A:B,2,FALSE)</f>
        <v>shane  burns robert</v>
      </c>
      <c r="G626" t="str">
        <f>VLOOKUP(A626,donors!A:C,2,FALSE)</f>
        <v xml:space="preserve"> kings county bar association</v>
      </c>
      <c r="H626" t="str">
        <f>VLOOKUP($A626,donors!$A:$C,3,FALSE)</f>
        <v xml:space="preserve"> county bar association</v>
      </c>
      <c r="I626" t="s">
        <v>4862</v>
      </c>
    </row>
    <row r="627" spans="1:9">
      <c r="A627">
        <v>8</v>
      </c>
      <c r="B627">
        <v>1448</v>
      </c>
      <c r="C627" s="1">
        <v>39395</v>
      </c>
      <c r="D627">
        <v>50</v>
      </c>
      <c r="E627" t="s">
        <v>4187</v>
      </c>
      <c r="F627" t="str">
        <f>VLOOKUP(B627,judges!A:B,2,FALSE)</f>
        <v>shane  burns robert</v>
      </c>
      <c r="G627" t="str">
        <f>VLOOKUP(A627,donors!A:C,2,FALSE)</f>
        <v xml:space="preserve"> association of business trial lawyers</v>
      </c>
      <c r="H627" t="str">
        <f>VLOOKUP($A627,donors!$A:$C,3,FALSE)</f>
        <v xml:space="preserve"> bar association</v>
      </c>
      <c r="I627" t="s">
        <v>4862</v>
      </c>
    </row>
    <row r="628" spans="1:9">
      <c r="A628">
        <v>150</v>
      </c>
      <c r="B628">
        <v>1459</v>
      </c>
      <c r="C628" s="1">
        <v>39083</v>
      </c>
      <c r="D628">
        <v>75</v>
      </c>
      <c r="E628" t="s">
        <v>4578</v>
      </c>
      <c r="F628" t="str">
        <f>VLOOKUP(B628,judges!A:B,2,FALSE)</f>
        <v>gerald j. buchwald</v>
      </c>
      <c r="G628" t="str">
        <f>VLOOKUP(A628,donors!A:C,2,FALSE)</f>
        <v xml:space="preserve"> assn of business trial lawyers</v>
      </c>
      <c r="H628" t="str">
        <f>VLOOKUP($A628,donors!$A:$C,3,FALSE)</f>
        <v xml:space="preserve"> bus.trial atty org  </v>
      </c>
      <c r="I628" t="s">
        <v>4863</v>
      </c>
    </row>
    <row r="629" spans="1:9">
      <c r="A629">
        <v>150</v>
      </c>
      <c r="B629">
        <v>1459</v>
      </c>
      <c r="C629" s="1">
        <v>39337</v>
      </c>
      <c r="D629">
        <v>75</v>
      </c>
      <c r="E629" t="s">
        <v>4187</v>
      </c>
      <c r="F629" t="str">
        <f>VLOOKUP(B629,judges!A:B,2,FALSE)</f>
        <v>gerald j. buchwald</v>
      </c>
      <c r="G629" t="str">
        <f>VLOOKUP(A629,donors!A:C,2,FALSE)</f>
        <v xml:space="preserve"> assn of business trial lawyers</v>
      </c>
      <c r="H629" t="str">
        <f>VLOOKUP($A629,donors!$A:$C,3,FALSE)</f>
        <v xml:space="preserve"> bus.trial atty org  </v>
      </c>
      <c r="I629" t="s">
        <v>4863</v>
      </c>
    </row>
    <row r="630" spans="1:9">
      <c r="A630">
        <v>150</v>
      </c>
      <c r="B630">
        <v>1459</v>
      </c>
      <c r="C630" s="1">
        <v>39428</v>
      </c>
      <c r="D630">
        <v>75</v>
      </c>
      <c r="E630" t="s">
        <v>4187</v>
      </c>
      <c r="F630" t="str">
        <f>VLOOKUP(B630,judges!A:B,2,FALSE)</f>
        <v>gerald j. buchwald</v>
      </c>
      <c r="G630" t="str">
        <f>VLOOKUP(A630,donors!A:C,2,FALSE)</f>
        <v xml:space="preserve"> assn of business trial lawyers</v>
      </c>
      <c r="H630" t="str">
        <f>VLOOKUP($A630,donors!$A:$C,3,FALSE)</f>
        <v xml:space="preserve"> bus.trial atty org  </v>
      </c>
      <c r="I630" t="s">
        <v>4863</v>
      </c>
    </row>
    <row r="631" spans="1:9">
      <c r="A631">
        <v>408</v>
      </c>
      <c r="B631">
        <v>1477</v>
      </c>
      <c r="C631" s="1">
        <v>39172</v>
      </c>
      <c r="D631">
        <v>115</v>
      </c>
      <c r="E631" t="s">
        <v>4579</v>
      </c>
      <c r="F631" t="str">
        <f>VLOOKUP(B631,judges!A:B,2,FALSE)</f>
        <v>david ira brown</v>
      </c>
      <c r="G631" t="str">
        <f>VLOOKUP(A631,donors!A:C,2,FALSE)</f>
        <v xml:space="preserve"> ned &amp; laurel harlan</v>
      </c>
      <c r="H631" t="str">
        <f>VLOOKUP($A631,donors!$A:$C,3,FALSE)</f>
        <v xml:space="preserve"> wedding officiant</v>
      </c>
      <c r="I631" t="s">
        <v>4864</v>
      </c>
    </row>
    <row r="632" spans="1:9">
      <c r="A632">
        <v>409</v>
      </c>
      <c r="B632">
        <v>1477</v>
      </c>
      <c r="C632" s="1">
        <v>39386</v>
      </c>
      <c r="D632">
        <v>100</v>
      </c>
      <c r="E632" t="s">
        <v>4187</v>
      </c>
      <c r="F632" t="str">
        <f>VLOOKUP(B632,judges!A:B,2,FALSE)</f>
        <v>david ira brown</v>
      </c>
      <c r="G632" t="str">
        <f>VLOOKUP(A632,donors!A:C,2,FALSE)</f>
        <v xml:space="preserve"> michael i.neil</v>
      </c>
      <c r="H632" t="str">
        <f>VLOOKUP($A632,donors!$A:$C,3,FALSE)</f>
        <v xml:space="preserve"> lawyer</v>
      </c>
      <c r="I632" t="s">
        <v>4865</v>
      </c>
    </row>
    <row r="633" spans="1:9">
      <c r="A633">
        <v>410</v>
      </c>
      <c r="B633">
        <v>1489</v>
      </c>
      <c r="C633" s="1">
        <v>39283</v>
      </c>
      <c r="D633">
        <v>75</v>
      </c>
      <c r="E633" t="s">
        <v>4580</v>
      </c>
      <c r="F633" t="str">
        <f>VLOOKUP(B633,judges!A:B,2,FALSE)</f>
        <v>steven a. brick</v>
      </c>
      <c r="G633" t="str">
        <f>VLOOKUP(A633,donors!A:C,2,FALSE)</f>
        <v xml:space="preserve"> legal aid soc/employment law center</v>
      </c>
      <c r="H633" t="str">
        <f>VLOOKUP($A633,donors!$A:$C,3,FALSE)</f>
        <v xml:space="preserve"> legal aid provided</v>
      </c>
      <c r="I633" t="s">
        <v>4866</v>
      </c>
    </row>
    <row r="634" spans="1:9">
      <c r="A634">
        <v>411</v>
      </c>
      <c r="B634">
        <v>1489</v>
      </c>
      <c r="C634" s="1">
        <v>39105</v>
      </c>
      <c r="D634">
        <v>55</v>
      </c>
      <c r="E634" t="s">
        <v>4581</v>
      </c>
      <c r="F634" t="str">
        <f>VLOOKUP(B634,judges!A:B,2,FALSE)</f>
        <v>steven a. brick</v>
      </c>
      <c r="G634" t="str">
        <f>VLOOKUP(A634,donors!A:C,2,FALSE)</f>
        <v xml:space="preserve"> assn of business trial lawyers- nor cal</v>
      </c>
      <c r="H634" t="str">
        <f>VLOOKUP($A634,donors!$A:$C,3,FALSE)</f>
        <v xml:space="preserve"> prof assn - con't education</v>
      </c>
      <c r="I634" t="s">
        <v>4867</v>
      </c>
    </row>
    <row r="635" spans="1:9">
      <c r="A635">
        <v>411</v>
      </c>
      <c r="B635">
        <v>1489</v>
      </c>
      <c r="C635" s="1">
        <v>39155</v>
      </c>
      <c r="D635">
        <v>55</v>
      </c>
      <c r="E635" t="s">
        <v>4581</v>
      </c>
      <c r="F635" t="str">
        <f>VLOOKUP(B635,judges!A:B,2,FALSE)</f>
        <v>steven a. brick</v>
      </c>
      <c r="G635" t="str">
        <f>VLOOKUP(A635,donors!A:C,2,FALSE)</f>
        <v xml:space="preserve"> assn of business trial lawyers- nor cal</v>
      </c>
      <c r="H635" t="str">
        <f>VLOOKUP($A635,donors!$A:$C,3,FALSE)</f>
        <v xml:space="preserve"> prof assn - con't education</v>
      </c>
      <c r="I635" t="s">
        <v>4867</v>
      </c>
    </row>
    <row r="636" spans="1:9">
      <c r="A636">
        <v>411</v>
      </c>
      <c r="B636">
        <v>1489</v>
      </c>
      <c r="C636" s="1">
        <v>39211</v>
      </c>
      <c r="D636">
        <v>55</v>
      </c>
      <c r="E636" t="s">
        <v>4581</v>
      </c>
      <c r="F636" t="str">
        <f>VLOOKUP(B636,judges!A:B,2,FALSE)</f>
        <v>steven a. brick</v>
      </c>
      <c r="G636" t="str">
        <f>VLOOKUP(A636,donors!A:C,2,FALSE)</f>
        <v xml:space="preserve"> assn of business trial lawyers- nor cal</v>
      </c>
      <c r="H636" t="str">
        <f>VLOOKUP($A636,donors!$A:$C,3,FALSE)</f>
        <v xml:space="preserve"> prof assn - con't education</v>
      </c>
      <c r="I636" t="s">
        <v>4867</v>
      </c>
    </row>
    <row r="637" spans="1:9">
      <c r="A637">
        <v>412</v>
      </c>
      <c r="B637">
        <v>1489</v>
      </c>
      <c r="C637" s="1">
        <v>39099</v>
      </c>
      <c r="D637">
        <v>100</v>
      </c>
      <c r="E637" t="s">
        <v>4582</v>
      </c>
      <c r="F637" t="str">
        <f>VLOOKUP(B637,judges!A:B,2,FALSE)</f>
        <v>steven a. brick</v>
      </c>
      <c r="G637" t="str">
        <f>VLOOKUP(A637,donors!A:C,2,FALSE)</f>
        <v xml:space="preserve"> alameda - ...</v>
      </c>
      <c r="H637" t="str">
        <f>VLOOKUP($A637,donors!$A:$C,3,FALSE)</f>
        <v xml:space="preserve"> prof assn</v>
      </c>
      <c r="I637" t="s">
        <v>4867</v>
      </c>
    </row>
    <row r="638" spans="1:9">
      <c r="A638">
        <v>413</v>
      </c>
      <c r="B638">
        <v>1489</v>
      </c>
      <c r="C638" s="1">
        <v>39337</v>
      </c>
      <c r="D638">
        <v>55</v>
      </c>
      <c r="E638" t="s">
        <v>4581</v>
      </c>
      <c r="F638" t="str">
        <f>VLOOKUP(B638,judges!A:B,2,FALSE)</f>
        <v>steven a. brick</v>
      </c>
      <c r="G638" t="str">
        <f>VLOOKUP(A638,donors!A:C,2,FALSE)</f>
        <v xml:space="preserve"> assn of bus trial lawyers - con't</v>
      </c>
      <c r="H638" t="str">
        <f>VLOOKUP($A638,donors!$A:$C,3,FALSE)</f>
        <v xml:space="preserve"> --blank--</v>
      </c>
      <c r="I638" t="s">
        <v>4867</v>
      </c>
    </row>
    <row r="639" spans="1:9">
      <c r="A639">
        <v>413</v>
      </c>
      <c r="B639">
        <v>1489</v>
      </c>
      <c r="C639" t="s">
        <v>3022</v>
      </c>
      <c r="D639">
        <v>200</v>
      </c>
      <c r="E639" t="s">
        <v>4583</v>
      </c>
      <c r="F639" t="str">
        <f>VLOOKUP(B639,judges!A:B,2,FALSE)</f>
        <v>steven a. brick</v>
      </c>
      <c r="G639" t="str">
        <f>VLOOKUP(A639,donors!A:C,2,FALSE)</f>
        <v xml:space="preserve"> assn of bus trial lawyers - con't</v>
      </c>
      <c r="H639" t="str">
        <f>VLOOKUP($A639,donors!$A:$C,3,FALSE)</f>
        <v xml:space="preserve"> --blank--</v>
      </c>
      <c r="I639" t="s">
        <v>4867</v>
      </c>
    </row>
    <row r="640" spans="1:9">
      <c r="A640">
        <v>413</v>
      </c>
      <c r="B640">
        <v>1489</v>
      </c>
      <c r="C640" s="1">
        <v>39281</v>
      </c>
      <c r="D640">
        <v>35</v>
      </c>
      <c r="E640" t="s">
        <v>4584</v>
      </c>
      <c r="F640" t="str">
        <f>VLOOKUP(B640,judges!A:B,2,FALSE)</f>
        <v>steven a. brick</v>
      </c>
      <c r="G640" t="str">
        <f>VLOOKUP(A640,donors!A:C,2,FALSE)</f>
        <v xml:space="preserve"> assn of bus trial lawyers - con't</v>
      </c>
      <c r="H640" t="str">
        <f>VLOOKUP($A640,donors!$A:$C,3,FALSE)</f>
        <v xml:space="preserve"> --blank--</v>
      </c>
      <c r="I640" t="s">
        <v>4867</v>
      </c>
    </row>
    <row r="641" spans="1:9">
      <c r="A641">
        <v>414</v>
      </c>
      <c r="B641">
        <v>1489</v>
      </c>
      <c r="C641" t="s">
        <v>3023</v>
      </c>
      <c r="D641">
        <v>100</v>
      </c>
      <c r="E641" t="s">
        <v>4585</v>
      </c>
      <c r="F641" t="str">
        <f>VLOOKUP(B641,judges!A:B,2,FALSE)</f>
        <v>steven a. brick</v>
      </c>
      <c r="G641" t="str">
        <f>VLOOKUP(A641,donors!A:C,2,FALSE)</f>
        <v xml:space="preserve"> bar assn of san francisco</v>
      </c>
      <c r="H641" t="str">
        <f>VLOOKUP($A641,donors!$A:$C,3,FALSE)</f>
        <v xml:space="preserve"> prof assn</v>
      </c>
      <c r="I641" t="s">
        <v>4867</v>
      </c>
    </row>
    <row r="642" spans="1:9">
      <c r="A642">
        <v>414</v>
      </c>
      <c r="B642">
        <v>1489</v>
      </c>
      <c r="C642" s="1">
        <v>39344</v>
      </c>
      <c r="D642">
        <v>100</v>
      </c>
      <c r="E642" t="s">
        <v>4586</v>
      </c>
      <c r="F642" t="str">
        <f>VLOOKUP(B642,judges!A:B,2,FALSE)</f>
        <v>steven a. brick</v>
      </c>
      <c r="G642" t="str">
        <f>VLOOKUP(A642,donors!A:C,2,FALSE)</f>
        <v xml:space="preserve"> bar assn of san francisco</v>
      </c>
      <c r="H642" t="str">
        <f>VLOOKUP($A642,donors!$A:$C,3,FALSE)</f>
        <v xml:space="preserve"> prof assn</v>
      </c>
      <c r="I642" t="s">
        <v>4867</v>
      </c>
    </row>
    <row r="643" spans="1:9">
      <c r="A643">
        <v>415</v>
      </c>
      <c r="B643">
        <v>1489</v>
      </c>
      <c r="C643" t="s">
        <v>3024</v>
      </c>
      <c r="D643">
        <v>1806.77</v>
      </c>
      <c r="E643" t="s">
        <v>4587</v>
      </c>
      <c r="F643" t="str">
        <f>VLOOKUP(B643,judges!A:B,2,FALSE)</f>
        <v>steven a. brick</v>
      </c>
      <c r="G643" t="str">
        <f>VLOOKUP(A643,donors!A:C,2,FALSE)</f>
        <v xml:space="preserve"> abtl (con't)</v>
      </c>
      <c r="H643" t="str">
        <f>VLOOKUP($A643,donors!$A:$C,3,FALSE)</f>
        <v xml:space="preserve"> --blank--</v>
      </c>
      <c r="I643" t="s">
        <v>4867</v>
      </c>
    </row>
    <row r="644" spans="1:9">
      <c r="A644">
        <v>416</v>
      </c>
      <c r="B644">
        <v>1489</v>
      </c>
      <c r="C644" t="s">
        <v>3025</v>
      </c>
      <c r="D644">
        <v>457.23</v>
      </c>
      <c r="E644" t="s">
        <v>4588</v>
      </c>
      <c r="F644" t="str">
        <f>VLOOKUP(B644,judges!A:B,2,FALSE)</f>
        <v>steven a. brick</v>
      </c>
      <c r="G644" t="str">
        <f>VLOOKUP(A644,donors!A:C,2,FALSE)</f>
        <v xml:space="preserve"> h b litigation conference llc</v>
      </c>
      <c r="H644" t="str">
        <f>VLOOKUP($A644,donors!$A:$C,3,FALSE)</f>
        <v xml:space="preserve"> legal education - mass torte seminar</v>
      </c>
      <c r="I644" t="s">
        <v>4867</v>
      </c>
    </row>
    <row r="645" spans="1:9">
      <c r="A645">
        <v>417</v>
      </c>
      <c r="B645">
        <v>1507</v>
      </c>
      <c r="C645" s="1">
        <v>39307</v>
      </c>
      <c r="D645">
        <v>70</v>
      </c>
      <c r="E645" t="s">
        <v>4589</v>
      </c>
      <c r="F645" t="str">
        <f>VLOOKUP(B645,judges!A:B,2,FALSE)</f>
        <v>jeffrey stanley bostwick</v>
      </c>
      <c r="G645" t="str">
        <f>VLOOKUP(A645,donors!A:C,2,FALSE)</f>
        <v xml:space="preserve"> jack d. furst</v>
      </c>
      <c r="H645" t="str">
        <f>VLOOKUP($A645,donors!$A:$C,3,FALSE)</f>
        <v xml:space="preserve"> business investments and acquisitions</v>
      </c>
      <c r="I645" t="s">
        <v>4868</v>
      </c>
    </row>
    <row r="646" spans="1:9">
      <c r="A646">
        <v>417</v>
      </c>
      <c r="B646">
        <v>1507</v>
      </c>
      <c r="C646" s="1">
        <v>39307</v>
      </c>
      <c r="D646">
        <v>15</v>
      </c>
      <c r="E646" t="s">
        <v>4590</v>
      </c>
      <c r="F646" t="str">
        <f>VLOOKUP(B646,judges!A:B,2,FALSE)</f>
        <v>jeffrey stanley bostwick</v>
      </c>
      <c r="G646" t="str">
        <f>VLOOKUP(A646,donors!A:C,2,FALSE)</f>
        <v xml:space="preserve"> jack d. furst</v>
      </c>
      <c r="H646" t="str">
        <f>VLOOKUP($A646,donors!$A:$C,3,FALSE)</f>
        <v xml:space="preserve"> business investments and acquisitions</v>
      </c>
      <c r="I646" t="s">
        <v>4868</v>
      </c>
    </row>
    <row r="647" spans="1:9">
      <c r="A647">
        <v>417</v>
      </c>
      <c r="B647">
        <v>1507</v>
      </c>
      <c r="C647" s="1">
        <v>39310</v>
      </c>
      <c r="D647">
        <v>12</v>
      </c>
      <c r="E647" t="s">
        <v>4591</v>
      </c>
      <c r="F647" t="str">
        <f>VLOOKUP(B647,judges!A:B,2,FALSE)</f>
        <v>jeffrey stanley bostwick</v>
      </c>
      <c r="G647" t="str">
        <f>VLOOKUP(A647,donors!A:C,2,FALSE)</f>
        <v xml:space="preserve"> jack d. furst</v>
      </c>
      <c r="H647" t="str">
        <f>VLOOKUP($A647,donors!$A:$C,3,FALSE)</f>
        <v xml:space="preserve"> business investments and acquisitions</v>
      </c>
      <c r="I647" t="s">
        <v>4868</v>
      </c>
    </row>
    <row r="648" spans="1:9">
      <c r="A648">
        <v>418</v>
      </c>
      <c r="B648">
        <v>1507</v>
      </c>
      <c r="C648" s="1">
        <v>39311</v>
      </c>
      <c r="D648">
        <v>110</v>
      </c>
      <c r="E648" t="s">
        <v>4592</v>
      </c>
      <c r="F648" t="str">
        <f>VLOOKUP(B648,judges!A:B,2,FALSE)</f>
        <v>jeffrey stanley bostwick</v>
      </c>
      <c r="G648" t="str">
        <f>VLOOKUP(A648,donors!A:C,2,FALSE)</f>
        <v xml:space="preserve"> jack d. furst (con't)</v>
      </c>
      <c r="H648" t="str">
        <f>VLOOKUP($A648,donors!$A:$C,3,FALSE)</f>
        <v xml:space="preserve"> above</v>
      </c>
      <c r="I648" t="s">
        <v>4868</v>
      </c>
    </row>
    <row r="649" spans="1:9">
      <c r="A649">
        <v>418</v>
      </c>
      <c r="B649">
        <v>1507</v>
      </c>
      <c r="C649" s="1">
        <v>39311</v>
      </c>
      <c r="D649">
        <v>37</v>
      </c>
      <c r="E649" t="s">
        <v>4593</v>
      </c>
      <c r="F649" t="str">
        <f>VLOOKUP(B649,judges!A:B,2,FALSE)</f>
        <v>jeffrey stanley bostwick</v>
      </c>
      <c r="G649" t="str">
        <f>VLOOKUP(A649,donors!A:C,2,FALSE)</f>
        <v xml:space="preserve"> jack d. furst (con't)</v>
      </c>
      <c r="H649" t="str">
        <f>VLOOKUP($A649,donors!$A:$C,3,FALSE)</f>
        <v xml:space="preserve"> above</v>
      </c>
      <c r="I649" t="s">
        <v>4868</v>
      </c>
    </row>
    <row r="650" spans="1:9">
      <c r="A650">
        <v>418</v>
      </c>
      <c r="B650">
        <v>1507</v>
      </c>
      <c r="C650" s="1">
        <v>39313</v>
      </c>
      <c r="D650">
        <v>30</v>
      </c>
      <c r="E650" t="s">
        <v>4594</v>
      </c>
      <c r="F650" t="str">
        <f>VLOOKUP(B650,judges!A:B,2,FALSE)</f>
        <v>jeffrey stanley bostwick</v>
      </c>
      <c r="G650" t="str">
        <f>VLOOKUP(A650,donors!A:C,2,FALSE)</f>
        <v xml:space="preserve"> jack d. furst (con't)</v>
      </c>
      <c r="H650" t="str">
        <f>VLOOKUP($A650,donors!$A:$C,3,FALSE)</f>
        <v xml:space="preserve"> above</v>
      </c>
      <c r="I650" t="s">
        <v>4868</v>
      </c>
    </row>
    <row r="651" spans="1:9">
      <c r="A651">
        <v>419</v>
      </c>
      <c r="B651">
        <v>1507</v>
      </c>
      <c r="C651" s="1">
        <v>39226</v>
      </c>
      <c r="D651">
        <v>200</v>
      </c>
      <c r="E651" t="s">
        <v>4595</v>
      </c>
      <c r="F651" t="str">
        <f>VLOOKUP(B651,judges!A:B,2,FALSE)</f>
        <v>jeffrey stanley bostwick</v>
      </c>
      <c r="G651" t="str">
        <f>VLOOKUP(A651,donors!A:C,2,FALSE)</f>
        <v xml:space="preserve"> michael griffin</v>
      </c>
      <c r="H651" t="str">
        <f>VLOOKUP($A651,donors!$A:$C,3,FALSE)</f>
        <v xml:space="preserve"> logistics activity scheduler</v>
      </c>
      <c r="I651" t="s">
        <v>4868</v>
      </c>
    </row>
    <row r="652" spans="1:9">
      <c r="A652">
        <v>420</v>
      </c>
      <c r="B652">
        <v>1511</v>
      </c>
      <c r="C652" t="s">
        <v>3026</v>
      </c>
      <c r="D652">
        <v>160</v>
      </c>
      <c r="E652" t="s">
        <v>4596</v>
      </c>
      <c r="F652" t="str">
        <f>VLOOKUP(B652,judges!A:B,2,FALSE)</f>
        <v>terry a. bork</v>
      </c>
      <c r="G652" t="str">
        <f>VLOOKUP(A652,donors!A:C,2,FALSE)</f>
        <v xml:space="preserve"> robert budman</v>
      </c>
      <c r="H652" t="str">
        <f>VLOOKUP($A652,donors!$A:$C,3,FALSE)</f>
        <v xml:space="preserve"> deputy district attorney</v>
      </c>
      <c r="I652" t="s">
        <v>4869</v>
      </c>
    </row>
    <row r="653" spans="1:9">
      <c r="A653">
        <v>421</v>
      </c>
      <c r="B653">
        <v>1511</v>
      </c>
      <c r="C653" s="2">
        <v>39701</v>
      </c>
      <c r="D653">
        <v>50</v>
      </c>
      <c r="E653" t="s">
        <v>4597</v>
      </c>
      <c r="F653" t="str">
        <f>VLOOKUP(B653,judges!A:B,2,FALSE)</f>
        <v>terry a. bork</v>
      </c>
      <c r="G653" t="str">
        <f>VLOOKUP(A653,donors!A:C,2,FALSE)</f>
        <v xml:space="preserve"> dick s. tom sr.</v>
      </c>
      <c r="H653" t="str">
        <f>VLOOKUP($A653,donors!$A:$C,3,FALSE)</f>
        <v xml:space="preserve"> deputy public defender</v>
      </c>
      <c r="I653" t="s">
        <v>4869</v>
      </c>
    </row>
    <row r="654" spans="1:9">
      <c r="A654">
        <v>422</v>
      </c>
      <c r="B654">
        <v>1517</v>
      </c>
      <c r="C654" s="1">
        <v>39419</v>
      </c>
      <c r="D654">
        <v>250</v>
      </c>
      <c r="E654" t="s">
        <v>4598</v>
      </c>
      <c r="F654" t="str">
        <f>VLOOKUP(B654,judges!A:B,2,FALSE)</f>
        <v>franklin e bondonno</v>
      </c>
      <c r="G654" t="str">
        <f>VLOOKUP(A654,donors!A:C,2,FALSE)</f>
        <v xml:space="preserve"> cascade oaks holding co.</v>
      </c>
      <c r="H654" t="str">
        <f>VLOOKUP($A654,donors!$A:$C,3,FALSE)</f>
        <v xml:space="preserve"> hy 99 &amp; harney lang lodi ca</v>
      </c>
      <c r="I654" t="s">
        <v>4870</v>
      </c>
    </row>
    <row r="655" spans="1:9">
      <c r="A655">
        <v>423</v>
      </c>
      <c r="B655">
        <v>1517</v>
      </c>
      <c r="C655" s="1">
        <v>39445</v>
      </c>
      <c r="D655">
        <v>20</v>
      </c>
      <c r="E655" t="s">
        <v>4362</v>
      </c>
      <c r="F655" t="str">
        <f>VLOOKUP(B655,judges!A:B,2,FALSE)</f>
        <v>franklin e bondonno</v>
      </c>
      <c r="G655" t="str">
        <f>VLOOKUP(A655,donors!A:C,2,FALSE)</f>
        <v xml:space="preserve"> rev. dr. alan jones &amp; rev.</v>
      </c>
      <c r="H655" t="str">
        <f>VLOOKUP($A655,donors!$A:$C,3,FALSE)</f>
        <v xml:space="preserve"> --blank--</v>
      </c>
      <c r="I655" t="s">
        <v>4870</v>
      </c>
    </row>
    <row r="656" spans="1:9">
      <c r="A656">
        <v>423</v>
      </c>
      <c r="B656">
        <v>1517</v>
      </c>
      <c r="C656" s="1">
        <v>39445</v>
      </c>
      <c r="D656">
        <v>20</v>
      </c>
      <c r="E656" t="s">
        <v>4599</v>
      </c>
      <c r="F656" t="str">
        <f>VLOOKUP(B656,judges!A:B,2,FALSE)</f>
        <v>franklin e bondonno</v>
      </c>
      <c r="G656" t="str">
        <f>VLOOKUP(A656,donors!A:C,2,FALSE)</f>
        <v xml:space="preserve"> rev. dr. alan jones &amp; rev.</v>
      </c>
      <c r="H656" t="str">
        <f>VLOOKUP($A656,donors!$A:$C,3,FALSE)</f>
        <v xml:space="preserve"> --blank--</v>
      </c>
      <c r="I656" t="s">
        <v>4870</v>
      </c>
    </row>
    <row r="657" spans="1:9">
      <c r="A657">
        <v>424</v>
      </c>
      <c r="B657">
        <v>1517</v>
      </c>
      <c r="C657" s="1">
        <v>39129</v>
      </c>
      <c r="D657">
        <v>25</v>
      </c>
      <c r="E657" t="s">
        <v>4600</v>
      </c>
      <c r="F657" t="str">
        <f>VLOOKUP(B657,judges!A:B,2,FALSE)</f>
        <v>franklin e bondonno</v>
      </c>
      <c r="G657" t="str">
        <f>VLOOKUP(A657,donors!A:C,2,FALSE)</f>
        <v xml:space="preserve"> dr. jeff and patti lawton</v>
      </c>
      <c r="H657" t="str">
        <f>VLOOKUP($A657,donors!$A:$C,3,FALSE)</f>
        <v xml:space="preserve"> --blank--</v>
      </c>
      <c r="I657" t="s">
        <v>4870</v>
      </c>
    </row>
    <row r="658" spans="1:9">
      <c r="A658">
        <v>425</v>
      </c>
      <c r="B658">
        <v>1517</v>
      </c>
      <c r="C658" s="1">
        <v>39200</v>
      </c>
      <c r="D658">
        <v>25</v>
      </c>
      <c r="E658" t="s">
        <v>4601</v>
      </c>
      <c r="F658" t="str">
        <f>VLOOKUP(B658,judges!A:B,2,FALSE)</f>
        <v>franklin e bondonno</v>
      </c>
      <c r="G658" t="str">
        <f>VLOOKUP(A658,donors!A:C,2,FALSE)</f>
        <v xml:space="preserve"> kaven wallace</v>
      </c>
      <c r="H658" t="str">
        <f>VLOOKUP($A658,donors!$A:$C,3,FALSE)</f>
        <v xml:space="preserve"> --blank--</v>
      </c>
      <c r="I658" t="s">
        <v>4870</v>
      </c>
    </row>
    <row r="659" spans="1:9">
      <c r="A659">
        <v>426</v>
      </c>
      <c r="B659">
        <v>1517</v>
      </c>
      <c r="C659" s="1">
        <v>39430</v>
      </c>
      <c r="D659">
        <v>40</v>
      </c>
      <c r="E659" t="s">
        <v>4602</v>
      </c>
      <c r="F659" t="str">
        <f>VLOOKUP(B659,judges!A:B,2,FALSE)</f>
        <v>franklin e bondonno</v>
      </c>
      <c r="G659" t="str">
        <f>VLOOKUP(A659,donors!A:C,2,FALSE)</f>
        <v xml:space="preserve"> glenda and al faythal (friends)</v>
      </c>
      <c r="H659" t="str">
        <f>VLOOKUP($A659,donors!$A:$C,3,FALSE)</f>
        <v xml:space="preserve"> --blank--</v>
      </c>
      <c r="I659" t="s">
        <v>4871</v>
      </c>
    </row>
    <row r="660" spans="1:9">
      <c r="A660">
        <v>427</v>
      </c>
      <c r="B660">
        <v>1517</v>
      </c>
      <c r="C660" s="1">
        <v>39433</v>
      </c>
      <c r="D660">
        <v>35</v>
      </c>
      <c r="E660" t="s">
        <v>4603</v>
      </c>
      <c r="F660" t="str">
        <f>VLOOKUP(B660,judges!A:B,2,FALSE)</f>
        <v>franklin e bondonno</v>
      </c>
      <c r="G660" t="str">
        <f>VLOOKUP(A660,donors!A:C,2,FALSE)</f>
        <v xml:space="preserve"> dr. melvin west</v>
      </c>
      <c r="H660" t="str">
        <f>VLOOKUP($A660,donors!$A:$C,3,FALSE)</f>
        <v xml:space="preserve"> cmp board member</v>
      </c>
      <c r="I660" t="s">
        <v>4871</v>
      </c>
    </row>
    <row r="661" spans="1:9">
      <c r="A661">
        <v>428</v>
      </c>
      <c r="B661">
        <v>1517</v>
      </c>
      <c r="C661" s="1">
        <v>39419</v>
      </c>
      <c r="D661">
        <v>35</v>
      </c>
      <c r="E661" t="s">
        <v>4604</v>
      </c>
      <c r="F661" t="str">
        <f>VLOOKUP(B661,judges!A:B,2,FALSE)</f>
        <v>franklin e bondonno</v>
      </c>
      <c r="G661" t="str">
        <f>VLOOKUP(A661,donors!A:C,2,FALSE)</f>
        <v xml:space="preserve"> mel lewis</v>
      </c>
      <c r="H661" t="str">
        <f>VLOOKUP($A661,donors!$A:$C,3,FALSE)</f>
        <v xml:space="preserve"> cmp board member</v>
      </c>
      <c r="I661" t="s">
        <v>4871</v>
      </c>
    </row>
    <row r="662" spans="1:9">
      <c r="A662">
        <v>429</v>
      </c>
      <c r="B662">
        <v>1517</v>
      </c>
      <c r="C662" s="1">
        <v>39419</v>
      </c>
      <c r="D662">
        <v>25</v>
      </c>
      <c r="E662" t="s">
        <v>4605</v>
      </c>
      <c r="F662" t="str">
        <f>VLOOKUP(B662,judges!A:B,2,FALSE)</f>
        <v>franklin e bondonno</v>
      </c>
      <c r="G662" t="str">
        <f>VLOOKUP(A662,donors!A:C,2,FALSE)</f>
        <v xml:space="preserve"> john mcintyre evy.</v>
      </c>
      <c r="H662" t="str">
        <f>VLOOKUP($A662,donors!$A:$C,3,FALSE)</f>
        <v xml:space="preserve"> cmp attorney san jose ea</v>
      </c>
      <c r="I662" t="s">
        <v>4871</v>
      </c>
    </row>
    <row r="663" spans="1:9">
      <c r="A663">
        <v>430</v>
      </c>
      <c r="B663">
        <v>1517</v>
      </c>
      <c r="C663" s="1">
        <v>39427</v>
      </c>
      <c r="D663">
        <v>30</v>
      </c>
      <c r="E663" t="s">
        <v>4606</v>
      </c>
      <c r="F663" t="str">
        <f>VLOOKUP(B663,judges!A:B,2,FALSE)</f>
        <v>franklin e bondonno</v>
      </c>
      <c r="G663" t="str">
        <f>VLOOKUP(A663,donors!A:C,2,FALSE)</f>
        <v xml:space="preserve"> john gill cpa</v>
      </c>
      <c r="H663" t="str">
        <f>VLOOKUP($A663,donors!$A:$C,3,FALSE)</f>
        <v xml:space="preserve"> cmp board member</v>
      </c>
      <c r="I663" t="s">
        <v>4871</v>
      </c>
    </row>
    <row r="664" spans="1:9">
      <c r="A664">
        <v>431</v>
      </c>
      <c r="B664">
        <v>1517</v>
      </c>
      <c r="C664" s="1">
        <v>39419</v>
      </c>
      <c r="D664">
        <v>250</v>
      </c>
      <c r="E664" t="s">
        <v>4598</v>
      </c>
      <c r="F664" t="str">
        <f>VLOOKUP(B664,judges!A:B,2,FALSE)</f>
        <v>franklin e bondonno</v>
      </c>
      <c r="G664" t="str">
        <f>VLOOKUP(A664,donors!A:C,2,FALSE)</f>
        <v xml:space="preserve"> charokee memorial park</v>
      </c>
      <c r="H664" t="str">
        <f>VLOOKUP($A664,donors!$A:$C,3,FALSE)</f>
        <v xml:space="preserve"> memorial park</v>
      </c>
      <c r="I664" t="s">
        <v>4871</v>
      </c>
    </row>
    <row r="665" spans="1:9">
      <c r="A665">
        <v>432</v>
      </c>
      <c r="B665">
        <v>1540</v>
      </c>
      <c r="C665" s="1">
        <v>39122</v>
      </c>
      <c r="D665">
        <v>55</v>
      </c>
      <c r="E665" t="s">
        <v>4607</v>
      </c>
      <c r="F665" t="str">
        <f>VLOOKUP(B665,judges!A:B,2,FALSE)</f>
        <v>james n. bianco</v>
      </c>
      <c r="G665" t="str">
        <f>VLOOKUP(A665,donors!A:C,2,FALSE)</f>
        <v xml:space="preserve"> john rogers</v>
      </c>
      <c r="H665" t="str">
        <f>VLOOKUP($A665,donors!$A:$C,3,FALSE)</f>
        <v xml:space="preserve"> professor</v>
      </c>
      <c r="I665" t="s">
        <v>4872</v>
      </c>
    </row>
    <row r="666" spans="1:9">
      <c r="A666">
        <v>433</v>
      </c>
      <c r="B666">
        <v>1543</v>
      </c>
      <c r="C666" t="s">
        <v>4182</v>
      </c>
      <c r="D666">
        <v>8</v>
      </c>
      <c r="E666" t="s">
        <v>4217</v>
      </c>
      <c r="F666" t="str">
        <f>VLOOKUP(B666,judges!A:B,2,FALSE)</f>
        <v>stephen wolfgang berrier</v>
      </c>
      <c r="G666" t="str">
        <f>VLOOKUP(A666,donors!A:C,2,FALSE)</f>
        <v xml:space="preserve"> rich fuidge morris &amp; lane</v>
      </c>
      <c r="H666" t="str">
        <f>VLOOKUP($A666,donors!$A:$C,3,FALSE)</f>
        <v xml:space="preserve"> law firm</v>
      </c>
      <c r="I666" t="s">
        <v>4873</v>
      </c>
    </row>
    <row r="667" spans="1:9">
      <c r="A667">
        <v>433</v>
      </c>
      <c r="B667">
        <v>1543</v>
      </c>
      <c r="C667" s="1">
        <v>39250</v>
      </c>
      <c r="D667">
        <v>24</v>
      </c>
      <c r="E667" t="s">
        <v>4309</v>
      </c>
      <c r="F667" t="str">
        <f>VLOOKUP(B667,judges!A:B,2,FALSE)</f>
        <v>stephen wolfgang berrier</v>
      </c>
      <c r="G667" t="str">
        <f>VLOOKUP(A667,donors!A:C,2,FALSE)</f>
        <v xml:space="preserve"> rich fuidge morris &amp; lane</v>
      </c>
      <c r="H667" t="str">
        <f>VLOOKUP($A667,donors!$A:$C,3,FALSE)</f>
        <v xml:space="preserve"> law firm</v>
      </c>
      <c r="I667" t="s">
        <v>4873</v>
      </c>
    </row>
    <row r="668" spans="1:9">
      <c r="A668">
        <v>434</v>
      </c>
      <c r="B668">
        <v>1543</v>
      </c>
      <c r="C668" s="1">
        <v>39145</v>
      </c>
      <c r="D668">
        <v>30</v>
      </c>
      <c r="E668" t="s">
        <v>4187</v>
      </c>
      <c r="F668" t="str">
        <f>VLOOKUP(B668,judges!A:B,2,FALSE)</f>
        <v>stephen wolfgang berrier</v>
      </c>
      <c r="G668" t="str">
        <f>VLOOKUP(A668,donors!A:C,2,FALSE)</f>
        <v xml:space="preserve"> hop sing society</v>
      </c>
      <c r="H668" t="str">
        <f>VLOOKUP($A668,donors!$A:$C,3,FALSE)</f>
        <v xml:space="preserve"> --blank--</v>
      </c>
      <c r="I668" t="s">
        <v>4873</v>
      </c>
    </row>
    <row r="669" spans="1:9">
      <c r="A669">
        <v>435</v>
      </c>
      <c r="B669">
        <v>1543</v>
      </c>
      <c r="C669" s="1">
        <v>39400</v>
      </c>
      <c r="D669">
        <v>14</v>
      </c>
      <c r="E669" t="s">
        <v>4608</v>
      </c>
      <c r="F669" t="str">
        <f>VLOOKUP(B669,judges!A:B,2,FALSE)</f>
        <v>stephen wolfgang berrier</v>
      </c>
      <c r="G669" t="str">
        <f>VLOOKUP(A669,donors!A:C,2,FALSE)</f>
        <v xml:space="preserve"> yuba sutter bar association</v>
      </c>
      <c r="H669" t="str">
        <f>VLOOKUP($A669,donors!$A:$C,3,FALSE)</f>
        <v xml:space="preserve"> bar association for lawyers</v>
      </c>
      <c r="I669" t="s">
        <v>4873</v>
      </c>
    </row>
    <row r="670" spans="1:9">
      <c r="A670">
        <v>436</v>
      </c>
      <c r="B670">
        <v>1549</v>
      </c>
      <c r="C670" s="1">
        <v>39392</v>
      </c>
      <c r="D670">
        <v>90</v>
      </c>
      <c r="E670" t="s">
        <v>4609</v>
      </c>
      <c r="F670" t="str">
        <f>VLOOKUP(B670,judges!A:B,2,FALSE)</f>
        <v>joseph eugene bergeron</v>
      </c>
      <c r="G670" t="str">
        <f>VLOOKUP(A670,donors!A:C,2,FALSE)</f>
        <v xml:space="preserve"> steve shaiman</v>
      </c>
      <c r="H670" t="str">
        <f>VLOOKUP($A670,donors!$A:$C,3,FALSE)</f>
        <v xml:space="preserve"> friend attorney</v>
      </c>
      <c r="I670" t="s">
        <v>4874</v>
      </c>
    </row>
    <row r="671" spans="1:9">
      <c r="A671">
        <v>325</v>
      </c>
      <c r="B671">
        <v>1549</v>
      </c>
      <c r="C671" s="1">
        <v>39397</v>
      </c>
      <c r="D671">
        <v>50</v>
      </c>
      <c r="E671" t="s">
        <v>4610</v>
      </c>
      <c r="F671" t="str">
        <f>VLOOKUP(B671,judges!A:B,2,FALSE)</f>
        <v>joseph eugene bergeron</v>
      </c>
      <c r="G671" t="str">
        <f>VLOOKUP(A671,donors!A:C,2,FALSE)</f>
        <v xml:space="preserve"> san mateo county bar assn</v>
      </c>
      <c r="H671" t="str">
        <f>VLOOKUP($A671,donors!$A:$C,3,FALSE)</f>
        <v xml:space="preserve"> bar association</v>
      </c>
      <c r="I671" t="s">
        <v>4874</v>
      </c>
    </row>
    <row r="672" spans="1:9">
      <c r="A672">
        <v>325</v>
      </c>
      <c r="B672">
        <v>1549</v>
      </c>
      <c r="C672" s="1">
        <v>39241</v>
      </c>
      <c r="D672">
        <v>50</v>
      </c>
      <c r="E672" t="s">
        <v>4611</v>
      </c>
      <c r="F672" t="str">
        <f>VLOOKUP(B672,judges!A:B,2,FALSE)</f>
        <v>joseph eugene bergeron</v>
      </c>
      <c r="G672" t="str">
        <f>VLOOKUP(A672,donors!A:C,2,FALSE)</f>
        <v xml:space="preserve"> san mateo county bar assn</v>
      </c>
      <c r="H672" t="str">
        <f>VLOOKUP($A672,donors!$A:$C,3,FALSE)</f>
        <v xml:space="preserve"> bar association</v>
      </c>
      <c r="I672" t="s">
        <v>4874</v>
      </c>
    </row>
    <row r="673" spans="1:9">
      <c r="A673">
        <v>325</v>
      </c>
      <c r="B673">
        <v>1549</v>
      </c>
      <c r="C673" s="1">
        <v>39351</v>
      </c>
      <c r="D673">
        <v>50</v>
      </c>
      <c r="E673" t="s">
        <v>4612</v>
      </c>
      <c r="F673" t="str">
        <f>VLOOKUP(B673,judges!A:B,2,FALSE)</f>
        <v>joseph eugene bergeron</v>
      </c>
      <c r="G673" t="str">
        <f>VLOOKUP(A673,donors!A:C,2,FALSE)</f>
        <v xml:space="preserve"> san mateo county bar assn</v>
      </c>
      <c r="H673" t="str">
        <f>VLOOKUP($A673,donors!$A:$C,3,FALSE)</f>
        <v xml:space="preserve"> bar association</v>
      </c>
      <c r="I673" t="s">
        <v>4874</v>
      </c>
    </row>
    <row r="674" spans="1:9">
      <c r="A674">
        <v>437</v>
      </c>
      <c r="B674">
        <v>1549</v>
      </c>
      <c r="C674" s="1">
        <v>39388</v>
      </c>
      <c r="D674">
        <v>75</v>
      </c>
      <c r="E674" t="s">
        <v>4613</v>
      </c>
      <c r="F674" t="str">
        <f>VLOOKUP(B674,judges!A:B,2,FALSE)</f>
        <v>joseph eugene bergeron</v>
      </c>
      <c r="G674" t="str">
        <f>VLOOKUP(A674,donors!A:C,2,FALSE)</f>
        <v xml:space="preserve"> san mateo county trial lawyer</v>
      </c>
      <c r="H674" t="str">
        <f>VLOOKUP($A674,donors!$A:$C,3,FALSE)</f>
        <v xml:space="preserve"> association of trial lawyers</v>
      </c>
      <c r="I674" t="s">
        <v>4874</v>
      </c>
    </row>
    <row r="675" spans="1:9">
      <c r="A675">
        <v>63</v>
      </c>
      <c r="B675">
        <v>1551</v>
      </c>
      <c r="C675" s="1">
        <v>39403</v>
      </c>
      <c r="D675">
        <v>250</v>
      </c>
      <c r="E675" t="s">
        <v>4356</v>
      </c>
      <c r="F675" t="str">
        <f>VLOOKUP(B675,judges!A:B,2,FALSE)</f>
        <v>stephen e. benson</v>
      </c>
      <c r="G675" t="str">
        <f>VLOOKUP(A675,donors!A:C,2,FALSE)</f>
        <v xml:space="preserve"> tate snyder kimsey</v>
      </c>
      <c r="H675" t="str">
        <f>VLOOKUP($A675,donors!$A:$C,3,FALSE)</f>
        <v xml:space="preserve"> architect</v>
      </c>
      <c r="I675" t="s">
        <v>4875</v>
      </c>
    </row>
    <row r="676" spans="1:9">
      <c r="A676">
        <v>438</v>
      </c>
      <c r="B676">
        <v>1553</v>
      </c>
      <c r="C676" s="2">
        <v>39517</v>
      </c>
      <c r="D676">
        <v>145</v>
      </c>
      <c r="E676" t="s">
        <v>4614</v>
      </c>
      <c r="F676" t="str">
        <f>VLOOKUP(B676,judges!A:B,2,FALSE)</f>
        <v>teresa s. bennett</v>
      </c>
      <c r="G676" t="str">
        <f>VLOOKUP(A676,donors!A:C,2,FALSE)</f>
        <v xml:space="preserve"> la marathon uc (la roadrunners</v>
      </c>
      <c r="H676" t="str">
        <f>VLOOKUP($A676,donors!$A:$C,3,FALSE)</f>
        <v xml:space="preserve"> sponsor la marathon</v>
      </c>
      <c r="I676" t="s">
        <v>4876</v>
      </c>
    </row>
    <row r="677" spans="1:9">
      <c r="A677">
        <v>438</v>
      </c>
      <c r="B677">
        <v>1553</v>
      </c>
      <c r="C677" t="s">
        <v>3027</v>
      </c>
      <c r="D677">
        <v>85</v>
      </c>
      <c r="E677" t="s">
        <v>4615</v>
      </c>
      <c r="F677" t="str">
        <f>VLOOKUP(B677,judges!A:B,2,FALSE)</f>
        <v>teresa s. bennett</v>
      </c>
      <c r="G677" t="str">
        <f>VLOOKUP(A677,donors!A:C,2,FALSE)</f>
        <v xml:space="preserve"> la marathon uc (la roadrunners</v>
      </c>
      <c r="H677" t="str">
        <f>VLOOKUP($A677,donors!$A:$C,3,FALSE)</f>
        <v xml:space="preserve"> sponsor la marathon</v>
      </c>
      <c r="I677" t="s">
        <v>4876</v>
      </c>
    </row>
    <row r="678" spans="1:9">
      <c r="A678">
        <v>439</v>
      </c>
      <c r="B678">
        <v>1553</v>
      </c>
      <c r="C678" s="1">
        <v>39209</v>
      </c>
      <c r="D678">
        <v>415</v>
      </c>
      <c r="E678" t="s">
        <v>4616</v>
      </c>
      <c r="F678" t="str">
        <f>VLOOKUP(B678,judges!A:B,2,FALSE)</f>
        <v>teresa s. bennett</v>
      </c>
      <c r="G678" t="str">
        <f>VLOOKUP(A678,donors!A:C,2,FALSE)</f>
        <v xml:space="preserve"> san bernardino county law library board</v>
      </c>
      <c r="H678" t="str">
        <f>VLOOKUP($A678,donors!$A:$C,3,FALSE)</f>
        <v xml:space="preserve"> --blank--</v>
      </c>
      <c r="I678" t="s">
        <v>4876</v>
      </c>
    </row>
    <row r="679" spans="1:9">
      <c r="A679">
        <v>440</v>
      </c>
      <c r="B679">
        <v>1561</v>
      </c>
      <c r="C679" s="1">
        <v>39349</v>
      </c>
      <c r="D679">
        <v>120</v>
      </c>
      <c r="E679" t="s">
        <v>4617</v>
      </c>
      <c r="F679" t="str">
        <f>VLOOKUP(B679,judges!A:B,2,FALSE)</f>
        <v>michael isaku begert</v>
      </c>
      <c r="G679" t="str">
        <f>VLOOKUP(A679,donors!A:C,2,FALSE)</f>
        <v xml:space="preserve"> jon s. tiger</v>
      </c>
      <c r="H679" t="str">
        <f>VLOOKUP($A679,donors!$A:$C,3,FALSE)</f>
        <v xml:space="preserve"> judge</v>
      </c>
      <c r="I679" t="s">
        <v>4877</v>
      </c>
    </row>
    <row r="680" spans="1:9">
      <c r="A680">
        <v>441</v>
      </c>
      <c r="B680">
        <v>1561</v>
      </c>
      <c r="C680" s="1">
        <v>39472</v>
      </c>
      <c r="D680">
        <v>95</v>
      </c>
      <c r="E680" t="s">
        <v>4618</v>
      </c>
      <c r="F680" t="str">
        <f>VLOOKUP(B680,judges!A:B,2,FALSE)</f>
        <v>michael isaku begert</v>
      </c>
      <c r="G680" t="str">
        <f>VLOOKUP(A680,donors!A:C,2,FALSE)</f>
        <v xml:space="preserve"> lawyers' committee for civil rights</v>
      </c>
      <c r="H680" t="str">
        <f>VLOOKUP($A680,donors!$A:$C,3,FALSE)</f>
        <v xml:space="preserve"> public interest law</v>
      </c>
      <c r="I680" t="s">
        <v>4877</v>
      </c>
    </row>
    <row r="681" spans="1:9">
      <c r="A681">
        <v>442</v>
      </c>
      <c r="B681">
        <v>1561</v>
      </c>
      <c r="C681" s="1">
        <v>39122</v>
      </c>
      <c r="D681">
        <v>400</v>
      </c>
      <c r="E681" t="s">
        <v>4619</v>
      </c>
      <c r="F681" t="str">
        <f>VLOOKUP(B681,judges!A:B,2,FALSE)</f>
        <v>michael isaku begert</v>
      </c>
      <c r="G681" t="str">
        <f>VLOOKUP(A681,donors!A:C,2,FALSE)</f>
        <v xml:space="preserve"> members of bingham mccutchen llp</v>
      </c>
      <c r="H681" t="str">
        <f>VLOOKUP($A681,donors!$A:$C,3,FALSE)</f>
        <v xml:space="preserve"> law firm partnership</v>
      </c>
      <c r="I681" t="s">
        <v>4877</v>
      </c>
    </row>
    <row r="682" spans="1:9">
      <c r="A682">
        <v>443</v>
      </c>
      <c r="B682">
        <v>1561</v>
      </c>
      <c r="C682" s="1">
        <v>39198</v>
      </c>
      <c r="D682">
        <v>95</v>
      </c>
      <c r="E682" t="s">
        <v>4620</v>
      </c>
      <c r="F682" t="str">
        <f>VLOOKUP(B682,judges!A:B,2,FALSE)</f>
        <v>michael isaku begert</v>
      </c>
      <c r="G682" t="str">
        <f>VLOOKUP(A682,donors!A:C,2,FALSE)</f>
        <v xml:space="preserve"> lawyers' club of san francisco</v>
      </c>
      <c r="H682" t="str">
        <f>VLOOKUP($A682,donors!$A:$C,3,FALSE)</f>
        <v xml:space="preserve"> www.lawyersclubsf.com</v>
      </c>
      <c r="I682" t="s">
        <v>4877</v>
      </c>
    </row>
    <row r="683" spans="1:9">
      <c r="A683">
        <v>444</v>
      </c>
      <c r="B683">
        <v>1565</v>
      </c>
      <c r="C683" s="1">
        <v>39117</v>
      </c>
      <c r="D683">
        <v>1600</v>
      </c>
      <c r="E683" t="s">
        <v>4621</v>
      </c>
      <c r="F683" t="str">
        <f>VLOOKUP(B683,judges!A:B,2,FALSE)</f>
        <v>william w bedsworth</v>
      </c>
      <c r="G683" t="str">
        <f>VLOOKUP(A683,donors!A:C,2,FALSE)</f>
        <v xml:space="preserve"> frank quinlan/francisco briseno</v>
      </c>
      <c r="H683" t="str">
        <f>VLOOKUP($A683,donors!$A:$C,3,FALSE)</f>
        <v xml:space="preserve"> attorney / judge</v>
      </c>
      <c r="I683" t="s">
        <v>4878</v>
      </c>
    </row>
    <row r="684" spans="1:9">
      <c r="A684">
        <v>445</v>
      </c>
      <c r="B684">
        <v>1565</v>
      </c>
      <c r="C684" s="1">
        <v>39171</v>
      </c>
      <c r="D684">
        <v>85</v>
      </c>
      <c r="E684" t="s">
        <v>4622</v>
      </c>
      <c r="F684" t="str">
        <f>VLOOKUP(B684,judges!A:B,2,FALSE)</f>
        <v>william w bedsworth</v>
      </c>
      <c r="G684" t="str">
        <f>VLOOKUP(A684,donors!A:C,2,FALSE)</f>
        <v xml:space="preserve"> gary pohlson</v>
      </c>
      <c r="H684" t="str">
        <f>VLOOKUP($A684,donors!$A:$C,3,FALSE)</f>
        <v xml:space="preserve"> attorney</v>
      </c>
      <c r="I684" t="s">
        <v>4878</v>
      </c>
    </row>
    <row r="685" spans="1:9">
      <c r="A685">
        <v>446</v>
      </c>
      <c r="B685">
        <v>1565</v>
      </c>
      <c r="C685" s="1">
        <v>39133</v>
      </c>
      <c r="D685">
        <v>76</v>
      </c>
      <c r="E685" t="s">
        <v>4622</v>
      </c>
      <c r="F685" t="str">
        <f>VLOOKUP(B685,judges!A:B,2,FALSE)</f>
        <v>william w bedsworth</v>
      </c>
      <c r="G685" t="str">
        <f>VLOOKUP(A685,donors!A:C,2,FALSE)</f>
        <v xml:space="preserve"> cliff roberts</v>
      </c>
      <c r="H685" t="str">
        <f>VLOOKUP($A685,donors!$A:$C,3,FALSE)</f>
        <v xml:space="preserve"> retiree</v>
      </c>
      <c r="I685" t="s">
        <v>4878</v>
      </c>
    </row>
    <row r="686" spans="1:9">
      <c r="A686">
        <v>447</v>
      </c>
      <c r="B686">
        <v>1565</v>
      </c>
      <c r="C686" s="1">
        <v>39404</v>
      </c>
      <c r="D686">
        <v>1456</v>
      </c>
      <c r="E686" t="s">
        <v>4623</v>
      </c>
      <c r="F686" t="str">
        <f>VLOOKUP(B686,judges!A:B,2,FALSE)</f>
        <v>william w bedsworth</v>
      </c>
      <c r="G686" t="str">
        <f>VLOOKUP(A686,donors!A:C,2,FALSE)</f>
        <v xml:space="preserve"> matt donovan</v>
      </c>
      <c r="H686" t="str">
        <f>VLOOKUP($A686,donors!$A:$C,3,FALSE)</f>
        <v xml:space="preserve"> golf course management</v>
      </c>
      <c r="I686" t="s">
        <v>4879</v>
      </c>
    </row>
    <row r="687" spans="1:9">
      <c r="A687">
        <v>448</v>
      </c>
      <c r="B687">
        <v>1565</v>
      </c>
      <c r="C687" s="1">
        <v>39230</v>
      </c>
      <c r="D687">
        <v>150</v>
      </c>
      <c r="E687" t="s">
        <v>4622</v>
      </c>
      <c r="F687" t="str">
        <f>VLOOKUP(B687,judges!A:B,2,FALSE)</f>
        <v>william w bedsworth</v>
      </c>
      <c r="G687" t="str">
        <f>VLOOKUP(A687,donors!A:C,2,FALSE)</f>
        <v xml:space="preserve"> joel matta</v>
      </c>
      <c r="H687" t="str">
        <f>VLOOKUP($A687,donors!$A:$C,3,FALSE)</f>
        <v xml:space="preserve"> surgeon</v>
      </c>
      <c r="I687" t="s">
        <v>4879</v>
      </c>
    </row>
    <row r="688" spans="1:9">
      <c r="A688">
        <v>449</v>
      </c>
      <c r="B688">
        <v>1565</v>
      </c>
      <c r="C688" s="1">
        <v>39347</v>
      </c>
      <c r="D688">
        <v>250</v>
      </c>
      <c r="E688" t="s">
        <v>4624</v>
      </c>
      <c r="F688" t="str">
        <f>VLOOKUP(B688,judges!A:B,2,FALSE)</f>
        <v>william w bedsworth</v>
      </c>
      <c r="G688" t="str">
        <f>VLOOKUP(A688,donors!A:C,2,FALSE)</f>
        <v xml:space="preserve"> michael maguire</v>
      </c>
      <c r="H688" t="str">
        <f>VLOOKUP($A688,donors!$A:$C,3,FALSE)</f>
        <v xml:space="preserve"> --blank--</v>
      </c>
      <c r="I688" t="s">
        <v>4879</v>
      </c>
    </row>
    <row r="689" spans="1:9">
      <c r="A689">
        <v>114</v>
      </c>
      <c r="B689">
        <v>1565</v>
      </c>
      <c r="C689" s="1">
        <v>39424</v>
      </c>
      <c r="D689">
        <v>200</v>
      </c>
      <c r="E689" t="s">
        <v>4374</v>
      </c>
      <c r="F689" t="str">
        <f>VLOOKUP(B689,judges!A:B,2,FALSE)</f>
        <v>william w bedsworth</v>
      </c>
      <c r="G689" t="str">
        <f>VLOOKUP(A689,donors!A:C,2,FALSE)</f>
        <v xml:space="preserve"> mark robinson</v>
      </c>
      <c r="H689" t="str">
        <f>VLOOKUP($A689,donors!$A:$C,3,FALSE)</f>
        <v xml:space="preserve"> attorney</v>
      </c>
      <c r="I689" t="s">
        <v>4879</v>
      </c>
    </row>
    <row r="690" spans="1:9">
      <c r="A690">
        <v>450</v>
      </c>
      <c r="B690">
        <v>1565</v>
      </c>
      <c r="C690" s="1">
        <v>39443</v>
      </c>
      <c r="D690">
        <v>600</v>
      </c>
      <c r="E690" t="s">
        <v>4625</v>
      </c>
      <c r="F690" t="str">
        <f>VLOOKUP(B690,judges!A:B,2,FALSE)</f>
        <v>william w bedsworth</v>
      </c>
      <c r="G690" t="str">
        <f>VLOOKUP(A690,donors!A:C,2,FALSE)</f>
        <v xml:space="preserve"> jon alexander</v>
      </c>
      <c r="H690" t="str">
        <f>VLOOKUP($A690,donors!$A:$C,3,FALSE)</f>
        <v xml:space="preserve"> district attorney del norte county</v>
      </c>
      <c r="I690" t="s">
        <v>4879</v>
      </c>
    </row>
    <row r="691" spans="1:9">
      <c r="A691">
        <v>451</v>
      </c>
      <c r="B691">
        <v>1565</v>
      </c>
      <c r="C691" s="1">
        <v>39096</v>
      </c>
      <c r="D691">
        <v>100</v>
      </c>
      <c r="E691" t="s">
        <v>4622</v>
      </c>
      <c r="F691" t="str">
        <f>VLOOKUP(B691,judges!A:B,2,FALSE)</f>
        <v>william w bedsworth</v>
      </c>
      <c r="G691" t="str">
        <f>VLOOKUP(A691,donors!A:C,2,FALSE)</f>
        <v xml:space="preserve"> michael goldstein</v>
      </c>
      <c r="H691" t="str">
        <f>VLOOKUP($A691,donors!$A:$C,3,FALSE)</f>
        <v xml:space="preserve"> attorney</v>
      </c>
      <c r="I691" t="s">
        <v>4879</v>
      </c>
    </row>
    <row r="692" spans="1:9">
      <c r="A692">
        <v>451</v>
      </c>
      <c r="B692">
        <v>1565</v>
      </c>
      <c r="C692" s="1">
        <v>39165</v>
      </c>
      <c r="D692">
        <v>100</v>
      </c>
      <c r="E692" t="s">
        <v>4622</v>
      </c>
      <c r="F692" t="str">
        <f>VLOOKUP(B692,judges!A:B,2,FALSE)</f>
        <v>william w bedsworth</v>
      </c>
      <c r="G692" t="str">
        <f>VLOOKUP(A692,donors!A:C,2,FALSE)</f>
        <v xml:space="preserve"> michael goldstein</v>
      </c>
      <c r="H692" t="str">
        <f>VLOOKUP($A692,donors!$A:$C,3,FALSE)</f>
        <v xml:space="preserve"> attorney</v>
      </c>
      <c r="I692" t="s">
        <v>4879</v>
      </c>
    </row>
    <row r="693" spans="1:9">
      <c r="A693">
        <v>213</v>
      </c>
      <c r="B693">
        <v>1579</v>
      </c>
      <c r="D693">
        <v>420</v>
      </c>
      <c r="E693" t="s">
        <v>4626</v>
      </c>
      <c r="F693" t="str">
        <f>VLOOKUP(B693,judges!A:B,2,FALSE)</f>
        <v>william  barry</v>
      </c>
      <c r="G693" t="str">
        <f>VLOOKUP(A693,donors!A:C,2,FALSE)</f>
        <v xml:space="preserve"> la county bar ass'n</v>
      </c>
      <c r="H693" t="str">
        <f>VLOOKUP($A693,donors!$A:$C,3,FALSE)</f>
        <v xml:space="preserve"> bar association</v>
      </c>
      <c r="I693" t="s">
        <v>4880</v>
      </c>
    </row>
    <row r="694" spans="1:9">
      <c r="A694">
        <v>94</v>
      </c>
      <c r="B694">
        <v>1579</v>
      </c>
      <c r="D694">
        <v>420</v>
      </c>
      <c r="E694" t="s">
        <v>4626</v>
      </c>
      <c r="F694" t="str">
        <f>VLOOKUP(B694,judges!A:B,2,FALSE)</f>
        <v>william  barry</v>
      </c>
      <c r="G694" t="str">
        <f>VLOOKUP(A694,donors!A:C,2,FALSE)</f>
        <v xml:space="preserve"> beverly hills bar association</v>
      </c>
      <c r="H694" t="str">
        <f>VLOOKUP($A694,donors!$A:$C,3,FALSE)</f>
        <v xml:space="preserve"> bar association</v>
      </c>
      <c r="I694" t="s">
        <v>4880</v>
      </c>
    </row>
    <row r="695" spans="1:9">
      <c r="A695">
        <v>25</v>
      </c>
      <c r="B695">
        <v>1584</v>
      </c>
      <c r="C695" s="1">
        <v>39172</v>
      </c>
      <c r="D695">
        <v>75</v>
      </c>
      <c r="E695" t="s">
        <v>4207</v>
      </c>
      <c r="F695" t="str">
        <f>VLOOKUP(B695,judges!A:B,2,FALSE)</f>
        <v>steven d barnes</v>
      </c>
      <c r="G695" t="str">
        <f>VLOOKUP(A695,donors!A:C,2,FALSE)</f>
        <v xml:space="preserve"> kings county bar association</v>
      </c>
      <c r="H695" t="str">
        <f>VLOOKUP($A695,donors!$A:$C,3,FALSE)</f>
        <v xml:space="preserve"> county bar association</v>
      </c>
      <c r="I695" t="s">
        <v>4881</v>
      </c>
    </row>
    <row r="696" spans="1:9">
      <c r="A696">
        <v>452</v>
      </c>
      <c r="B696">
        <v>1584</v>
      </c>
      <c r="C696" s="1">
        <v>39430</v>
      </c>
      <c r="D696">
        <v>50</v>
      </c>
      <c r="E696" t="s">
        <v>4627</v>
      </c>
      <c r="F696" t="str">
        <f>VLOOKUP(B696,judges!A:B,2,FALSE)</f>
        <v>steven d barnes</v>
      </c>
      <c r="G696" t="str">
        <f>VLOOKUP(A696,donors!A:C,2,FALSE)</f>
        <v xml:space="preserve"> **abtl (c/o weakley &amp; arandt)</v>
      </c>
      <c r="H696" t="str">
        <f>VLOOKUP($A696,donors!$A:$C,3,FALSE)</f>
        <v xml:space="preserve"> bar association</v>
      </c>
      <c r="I696" t="s">
        <v>4881</v>
      </c>
    </row>
    <row r="697" spans="1:9">
      <c r="A697">
        <v>453</v>
      </c>
      <c r="B697">
        <v>1584</v>
      </c>
      <c r="C697" s="1">
        <v>39201</v>
      </c>
      <c r="D697">
        <v>100</v>
      </c>
      <c r="E697" t="s">
        <v>4534</v>
      </c>
      <c r="F697" t="str">
        <f>VLOOKUP(B697,judges!A:B,2,FALSE)</f>
        <v>steven d barnes</v>
      </c>
      <c r="G697" t="str">
        <f>VLOOKUP(A697,donors!A:C,2,FALSE)</f>
        <v xml:space="preserve"> *abota</v>
      </c>
      <c r="H697" t="str">
        <f>VLOOKUP($A697,donors!$A:$C,3,FALSE)</f>
        <v xml:space="preserve"> bar association</v>
      </c>
      <c r="I697" t="s">
        <v>4881</v>
      </c>
    </row>
    <row r="698" spans="1:9">
      <c r="A698">
        <v>452</v>
      </c>
      <c r="B698">
        <v>1584</v>
      </c>
      <c r="C698" s="1">
        <v>39395</v>
      </c>
      <c r="D698">
        <v>75</v>
      </c>
      <c r="E698" t="s">
        <v>4628</v>
      </c>
      <c r="F698" t="str">
        <f>VLOOKUP(B698,judges!A:B,2,FALSE)</f>
        <v>steven d barnes</v>
      </c>
      <c r="G698" t="str">
        <f>VLOOKUP(A698,donors!A:C,2,FALSE)</f>
        <v xml:space="preserve"> **abtl (c/o weakley &amp; arandt)</v>
      </c>
      <c r="H698" t="str">
        <f>VLOOKUP($A698,donors!$A:$C,3,FALSE)</f>
        <v xml:space="preserve"> bar association</v>
      </c>
      <c r="I698" t="s">
        <v>4881</v>
      </c>
    </row>
    <row r="699" spans="1:9">
      <c r="A699">
        <v>454</v>
      </c>
      <c r="B699">
        <v>1588</v>
      </c>
      <c r="C699" s="1">
        <v>39424</v>
      </c>
      <c r="D699">
        <v>100</v>
      </c>
      <c r="E699" t="s">
        <v>4629</v>
      </c>
      <c r="F699" t="str">
        <f>VLOOKUP(B699,judges!A:B,2,FALSE)</f>
        <v>andrew patrick banks</v>
      </c>
      <c r="G699" t="str">
        <f>VLOOKUP(A699,donors!A:C,2,FALSE)</f>
        <v xml:space="preserve"> robinson calcagnie &amp; robinson</v>
      </c>
      <c r="H699" t="str">
        <f>VLOOKUP($A699,donors!$A:$C,3,FALSE)</f>
        <v xml:space="preserve"> law firm</v>
      </c>
      <c r="I699" t="s">
        <v>4882</v>
      </c>
    </row>
    <row r="700" spans="1:9">
      <c r="A700">
        <v>455</v>
      </c>
      <c r="B700">
        <v>1595</v>
      </c>
      <c r="C700" s="1">
        <v>39103</v>
      </c>
      <c r="D700">
        <v>50</v>
      </c>
      <c r="E700" t="s">
        <v>4630</v>
      </c>
      <c r="F700" t="str">
        <f>VLOOKUP(B700,judges!A:B,2,FALSE)</f>
        <v>steven clifford bailey</v>
      </c>
      <c r="G700" t="str">
        <f>VLOOKUP(A700,donors!A:C,2,FALSE)</f>
        <v xml:space="preserve"> brad clark</v>
      </c>
      <c r="H700" t="str">
        <f>VLOOKUP($A700,donors!$A:$C,3,FALSE)</f>
        <v xml:space="preserve"> attorney</v>
      </c>
      <c r="I700" t="s">
        <v>4883</v>
      </c>
    </row>
    <row r="701" spans="1:9">
      <c r="A701">
        <v>455</v>
      </c>
      <c r="B701">
        <v>1595</v>
      </c>
      <c r="C701" t="s">
        <v>3028</v>
      </c>
      <c r="D701">
        <v>42</v>
      </c>
      <c r="E701" t="s">
        <v>4631</v>
      </c>
      <c r="F701" t="str">
        <f>VLOOKUP(B701,judges!A:B,2,FALSE)</f>
        <v>steven clifford bailey</v>
      </c>
      <c r="G701" t="str">
        <f>VLOOKUP(A701,donors!A:C,2,FALSE)</f>
        <v xml:space="preserve"> brad clark</v>
      </c>
      <c r="H701" t="str">
        <f>VLOOKUP($A701,donors!$A:$C,3,FALSE)</f>
        <v xml:space="preserve"> attorney</v>
      </c>
      <c r="I701" t="s">
        <v>4883</v>
      </c>
    </row>
    <row r="702" spans="1:9">
      <c r="A702">
        <v>456</v>
      </c>
      <c r="B702">
        <v>1595</v>
      </c>
      <c r="C702" s="1">
        <v>39349</v>
      </c>
      <c r="D702">
        <v>80</v>
      </c>
      <c r="E702" t="s">
        <v>4632</v>
      </c>
      <c r="F702" t="str">
        <f>VLOOKUP(B702,judges!A:B,2,FALSE)</f>
        <v>steven clifford bailey</v>
      </c>
      <c r="G702" t="str">
        <f>VLOOKUP(A702,donors!A:C,2,FALSE)</f>
        <v xml:space="preserve"> parker development c/o ron briggs</v>
      </c>
      <c r="H702" t="str">
        <f>VLOOKUP($A702,donors!$A:$C,3,FALSE)</f>
        <v xml:space="preserve"> developer</v>
      </c>
      <c r="I702" t="s">
        <v>4883</v>
      </c>
    </row>
    <row r="703" spans="1:9">
      <c r="A703">
        <v>457</v>
      </c>
      <c r="B703">
        <v>1595</v>
      </c>
      <c r="C703" s="1">
        <v>39159</v>
      </c>
      <c r="D703">
        <v>100</v>
      </c>
      <c r="E703" t="s">
        <v>4633</v>
      </c>
      <c r="F703" t="str">
        <f>VLOOKUP(B703,judges!A:B,2,FALSE)</f>
        <v>steven clifford bailey</v>
      </c>
      <c r="G703" t="str">
        <f>VLOOKUP(A703,donors!A:C,2,FALSE)</f>
        <v xml:space="preserve"> lincoln law school sacramento</v>
      </c>
      <c r="H703" t="str">
        <f>VLOOKUP($A703,donors!$A:$C,3,FALSE)</f>
        <v xml:space="preserve"> law school</v>
      </c>
      <c r="I703" t="s">
        <v>4883</v>
      </c>
    </row>
    <row r="704" spans="1:9">
      <c r="A704">
        <v>458</v>
      </c>
      <c r="B704">
        <v>1595</v>
      </c>
      <c r="C704" s="1">
        <v>39165</v>
      </c>
      <c r="D704">
        <v>25</v>
      </c>
      <c r="E704" t="s">
        <v>4634</v>
      </c>
      <c r="F704" t="str">
        <f>VLOOKUP(B704,judges!A:B,2,FALSE)</f>
        <v>steven clifford bailey</v>
      </c>
      <c r="G704" t="str">
        <f>VLOOKUP(A704,donors!A:C,2,FALSE)</f>
        <v xml:space="preserve"> el dorado legal professionals</v>
      </c>
      <c r="H704" t="str">
        <f>VLOOKUP($A704,donors!$A:$C,3,FALSE)</f>
        <v xml:space="preserve"> legal secretary/paralegal organization</v>
      </c>
      <c r="I704" t="s">
        <v>4883</v>
      </c>
    </row>
    <row r="705" spans="1:9">
      <c r="A705">
        <v>459</v>
      </c>
      <c r="B705">
        <v>1595</v>
      </c>
      <c r="C705" s="1">
        <v>39110</v>
      </c>
      <c r="D705">
        <v>200</v>
      </c>
      <c r="E705" t="s">
        <v>4635</v>
      </c>
      <c r="F705" t="str">
        <f>VLOOKUP(B705,judges!A:B,2,FALSE)</f>
        <v>steven clifford bailey</v>
      </c>
      <c r="G705" t="str">
        <f>VLOOKUP(A705,donors!A:C,2,FALSE)</f>
        <v xml:space="preserve"> casa el dorado</v>
      </c>
      <c r="H705" t="str">
        <f>VLOOKUP($A705,donors!$A:$C,3,FALSE)</f>
        <v xml:space="preserve"> child advocates</v>
      </c>
      <c r="I705" t="s">
        <v>4883</v>
      </c>
    </row>
    <row r="706" spans="1:9">
      <c r="A706">
        <v>460</v>
      </c>
      <c r="B706">
        <v>1598</v>
      </c>
      <c r="C706" s="1">
        <v>39285</v>
      </c>
      <c r="D706">
        <v>150</v>
      </c>
      <c r="E706" t="s">
        <v>4441</v>
      </c>
      <c r="F706" t="str">
        <f>VLOOKUP(B706,judges!A:B,2,FALSE)</f>
        <v>monica  bachner</v>
      </c>
      <c r="G706" t="str">
        <f>VLOOKUP(A706,donors!A:C,2,FALSE)</f>
        <v xml:space="preserve"> david scheper</v>
      </c>
      <c r="H706" t="str">
        <f>VLOOKUP($A706,donors!$A:$C,3,FALSE)</f>
        <v xml:space="preserve"> law</v>
      </c>
      <c r="I706" t="s">
        <v>4884</v>
      </c>
    </row>
    <row r="707" spans="1:9">
      <c r="A707">
        <v>461</v>
      </c>
      <c r="B707">
        <v>1598</v>
      </c>
      <c r="C707" s="1">
        <v>39398</v>
      </c>
      <c r="D707">
        <v>200</v>
      </c>
      <c r="E707" t="s">
        <v>4441</v>
      </c>
      <c r="F707" t="str">
        <f>VLOOKUP(B707,judges!A:B,2,FALSE)</f>
        <v>monica  bachner</v>
      </c>
      <c r="G707" t="str">
        <f>VLOOKUP(A707,donors!A:C,2,FALSE)</f>
        <v xml:space="preserve"> patrick fitzgerald</v>
      </c>
      <c r="H707" t="str">
        <f>VLOOKUP($A707,donors!$A:$C,3,FALSE)</f>
        <v xml:space="preserve"> law</v>
      </c>
      <c r="I707" t="s">
        <v>4884</v>
      </c>
    </row>
    <row r="708" spans="1:9">
      <c r="A708">
        <v>462</v>
      </c>
      <c r="B708">
        <v>1598</v>
      </c>
      <c r="C708" s="1">
        <v>39289</v>
      </c>
      <c r="D708">
        <v>404</v>
      </c>
      <c r="E708" t="s">
        <v>4441</v>
      </c>
      <c r="F708" t="str">
        <f>VLOOKUP(B708,judges!A:B,2,FALSE)</f>
        <v>monica  bachner</v>
      </c>
      <c r="G708" t="str">
        <f>VLOOKUP(A708,donors!A:C,2,FALSE)</f>
        <v xml:space="preserve"> leslie swain</v>
      </c>
      <c r="H708" t="str">
        <f>VLOOKUP($A708,donors!$A:$C,3,FALSE)</f>
        <v xml:space="preserve"> --blank--</v>
      </c>
      <c r="I708" t="s">
        <v>4884</v>
      </c>
    </row>
    <row r="709" spans="1:9">
      <c r="A709">
        <v>463</v>
      </c>
      <c r="B709">
        <v>1598</v>
      </c>
      <c r="C709" s="1">
        <v>39291</v>
      </c>
      <c r="D709">
        <v>180</v>
      </c>
      <c r="E709" t="s">
        <v>4441</v>
      </c>
      <c r="F709" t="str">
        <f>VLOOKUP(B709,judges!A:B,2,FALSE)</f>
        <v>monica  bachner</v>
      </c>
      <c r="G709" t="str">
        <f>VLOOKUP(A709,donors!A:C,2,FALSE)</f>
        <v xml:space="preserve"> lisa lench</v>
      </c>
      <c r="H709" t="str">
        <f>VLOOKUP($A709,donors!$A:$C,3,FALSE)</f>
        <v xml:space="preserve"> --blank--</v>
      </c>
      <c r="I709" t="s">
        <v>4884</v>
      </c>
    </row>
    <row r="710" spans="1:9">
      <c r="A710">
        <v>464</v>
      </c>
      <c r="B710">
        <v>1599</v>
      </c>
      <c r="C710" s="1">
        <v>39334</v>
      </c>
      <c r="D710">
        <v>125</v>
      </c>
      <c r="E710" t="s">
        <v>4636</v>
      </c>
      <c r="F710" t="str">
        <f>VLOOKUP(B710,judges!A:B,2,FALSE)</f>
        <v>mark vernon bacciarini</v>
      </c>
      <c r="G710" t="str">
        <f>VLOOKUP(A710,donors!A:C,2,FALSE)</f>
        <v xml:space="preserve"> joseph m. tresidder</v>
      </c>
      <c r="H710" t="str">
        <f>VLOOKUP($A710,donors!$A:$C,3,FALSE)</f>
        <v xml:space="preserve"> attorney</v>
      </c>
      <c r="I710" t="s">
        <v>4885</v>
      </c>
    </row>
    <row r="711" spans="1:9">
      <c r="A711">
        <v>464</v>
      </c>
      <c r="B711">
        <v>1599</v>
      </c>
      <c r="C711" s="1">
        <v>39419</v>
      </c>
      <c r="D711">
        <v>100</v>
      </c>
      <c r="E711" t="s">
        <v>4637</v>
      </c>
      <c r="F711" t="str">
        <f>VLOOKUP(B711,judges!A:B,2,FALSE)</f>
        <v>mark vernon bacciarini</v>
      </c>
      <c r="G711" t="str">
        <f>VLOOKUP(A711,donors!A:C,2,FALSE)</f>
        <v xml:space="preserve"> joseph m. tresidder</v>
      </c>
      <c r="H711" t="str">
        <f>VLOOKUP($A711,donors!$A:$C,3,FALSE)</f>
        <v xml:space="preserve"> attorney</v>
      </c>
      <c r="I711" t="s">
        <v>4885</v>
      </c>
    </row>
    <row r="712" spans="1:9">
      <c r="A712">
        <v>465</v>
      </c>
      <c r="B712">
        <v>1601</v>
      </c>
      <c r="C712" s="1">
        <v>39211</v>
      </c>
      <c r="D712">
        <v>50</v>
      </c>
      <c r="E712" t="s">
        <v>4217</v>
      </c>
      <c r="F712" t="str">
        <f>VLOOKUP(B712,judges!A:B,2,FALSE)</f>
        <v>donald j. ayoob</v>
      </c>
      <c r="G712" t="str">
        <f>VLOOKUP(A712,donors!A:C,2,FALSE)</f>
        <v xml:space="preserve"> san mateo co. bar assoc.</v>
      </c>
      <c r="H712" t="str">
        <f>VLOOKUP($A712,donors!$A:$C,3,FALSE)</f>
        <v xml:space="preserve"> professional association</v>
      </c>
      <c r="I712" t="s">
        <v>4886</v>
      </c>
    </row>
    <row r="713" spans="1:9">
      <c r="A713">
        <v>465</v>
      </c>
      <c r="B713">
        <v>1601</v>
      </c>
      <c r="C713" t="s">
        <v>2992</v>
      </c>
      <c r="D713">
        <v>50</v>
      </c>
      <c r="E713" t="s">
        <v>4415</v>
      </c>
      <c r="F713" t="str">
        <f>VLOOKUP(B713,judges!A:B,2,FALSE)</f>
        <v>donald j. ayoob</v>
      </c>
      <c r="G713" t="str">
        <f>VLOOKUP(A713,donors!A:C,2,FALSE)</f>
        <v xml:space="preserve"> san mateo co. bar assoc.</v>
      </c>
      <c r="H713" t="str">
        <f>VLOOKUP($A713,donors!$A:$C,3,FALSE)</f>
        <v xml:space="preserve"> professional association</v>
      </c>
      <c r="I713" t="s">
        <v>4886</v>
      </c>
    </row>
    <row r="714" spans="1:9">
      <c r="A714">
        <v>465</v>
      </c>
      <c r="B714">
        <v>1601</v>
      </c>
      <c r="C714" s="1">
        <v>39344</v>
      </c>
      <c r="D714">
        <v>50</v>
      </c>
      <c r="E714" t="s">
        <v>4415</v>
      </c>
      <c r="F714" t="str">
        <f>VLOOKUP(B714,judges!A:B,2,FALSE)</f>
        <v>donald j. ayoob</v>
      </c>
      <c r="G714" t="str">
        <f>VLOOKUP(A714,donors!A:C,2,FALSE)</f>
        <v xml:space="preserve"> san mateo co. bar assoc.</v>
      </c>
      <c r="H714" t="str">
        <f>VLOOKUP($A714,donors!$A:$C,3,FALSE)</f>
        <v xml:space="preserve"> professional association</v>
      </c>
      <c r="I714" t="s">
        <v>4886</v>
      </c>
    </row>
    <row r="715" spans="1:9">
      <c r="A715">
        <v>466</v>
      </c>
      <c r="B715">
        <v>1601</v>
      </c>
      <c r="C715" s="1">
        <v>39351</v>
      </c>
      <c r="D715">
        <v>50</v>
      </c>
      <c r="E715" t="s">
        <v>4217</v>
      </c>
      <c r="F715" t="str">
        <f>VLOOKUP(B715,judges!A:B,2,FALSE)</f>
        <v>donald j. ayoob</v>
      </c>
      <c r="G715" t="str">
        <f>VLOOKUP(A715,donors!A:C,2,FALSE)</f>
        <v xml:space="preserve"> san mateo co. bar assoc. (cont.)</v>
      </c>
      <c r="H715" t="str">
        <f>VLOOKUP($A715,donors!$A:$C,3,FALSE)</f>
        <v xml:space="preserve"> --blank--</v>
      </c>
      <c r="I715" t="s">
        <v>4886</v>
      </c>
    </row>
    <row r="716" spans="1:9">
      <c r="A716">
        <v>466</v>
      </c>
      <c r="B716">
        <v>1601</v>
      </c>
      <c r="C716" s="1">
        <v>39421</v>
      </c>
      <c r="D716">
        <v>50</v>
      </c>
      <c r="E716" t="s">
        <v>4217</v>
      </c>
      <c r="F716" t="str">
        <f>VLOOKUP(B716,judges!A:B,2,FALSE)</f>
        <v>donald j. ayoob</v>
      </c>
      <c r="G716" t="str">
        <f>VLOOKUP(A716,donors!A:C,2,FALSE)</f>
        <v xml:space="preserve"> san mateo co. bar assoc. (cont.)</v>
      </c>
      <c r="H716" t="str">
        <f>VLOOKUP($A716,donors!$A:$C,3,FALSE)</f>
        <v xml:space="preserve"> --blank--</v>
      </c>
      <c r="I716" t="s">
        <v>4886</v>
      </c>
    </row>
    <row r="717" spans="1:9">
      <c r="A717">
        <v>132</v>
      </c>
      <c r="B717">
        <v>1601</v>
      </c>
      <c r="C717" s="1">
        <v>39331</v>
      </c>
      <c r="D717">
        <v>175</v>
      </c>
      <c r="E717" t="s">
        <v>4187</v>
      </c>
      <c r="F717" t="str">
        <f>VLOOKUP(B717,judges!A:B,2,FALSE)</f>
        <v>donald j. ayoob</v>
      </c>
      <c r="G717" t="str">
        <f>VLOOKUP(A717,donors!A:C,2,FALSE)</f>
        <v xml:space="preserve"> elizabeth hill</v>
      </c>
      <c r="H717" t="str">
        <f>VLOOKUP($A717,donors!$A:$C,3,FALSE)</f>
        <v xml:space="preserve"> court commissioner</v>
      </c>
      <c r="I717" t="s">
        <v>4886</v>
      </c>
    </row>
    <row r="718" spans="1:9">
      <c r="A718">
        <v>467</v>
      </c>
      <c r="B718">
        <v>1601</v>
      </c>
      <c r="C718" t="s">
        <v>3029</v>
      </c>
      <c r="D718">
        <v>60</v>
      </c>
      <c r="E718" t="s">
        <v>4187</v>
      </c>
      <c r="F718" t="str">
        <f>VLOOKUP(B718,judges!A:B,2,FALSE)</f>
        <v>donald j. ayoob</v>
      </c>
      <c r="G718" t="str">
        <f>VLOOKUP(A718,donors!A:C,2,FALSE)</f>
        <v xml:space="preserve"> san mateo trial lawyers association</v>
      </c>
      <c r="H718" t="str">
        <f>VLOOKUP($A718,donors!$A:$C,3,FALSE)</f>
        <v xml:space="preserve"> professional association</v>
      </c>
      <c r="I718" t="s">
        <v>4886</v>
      </c>
    </row>
    <row r="719" spans="1:9">
      <c r="A719">
        <v>468</v>
      </c>
      <c r="B719">
        <v>1614</v>
      </c>
      <c r="C719" s="1">
        <v>39435</v>
      </c>
      <c r="D719">
        <v>210</v>
      </c>
      <c r="E719" t="s">
        <v>4311</v>
      </c>
      <c r="F719" t="str">
        <f>VLOOKUP(B719,judges!A:B,2,FALSE)</f>
        <v>james patrick arguelles</v>
      </c>
      <c r="G719" t="str">
        <f>VLOOKUP(A719,donors!A:C,2,FALSE)</f>
        <v xml:space="preserve"> john thomas</v>
      </c>
      <c r="H719" t="str">
        <f>VLOOKUP($A719,donors!$A:$C,3,FALSE)</f>
        <v xml:space="preserve"> m.d.</v>
      </c>
      <c r="I719" t="s">
        <v>4887</v>
      </c>
    </row>
    <row r="720" spans="1:9">
      <c r="A720">
        <v>69</v>
      </c>
      <c r="B720">
        <v>1622</v>
      </c>
      <c r="C720">
        <v>11</v>
      </c>
      <c r="D720">
        <v>150</v>
      </c>
      <c r="E720" t="s">
        <v>4638</v>
      </c>
      <c r="F720" t="str">
        <f>VLOOKUP(B720,judges!A:B,2,FALSE)</f>
        <v>gail udreama andler</v>
      </c>
      <c r="G720" t="str">
        <f>VLOOKUP(A720,donors!A:C,2,FALSE)</f>
        <v xml:space="preserve"> orange county bar association</v>
      </c>
      <c r="H720" t="str">
        <f>VLOOKUP($A720,donors!$A:$C,3,FALSE)</f>
        <v xml:space="preserve"> bar association</v>
      </c>
      <c r="I720" t="s">
        <v>4888</v>
      </c>
    </row>
    <row r="721" spans="1:9">
      <c r="A721">
        <v>469</v>
      </c>
      <c r="B721">
        <v>1622</v>
      </c>
      <c r="D721">
        <v>100</v>
      </c>
      <c r="E721" t="s">
        <v>4638</v>
      </c>
      <c r="F721" t="str">
        <f>VLOOKUP(B721,judges!A:B,2,FALSE)</f>
        <v>gail udreama andler</v>
      </c>
      <c r="G721" t="str">
        <f>VLOOKUP(A721,donors!A:C,2,FALSE)</f>
        <v xml:space="preserve"> octla</v>
      </c>
      <c r="H721" t="str">
        <f>VLOOKUP($A721,donors!$A:$C,3,FALSE)</f>
        <v xml:space="preserve"> bar association</v>
      </c>
      <c r="I721" t="s">
        <v>4888</v>
      </c>
    </row>
    <row r="722" spans="1:9">
      <c r="A722">
        <v>470</v>
      </c>
      <c r="B722">
        <v>1645</v>
      </c>
      <c r="C722" s="1">
        <v>39144</v>
      </c>
      <c r="D722">
        <v>300</v>
      </c>
      <c r="E722" t="s">
        <v>4639</v>
      </c>
      <c r="F722" t="str">
        <f>VLOOKUP(B722,judges!A:B,2,FALSE)</f>
        <v>frederick p aguirre</v>
      </c>
      <c r="G722" t="str">
        <f>VLOOKUP(A722,donors!A:C,2,FALSE)</f>
        <v xml:space="preserve"> dr. pablo prietto</v>
      </c>
      <c r="H722" t="str">
        <f>VLOOKUP($A722,donors!$A:$C,3,FALSE)</f>
        <v xml:space="preserve"> none</v>
      </c>
      <c r="I722" t="s">
        <v>4889</v>
      </c>
    </row>
    <row r="723" spans="1:9">
      <c r="A723">
        <v>471</v>
      </c>
      <c r="B723">
        <v>1645</v>
      </c>
      <c r="C723" s="1">
        <v>39334</v>
      </c>
      <c r="D723">
        <v>500</v>
      </c>
      <c r="E723" t="s">
        <v>4640</v>
      </c>
      <c r="F723" t="str">
        <f>VLOOKUP(B723,judges!A:B,2,FALSE)</f>
        <v>frederick p aguirre</v>
      </c>
      <c r="G723" t="str">
        <f>VLOOKUP(A723,donors!A:C,2,FALSE)</f>
        <v xml:space="preserve"> southwest airlines</v>
      </c>
      <c r="H723" t="str">
        <f>VLOOKUP($A723,donors!$A:$C,3,FALSE)</f>
        <v xml:space="preserve"> none</v>
      </c>
      <c r="I723" t="s">
        <v>4889</v>
      </c>
    </row>
    <row r="724" spans="1:9">
      <c r="A724">
        <v>472</v>
      </c>
      <c r="B724">
        <v>1645</v>
      </c>
      <c r="C724" s="1">
        <v>39211</v>
      </c>
      <c r="D724">
        <v>100</v>
      </c>
      <c r="E724" t="s">
        <v>4641</v>
      </c>
      <c r="F724" t="str">
        <f>VLOOKUP(B724,judges!A:B,2,FALSE)</f>
        <v>frederick p aguirre</v>
      </c>
      <c r="G724" t="str">
        <f>VLOOKUP(A724,donors!A:C,2,FALSE)</f>
        <v xml:space="preserve"> edison int'l</v>
      </c>
      <c r="H724" t="str">
        <f>VLOOKUP($A724,donors!$A:$C,3,FALSE)</f>
        <v xml:space="preserve"> none</v>
      </c>
      <c r="I724" t="s">
        <v>4889</v>
      </c>
    </row>
    <row r="725" spans="1:9">
      <c r="A725">
        <v>473</v>
      </c>
      <c r="B725">
        <v>1645</v>
      </c>
      <c r="C725" t="s">
        <v>3030</v>
      </c>
      <c r="D725">
        <v>250</v>
      </c>
      <c r="E725" t="s">
        <v>4642</v>
      </c>
      <c r="F725" t="str">
        <f>VLOOKUP(B725,judges!A:B,2,FALSE)</f>
        <v>frederick p aguirre</v>
      </c>
      <c r="G725" t="str">
        <f>VLOOKUP(A725,donors!A:C,2,FALSE)</f>
        <v xml:space="preserve"> uci chancellor's office</v>
      </c>
      <c r="H725" t="str">
        <f>VLOOKUP($A725,donors!$A:$C,3,FALSE)</f>
        <v xml:space="preserve"> none</v>
      </c>
      <c r="I725" t="s">
        <v>4889</v>
      </c>
    </row>
    <row r="726" spans="1:9">
      <c r="A726">
        <v>474</v>
      </c>
      <c r="B726">
        <v>1645</v>
      </c>
      <c r="C726" s="1">
        <v>39318</v>
      </c>
      <c r="D726">
        <v>400</v>
      </c>
      <c r="E726" t="s">
        <v>4643</v>
      </c>
      <c r="F726" t="str">
        <f>VLOOKUP(B726,judges!A:B,2,FALSE)</f>
        <v>frederick p aguirre</v>
      </c>
      <c r="G726" t="str">
        <f>VLOOKUP(A726,donors!A:C,2,FALSE)</f>
        <v xml:space="preserve"> black chamber of o.c.</v>
      </c>
      <c r="H726" t="str">
        <f>VLOOKUP($A726,donors!$A:$C,3,FALSE)</f>
        <v xml:space="preserve"> diverse staffing/none</v>
      </c>
      <c r="I726" t="s">
        <v>4889</v>
      </c>
    </row>
    <row r="727" spans="1:9">
      <c r="A727">
        <v>475</v>
      </c>
      <c r="B727">
        <v>1651</v>
      </c>
      <c r="C727" s="1">
        <v>38960</v>
      </c>
      <c r="D727">
        <v>120</v>
      </c>
      <c r="E727" t="s">
        <v>4644</v>
      </c>
      <c r="F727" t="str">
        <f>VLOOKUP(B727,judges!A:B,2,FALSE)</f>
        <v>karen monique ackerson-brazille</v>
      </c>
      <c r="G727" t="str">
        <f>VLOOKUP(A727,donors!A:C,2,FALSE)</f>
        <v xml:space="preserve"> wave 94.7 radio station</v>
      </c>
      <c r="H727" t="str">
        <f>VLOOKUP($A727,donors!$A:$C,3,FALSE)</f>
        <v xml:space="preserve"> los angeles ca 90036</v>
      </c>
      <c r="I727" t="s">
        <v>4890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77"/>
  <sheetViews>
    <sheetView workbookViewId="0">
      <selection activeCell="A477" sqref="A477"/>
    </sheetView>
  </sheetViews>
  <sheetFormatPr baseColWidth="10" defaultRowHeight="15" x14ac:dyDescent="0"/>
  <cols>
    <col min="2" max="2" width="40.6640625" customWidth="1"/>
  </cols>
  <sheetData>
    <row r="1" spans="1:3">
      <c r="A1" t="s">
        <v>3031</v>
      </c>
      <c r="B1" t="s">
        <v>3032</v>
      </c>
      <c r="C1" t="s">
        <v>3033</v>
      </c>
    </row>
    <row r="2" spans="1:3">
      <c r="A2">
        <v>63</v>
      </c>
      <c r="B2" t="s">
        <v>3034</v>
      </c>
      <c r="C2" t="s">
        <v>3035</v>
      </c>
    </row>
    <row r="3" spans="1:3">
      <c r="A3">
        <v>3</v>
      </c>
      <c r="B3" t="s">
        <v>3036</v>
      </c>
      <c r="C3" t="s">
        <v>3037</v>
      </c>
    </row>
    <row r="4" spans="1:3">
      <c r="A4">
        <v>160</v>
      </c>
      <c r="B4" t="s">
        <v>3038</v>
      </c>
      <c r="C4" t="s">
        <v>3039</v>
      </c>
    </row>
    <row r="5" spans="1:3">
      <c r="A5">
        <v>91</v>
      </c>
      <c r="B5" t="s">
        <v>3040</v>
      </c>
      <c r="C5" t="s">
        <v>3041</v>
      </c>
    </row>
    <row r="6" spans="1:3">
      <c r="A6">
        <v>384</v>
      </c>
      <c r="B6" t="s">
        <v>3042</v>
      </c>
      <c r="C6" t="s">
        <v>3043</v>
      </c>
    </row>
    <row r="7" spans="1:3">
      <c r="A7">
        <v>226</v>
      </c>
      <c r="B7" t="s">
        <v>3044</v>
      </c>
      <c r="C7" t="s">
        <v>3045</v>
      </c>
    </row>
    <row r="8" spans="1:3">
      <c r="A8">
        <v>52</v>
      </c>
      <c r="B8" t="s">
        <v>3046</v>
      </c>
      <c r="C8" t="s">
        <v>3047</v>
      </c>
    </row>
    <row r="9" spans="1:3">
      <c r="A9">
        <v>109</v>
      </c>
      <c r="B9" t="s">
        <v>3048</v>
      </c>
    </row>
    <row r="10" spans="1:3">
      <c r="A10">
        <v>28</v>
      </c>
      <c r="B10" t="s">
        <v>3049</v>
      </c>
      <c r="C10" t="s">
        <v>3050</v>
      </c>
    </row>
    <row r="11" spans="1:3">
      <c r="A11">
        <v>450</v>
      </c>
      <c r="B11" t="s">
        <v>3051</v>
      </c>
      <c r="C11" t="s">
        <v>3052</v>
      </c>
    </row>
    <row r="12" spans="1:3">
      <c r="A12">
        <v>60</v>
      </c>
      <c r="B12" t="s">
        <v>3053</v>
      </c>
      <c r="C12" t="s">
        <v>3054</v>
      </c>
    </row>
    <row r="13" spans="1:3">
      <c r="A13">
        <v>84</v>
      </c>
      <c r="B13" t="s">
        <v>3055</v>
      </c>
      <c r="C13" t="s">
        <v>3041</v>
      </c>
    </row>
    <row r="14" spans="1:3">
      <c r="A14">
        <v>346</v>
      </c>
      <c r="B14" t="s">
        <v>3056</v>
      </c>
      <c r="C14" t="s">
        <v>3057</v>
      </c>
    </row>
    <row r="15" spans="1:3">
      <c r="A15">
        <v>194</v>
      </c>
      <c r="B15" t="s">
        <v>3058</v>
      </c>
      <c r="C15" t="s">
        <v>3059</v>
      </c>
    </row>
    <row r="16" spans="1:3">
      <c r="A16">
        <v>97</v>
      </c>
      <c r="B16" t="s">
        <v>3060</v>
      </c>
      <c r="C16" t="s">
        <v>3061</v>
      </c>
    </row>
    <row r="17" spans="1:3">
      <c r="A17">
        <v>71</v>
      </c>
      <c r="B17" t="s">
        <v>3062</v>
      </c>
      <c r="C17" t="s">
        <v>3063</v>
      </c>
    </row>
    <row r="18" spans="1:3">
      <c r="A18">
        <v>425</v>
      </c>
      <c r="B18" t="s">
        <v>3064</v>
      </c>
      <c r="C18" t="s">
        <v>3037</v>
      </c>
    </row>
    <row r="19" spans="1:3">
      <c r="A19">
        <v>393</v>
      </c>
      <c r="B19" t="s">
        <v>3065</v>
      </c>
      <c r="C19" t="s">
        <v>3037</v>
      </c>
    </row>
    <row r="20" spans="1:3">
      <c r="A20">
        <v>444</v>
      </c>
      <c r="B20" t="s">
        <v>3066</v>
      </c>
      <c r="C20" t="s">
        <v>3067</v>
      </c>
    </row>
    <row r="21" spans="1:3">
      <c r="A21">
        <v>337</v>
      </c>
      <c r="B21" t="s">
        <v>3068</v>
      </c>
      <c r="C21" t="s">
        <v>3069</v>
      </c>
    </row>
    <row r="22" spans="1:3">
      <c r="A22">
        <v>49</v>
      </c>
      <c r="B22" t="s">
        <v>3070</v>
      </c>
      <c r="C22" t="s">
        <v>3071</v>
      </c>
    </row>
    <row r="23" spans="1:3">
      <c r="A23">
        <v>284</v>
      </c>
      <c r="B23" t="s">
        <v>3072</v>
      </c>
      <c r="C23" t="s">
        <v>3073</v>
      </c>
    </row>
    <row r="24" spans="1:3">
      <c r="A24">
        <v>239</v>
      </c>
      <c r="B24" t="s">
        <v>3074</v>
      </c>
      <c r="C24" t="s">
        <v>3037</v>
      </c>
    </row>
    <row r="25" spans="1:3">
      <c r="A25">
        <v>442</v>
      </c>
      <c r="B25" t="s">
        <v>3075</v>
      </c>
      <c r="C25" t="s">
        <v>3076</v>
      </c>
    </row>
    <row r="26" spans="1:3">
      <c r="A26">
        <v>341</v>
      </c>
      <c r="B26" t="s">
        <v>3077</v>
      </c>
      <c r="C26" t="s">
        <v>3041</v>
      </c>
    </row>
    <row r="27" spans="1:3">
      <c r="A27">
        <v>411</v>
      </c>
      <c r="B27" t="s">
        <v>3078</v>
      </c>
      <c r="C27" t="s">
        <v>3079</v>
      </c>
    </row>
    <row r="28" spans="1:3">
      <c r="A28">
        <v>41</v>
      </c>
      <c r="B28" t="s">
        <v>3080</v>
      </c>
      <c r="C28" t="s">
        <v>3081</v>
      </c>
    </row>
    <row r="29" spans="1:3">
      <c r="A29">
        <v>9</v>
      </c>
      <c r="B29" t="s">
        <v>3082</v>
      </c>
      <c r="C29" t="s">
        <v>3083</v>
      </c>
    </row>
    <row r="30" spans="1:3">
      <c r="A30">
        <v>133</v>
      </c>
      <c r="B30" t="s">
        <v>3084</v>
      </c>
      <c r="C30" t="s">
        <v>3085</v>
      </c>
    </row>
    <row r="31" spans="1:3">
      <c r="A31">
        <v>174</v>
      </c>
      <c r="B31" t="s">
        <v>3086</v>
      </c>
      <c r="C31" t="s">
        <v>3037</v>
      </c>
    </row>
    <row r="32" spans="1:3">
      <c r="A32">
        <v>300</v>
      </c>
      <c r="B32" t="s">
        <v>3087</v>
      </c>
      <c r="C32" t="s">
        <v>3088</v>
      </c>
    </row>
    <row r="33" spans="1:3">
      <c r="A33">
        <v>138</v>
      </c>
      <c r="B33" t="s">
        <v>3089</v>
      </c>
      <c r="C33" t="s">
        <v>3090</v>
      </c>
    </row>
    <row r="34" spans="1:3">
      <c r="A34">
        <v>463</v>
      </c>
      <c r="B34" t="s">
        <v>3091</v>
      </c>
      <c r="C34" t="s">
        <v>3037</v>
      </c>
    </row>
    <row r="35" spans="1:3">
      <c r="A35">
        <v>73</v>
      </c>
      <c r="B35" t="s">
        <v>3092</v>
      </c>
      <c r="C35" t="s">
        <v>3093</v>
      </c>
    </row>
    <row r="36" spans="1:3">
      <c r="A36">
        <v>246</v>
      </c>
      <c r="B36" t="s">
        <v>3094</v>
      </c>
      <c r="C36" t="s">
        <v>3037</v>
      </c>
    </row>
    <row r="37" spans="1:3">
      <c r="A37">
        <v>125</v>
      </c>
      <c r="B37" t="s">
        <v>3095</v>
      </c>
      <c r="C37" t="s">
        <v>3096</v>
      </c>
    </row>
    <row r="38" spans="1:3">
      <c r="A38">
        <v>242</v>
      </c>
      <c r="B38" t="s">
        <v>3097</v>
      </c>
      <c r="C38" t="s">
        <v>3098</v>
      </c>
    </row>
    <row r="39" spans="1:3">
      <c r="A39">
        <v>217</v>
      </c>
      <c r="B39" t="s">
        <v>3099</v>
      </c>
      <c r="C39" t="s">
        <v>3100</v>
      </c>
    </row>
    <row r="40" spans="1:3">
      <c r="A40">
        <v>223</v>
      </c>
      <c r="B40" t="s">
        <v>3101</v>
      </c>
      <c r="C40" t="s">
        <v>3102</v>
      </c>
    </row>
    <row r="41" spans="1:3">
      <c r="A41">
        <v>45</v>
      </c>
      <c r="B41" t="s">
        <v>3103</v>
      </c>
      <c r="C41" t="s">
        <v>3104</v>
      </c>
    </row>
    <row r="42" spans="1:3">
      <c r="A42">
        <v>268</v>
      </c>
      <c r="B42" t="s">
        <v>3105</v>
      </c>
      <c r="C42" t="s">
        <v>3106</v>
      </c>
    </row>
    <row r="43" spans="1:3">
      <c r="A43">
        <v>238</v>
      </c>
      <c r="B43" t="s">
        <v>3107</v>
      </c>
      <c r="C43" t="s">
        <v>3037</v>
      </c>
    </row>
    <row r="44" spans="1:3">
      <c r="A44">
        <v>142</v>
      </c>
      <c r="B44" t="s">
        <v>3108</v>
      </c>
      <c r="C44" t="s">
        <v>3109</v>
      </c>
    </row>
    <row r="45" spans="1:3">
      <c r="A45">
        <v>311</v>
      </c>
      <c r="B45" t="s">
        <v>3110</v>
      </c>
      <c r="C45" t="s">
        <v>3111</v>
      </c>
    </row>
    <row r="46" spans="1:3">
      <c r="A46">
        <v>102</v>
      </c>
      <c r="B46" t="s">
        <v>3112</v>
      </c>
      <c r="C46" t="s">
        <v>3113</v>
      </c>
    </row>
    <row r="47" spans="1:3">
      <c r="A47">
        <v>313</v>
      </c>
      <c r="B47" t="s">
        <v>3114</v>
      </c>
      <c r="C47" t="s">
        <v>3115</v>
      </c>
    </row>
    <row r="48" spans="1:3">
      <c r="A48">
        <v>320</v>
      </c>
      <c r="B48" t="s">
        <v>3116</v>
      </c>
      <c r="C48" t="s">
        <v>3037</v>
      </c>
    </row>
    <row r="49" spans="1:3">
      <c r="A49">
        <v>368</v>
      </c>
      <c r="B49" t="s">
        <v>3117</v>
      </c>
      <c r="C49" t="s">
        <v>3118</v>
      </c>
    </row>
    <row r="50" spans="1:3">
      <c r="A50">
        <v>305</v>
      </c>
      <c r="B50" t="s">
        <v>3119</v>
      </c>
      <c r="C50" t="s">
        <v>3120</v>
      </c>
    </row>
    <row r="51" spans="1:3">
      <c r="A51">
        <v>135</v>
      </c>
      <c r="B51" t="s">
        <v>3121</v>
      </c>
      <c r="C51" t="s">
        <v>3122</v>
      </c>
    </row>
    <row r="52" spans="1:3">
      <c r="A52">
        <v>331</v>
      </c>
      <c r="B52" t="s">
        <v>3123</v>
      </c>
      <c r="C52" t="s">
        <v>3124</v>
      </c>
    </row>
    <row r="53" spans="1:3">
      <c r="A53">
        <v>277</v>
      </c>
      <c r="B53" t="s">
        <v>3125</v>
      </c>
      <c r="C53" t="s">
        <v>3047</v>
      </c>
    </row>
    <row r="54" spans="1:3">
      <c r="A54">
        <v>288</v>
      </c>
      <c r="B54" t="s">
        <v>3126</v>
      </c>
      <c r="C54" t="s">
        <v>3127</v>
      </c>
    </row>
    <row r="55" spans="1:3">
      <c r="A55">
        <v>179</v>
      </c>
      <c r="B55" t="s">
        <v>3128</v>
      </c>
      <c r="C55" t="s">
        <v>3037</v>
      </c>
    </row>
    <row r="56" spans="1:3">
      <c r="A56">
        <v>75</v>
      </c>
      <c r="B56" t="s">
        <v>3129</v>
      </c>
      <c r="C56" t="s">
        <v>3037</v>
      </c>
    </row>
    <row r="57" spans="1:3">
      <c r="A57">
        <v>426</v>
      </c>
      <c r="B57" t="s">
        <v>3130</v>
      </c>
      <c r="C57" t="s">
        <v>3037</v>
      </c>
    </row>
    <row r="58" spans="1:3">
      <c r="A58">
        <v>385</v>
      </c>
      <c r="B58" t="s">
        <v>3131</v>
      </c>
      <c r="C58" t="s">
        <v>3132</v>
      </c>
    </row>
    <row r="59" spans="1:3">
      <c r="A59">
        <v>176</v>
      </c>
      <c r="B59" t="s">
        <v>3133</v>
      </c>
      <c r="C59" t="s">
        <v>3037</v>
      </c>
    </row>
    <row r="60" spans="1:3">
      <c r="A60">
        <v>121</v>
      </c>
      <c r="B60" t="s">
        <v>3134</v>
      </c>
      <c r="C60" t="s">
        <v>3135</v>
      </c>
    </row>
    <row r="61" spans="1:3">
      <c r="A61">
        <v>14</v>
      </c>
      <c r="B61" t="s">
        <v>3136</v>
      </c>
      <c r="C61" t="s">
        <v>3120</v>
      </c>
    </row>
    <row r="62" spans="1:3">
      <c r="A62">
        <v>143</v>
      </c>
      <c r="B62" t="s">
        <v>3137</v>
      </c>
      <c r="C62" t="s">
        <v>3138</v>
      </c>
    </row>
    <row r="63" spans="1:3">
      <c r="A63">
        <v>456</v>
      </c>
      <c r="B63" t="s">
        <v>3139</v>
      </c>
      <c r="C63" t="s">
        <v>3140</v>
      </c>
    </row>
    <row r="64" spans="1:3">
      <c r="A64">
        <v>195</v>
      </c>
      <c r="B64" t="s">
        <v>3141</v>
      </c>
      <c r="C64" t="s">
        <v>102</v>
      </c>
    </row>
    <row r="65" spans="1:3">
      <c r="A65">
        <v>150</v>
      </c>
      <c r="B65" t="s">
        <v>3142</v>
      </c>
      <c r="C65" t="s">
        <v>3143</v>
      </c>
    </row>
    <row r="66" spans="1:3">
      <c r="A66">
        <v>221</v>
      </c>
      <c r="B66" t="s">
        <v>3144</v>
      </c>
      <c r="C66" t="s">
        <v>3145</v>
      </c>
    </row>
    <row r="67" spans="1:3">
      <c r="A67">
        <v>298</v>
      </c>
      <c r="B67" t="s">
        <v>3146</v>
      </c>
      <c r="C67" t="s">
        <v>3037</v>
      </c>
    </row>
    <row r="68" spans="1:3">
      <c r="A68">
        <v>21</v>
      </c>
      <c r="B68" t="s">
        <v>3147</v>
      </c>
      <c r="C68" t="s">
        <v>3054</v>
      </c>
    </row>
    <row r="69" spans="1:3">
      <c r="A69">
        <v>379</v>
      </c>
      <c r="B69" t="s">
        <v>3148</v>
      </c>
      <c r="C69" t="s">
        <v>3043</v>
      </c>
    </row>
    <row r="70" spans="1:3">
      <c r="A70">
        <v>105</v>
      </c>
      <c r="B70" t="s">
        <v>3149</v>
      </c>
      <c r="C70" t="s">
        <v>3113</v>
      </c>
    </row>
    <row r="71" spans="1:3">
      <c r="A71">
        <v>101</v>
      </c>
      <c r="B71" t="s">
        <v>3150</v>
      </c>
      <c r="C71" t="s">
        <v>3047</v>
      </c>
    </row>
    <row r="72" spans="1:3">
      <c r="A72">
        <v>145</v>
      </c>
      <c r="B72" t="s">
        <v>3151</v>
      </c>
      <c r="C72" t="s">
        <v>3138</v>
      </c>
    </row>
    <row r="73" spans="1:3">
      <c r="A73">
        <v>123</v>
      </c>
      <c r="B73" t="s">
        <v>3152</v>
      </c>
      <c r="C73" t="s">
        <v>102</v>
      </c>
    </row>
    <row r="74" spans="1:3">
      <c r="A74">
        <v>58</v>
      </c>
      <c r="B74" t="s">
        <v>3153</v>
      </c>
      <c r="C74" t="s">
        <v>3154</v>
      </c>
    </row>
    <row r="75" spans="1:3">
      <c r="A75">
        <v>283</v>
      </c>
      <c r="B75" t="s">
        <v>3155</v>
      </c>
      <c r="C75" t="s">
        <v>3156</v>
      </c>
    </row>
    <row r="76" spans="1:3">
      <c r="A76">
        <v>167</v>
      </c>
      <c r="B76" t="s">
        <v>3157</v>
      </c>
      <c r="C76" t="s">
        <v>3037</v>
      </c>
    </row>
    <row r="77" spans="1:3">
      <c r="A77">
        <v>406</v>
      </c>
      <c r="B77" t="s">
        <v>3158</v>
      </c>
      <c r="C77" t="s">
        <v>3041</v>
      </c>
    </row>
    <row r="78" spans="1:3">
      <c r="A78">
        <v>237</v>
      </c>
      <c r="B78" t="s">
        <v>3159</v>
      </c>
      <c r="C78" t="s">
        <v>3160</v>
      </c>
    </row>
    <row r="79" spans="1:3">
      <c r="A79">
        <v>409</v>
      </c>
      <c r="B79" t="s">
        <v>3161</v>
      </c>
      <c r="C79" t="s">
        <v>3162</v>
      </c>
    </row>
    <row r="80" spans="1:3">
      <c r="A80">
        <v>65</v>
      </c>
      <c r="B80" t="s">
        <v>3163</v>
      </c>
      <c r="C80" t="s">
        <v>3164</v>
      </c>
    </row>
    <row r="81" spans="1:3">
      <c r="A81">
        <v>302</v>
      </c>
      <c r="B81" t="s">
        <v>3165</v>
      </c>
      <c r="C81" t="s">
        <v>3037</v>
      </c>
    </row>
    <row r="82" spans="1:3">
      <c r="A82">
        <v>54</v>
      </c>
      <c r="B82" t="s">
        <v>3166</v>
      </c>
      <c r="C82" t="s">
        <v>3167</v>
      </c>
    </row>
    <row r="83" spans="1:3">
      <c r="A83">
        <v>117</v>
      </c>
      <c r="B83" t="s">
        <v>3168</v>
      </c>
      <c r="C83" t="s">
        <v>3127</v>
      </c>
    </row>
    <row r="84" spans="1:3">
      <c r="A84">
        <v>18</v>
      </c>
      <c r="B84" t="s">
        <v>3169</v>
      </c>
      <c r="C84" t="s">
        <v>3170</v>
      </c>
    </row>
    <row r="85" spans="1:3">
      <c r="A85">
        <v>154</v>
      </c>
      <c r="B85" t="s">
        <v>3171</v>
      </c>
      <c r="C85" t="s">
        <v>3172</v>
      </c>
    </row>
    <row r="86" spans="1:3">
      <c r="A86">
        <v>371</v>
      </c>
      <c r="B86" t="s">
        <v>3173</v>
      </c>
      <c r="C86" t="s">
        <v>3174</v>
      </c>
    </row>
    <row r="87" spans="1:3">
      <c r="A87">
        <v>207</v>
      </c>
      <c r="B87" t="s">
        <v>3175</v>
      </c>
      <c r="C87" t="s">
        <v>3176</v>
      </c>
    </row>
    <row r="88" spans="1:3">
      <c r="A88">
        <v>82</v>
      </c>
      <c r="B88" t="s">
        <v>3177</v>
      </c>
      <c r="C88" t="s">
        <v>3007</v>
      </c>
    </row>
    <row r="89" spans="1:3">
      <c r="A89">
        <v>389</v>
      </c>
      <c r="B89" t="s">
        <v>3178</v>
      </c>
      <c r="C89" t="s">
        <v>3127</v>
      </c>
    </row>
    <row r="90" spans="1:3">
      <c r="A90">
        <v>306</v>
      </c>
      <c r="B90" t="s">
        <v>3179</v>
      </c>
      <c r="C90" t="s">
        <v>3120</v>
      </c>
    </row>
    <row r="91" spans="1:3">
      <c r="A91">
        <v>407</v>
      </c>
      <c r="B91" t="s">
        <v>3180</v>
      </c>
      <c r="C91" t="s">
        <v>3041</v>
      </c>
    </row>
    <row r="92" spans="1:3">
      <c r="A92">
        <v>22</v>
      </c>
      <c r="B92" t="s">
        <v>3181</v>
      </c>
      <c r="C92" t="s">
        <v>3127</v>
      </c>
    </row>
    <row r="93" spans="1:3">
      <c r="A93">
        <v>220</v>
      </c>
      <c r="B93" t="s">
        <v>3182</v>
      </c>
      <c r="C93" t="s">
        <v>3088</v>
      </c>
    </row>
    <row r="94" spans="1:3">
      <c r="A94">
        <v>296</v>
      </c>
      <c r="B94" t="s">
        <v>3183</v>
      </c>
      <c r="C94" t="s">
        <v>3184</v>
      </c>
    </row>
    <row r="95" spans="1:3">
      <c r="A95">
        <v>396</v>
      </c>
      <c r="B95" t="s">
        <v>3185</v>
      </c>
      <c r="C95" t="s">
        <v>3041</v>
      </c>
    </row>
    <row r="96" spans="1:3">
      <c r="A96">
        <v>96</v>
      </c>
      <c r="B96" t="s">
        <v>3186</v>
      </c>
      <c r="C96" t="s">
        <v>3187</v>
      </c>
    </row>
    <row r="97" spans="1:3">
      <c r="A97">
        <v>2</v>
      </c>
      <c r="B97" t="s">
        <v>3188</v>
      </c>
      <c r="C97" t="s">
        <v>3115</v>
      </c>
    </row>
    <row r="98" spans="1:3">
      <c r="A98">
        <v>280</v>
      </c>
      <c r="B98" t="s">
        <v>3189</v>
      </c>
      <c r="C98" t="s">
        <v>3190</v>
      </c>
    </row>
    <row r="99" spans="1:3">
      <c r="A99">
        <v>157</v>
      </c>
      <c r="B99" t="s">
        <v>3191</v>
      </c>
      <c r="C99" t="s">
        <v>3192</v>
      </c>
    </row>
    <row r="100" spans="1:3">
      <c r="A100">
        <v>343</v>
      </c>
      <c r="B100" t="s">
        <v>3193</v>
      </c>
      <c r="C100" t="s">
        <v>3041</v>
      </c>
    </row>
    <row r="101" spans="1:3">
      <c r="A101">
        <v>324</v>
      </c>
      <c r="B101" t="s">
        <v>3194</v>
      </c>
      <c r="C101" t="s">
        <v>3195</v>
      </c>
    </row>
    <row r="102" spans="1:3">
      <c r="A102">
        <v>381</v>
      </c>
      <c r="B102" t="s">
        <v>3196</v>
      </c>
      <c r="C102" t="s">
        <v>3197</v>
      </c>
    </row>
    <row r="103" spans="1:3">
      <c r="A103">
        <v>33</v>
      </c>
      <c r="B103" t="s">
        <v>3198</v>
      </c>
      <c r="C103" t="s">
        <v>3199</v>
      </c>
    </row>
    <row r="104" spans="1:3">
      <c r="A104">
        <v>245</v>
      </c>
      <c r="B104" t="s">
        <v>3200</v>
      </c>
      <c r="C104" t="s">
        <v>3201</v>
      </c>
    </row>
    <row r="105" spans="1:3">
      <c r="A105">
        <v>93</v>
      </c>
      <c r="B105" t="s">
        <v>3202</v>
      </c>
      <c r="C105" t="s">
        <v>3115</v>
      </c>
    </row>
    <row r="106" spans="1:3">
      <c r="A106">
        <v>443</v>
      </c>
      <c r="B106" t="s">
        <v>3203</v>
      </c>
      <c r="C106" t="s">
        <v>3204</v>
      </c>
    </row>
    <row r="107" spans="1:3">
      <c r="A107">
        <v>141</v>
      </c>
      <c r="B107" t="s">
        <v>3205</v>
      </c>
      <c r="C107" t="s">
        <v>3206</v>
      </c>
    </row>
    <row r="108" spans="1:3">
      <c r="A108">
        <v>114</v>
      </c>
      <c r="B108" t="s">
        <v>3207</v>
      </c>
      <c r="C108" t="s">
        <v>3127</v>
      </c>
    </row>
    <row r="109" spans="1:3">
      <c r="A109">
        <v>401</v>
      </c>
      <c r="B109" t="s">
        <v>3208</v>
      </c>
      <c r="C109" t="s">
        <v>3037</v>
      </c>
    </row>
    <row r="110" spans="1:3">
      <c r="A110">
        <v>357</v>
      </c>
      <c r="B110" t="s">
        <v>3209</v>
      </c>
      <c r="C110" t="s">
        <v>3041</v>
      </c>
    </row>
    <row r="111" spans="1:3">
      <c r="A111">
        <v>236</v>
      </c>
      <c r="B111" t="s">
        <v>3210</v>
      </c>
      <c r="C111" t="s">
        <v>3211</v>
      </c>
    </row>
    <row r="112" spans="1:3">
      <c r="A112">
        <v>106</v>
      </c>
      <c r="B112" t="s">
        <v>3212</v>
      </c>
      <c r="C112" t="s">
        <v>3213</v>
      </c>
    </row>
    <row r="113" spans="1:3">
      <c r="A113">
        <v>360</v>
      </c>
      <c r="B113" t="s">
        <v>3214</v>
      </c>
      <c r="C113" t="s">
        <v>3215</v>
      </c>
    </row>
    <row r="114" spans="1:3">
      <c r="A114">
        <v>205</v>
      </c>
      <c r="B114" t="s">
        <v>3216</v>
      </c>
      <c r="C114" t="s">
        <v>3217</v>
      </c>
    </row>
    <row r="115" spans="1:3">
      <c r="A115">
        <v>85</v>
      </c>
      <c r="B115" t="s">
        <v>3218</v>
      </c>
      <c r="C115" t="s">
        <v>3219</v>
      </c>
    </row>
    <row r="116" spans="1:3">
      <c r="A116">
        <v>303</v>
      </c>
      <c r="B116" t="s">
        <v>3220</v>
      </c>
      <c r="C116" t="s">
        <v>3221</v>
      </c>
    </row>
    <row r="117" spans="1:3">
      <c r="A117">
        <v>470</v>
      </c>
      <c r="B117" t="s">
        <v>3222</v>
      </c>
      <c r="C117" t="s">
        <v>3054</v>
      </c>
    </row>
    <row r="118" spans="1:3">
      <c r="A118">
        <v>446</v>
      </c>
      <c r="B118" t="s">
        <v>3223</v>
      </c>
      <c r="C118" t="s">
        <v>3224</v>
      </c>
    </row>
    <row r="119" spans="1:3">
      <c r="A119">
        <v>80</v>
      </c>
      <c r="B119" t="s">
        <v>3225</v>
      </c>
      <c r="C119" t="s">
        <v>3226</v>
      </c>
    </row>
    <row r="120" spans="1:3">
      <c r="A120">
        <v>267</v>
      </c>
      <c r="B120" t="s">
        <v>3227</v>
      </c>
      <c r="C120" t="s">
        <v>3228</v>
      </c>
    </row>
    <row r="121" spans="1:3">
      <c r="A121">
        <v>386</v>
      </c>
      <c r="B121" t="s">
        <v>3229</v>
      </c>
      <c r="C121" t="s">
        <v>3230</v>
      </c>
    </row>
    <row r="122" spans="1:3">
      <c r="A122">
        <v>334</v>
      </c>
      <c r="B122" t="s">
        <v>3231</v>
      </c>
      <c r="C122" t="s">
        <v>3232</v>
      </c>
    </row>
    <row r="123" spans="1:3">
      <c r="A123">
        <v>265</v>
      </c>
      <c r="B123" t="s">
        <v>3233</v>
      </c>
      <c r="C123" t="s">
        <v>3234</v>
      </c>
    </row>
    <row r="124" spans="1:3">
      <c r="A124">
        <v>188</v>
      </c>
      <c r="B124" t="s">
        <v>3235</v>
      </c>
      <c r="C124" t="s">
        <v>3037</v>
      </c>
    </row>
    <row r="125" spans="1:3">
      <c r="A125">
        <v>81</v>
      </c>
      <c r="B125" t="s">
        <v>3236</v>
      </c>
      <c r="C125" t="s">
        <v>3237</v>
      </c>
    </row>
    <row r="126" spans="1:3">
      <c r="A126">
        <v>134</v>
      </c>
      <c r="B126" t="s">
        <v>3238</v>
      </c>
      <c r="C126" t="s">
        <v>3239</v>
      </c>
    </row>
    <row r="127" spans="1:3">
      <c r="A127">
        <v>417</v>
      </c>
      <c r="B127" t="s">
        <v>3240</v>
      </c>
      <c r="C127" t="s">
        <v>3241</v>
      </c>
    </row>
    <row r="128" spans="1:3">
      <c r="A128">
        <v>441</v>
      </c>
      <c r="B128" t="s">
        <v>3242</v>
      </c>
      <c r="C128" t="s">
        <v>3243</v>
      </c>
    </row>
    <row r="129" spans="1:3">
      <c r="A129">
        <v>241</v>
      </c>
      <c r="B129" t="s">
        <v>3244</v>
      </c>
      <c r="C129" t="s">
        <v>3037</v>
      </c>
    </row>
    <row r="130" spans="1:3">
      <c r="A130">
        <v>422</v>
      </c>
      <c r="B130" t="s">
        <v>3245</v>
      </c>
      <c r="C130" t="s">
        <v>3246</v>
      </c>
    </row>
    <row r="131" spans="1:3">
      <c r="A131">
        <v>404</v>
      </c>
      <c r="B131" t="s">
        <v>3247</v>
      </c>
      <c r="C131" t="s">
        <v>3037</v>
      </c>
    </row>
    <row r="132" spans="1:3">
      <c r="A132">
        <v>76</v>
      </c>
      <c r="B132" t="s">
        <v>3248</v>
      </c>
      <c r="C132" t="s">
        <v>3041</v>
      </c>
    </row>
    <row r="133" spans="1:3">
      <c r="A133">
        <v>258</v>
      </c>
      <c r="B133" t="s">
        <v>3249</v>
      </c>
      <c r="C133" t="s">
        <v>3250</v>
      </c>
    </row>
    <row r="134" spans="1:3">
      <c r="A134">
        <v>8</v>
      </c>
      <c r="B134" t="s">
        <v>3251</v>
      </c>
      <c r="C134" t="s">
        <v>3115</v>
      </c>
    </row>
    <row r="135" spans="1:3">
      <c r="A135">
        <v>473</v>
      </c>
      <c r="B135" t="s">
        <v>3252</v>
      </c>
      <c r="C135" t="s">
        <v>3054</v>
      </c>
    </row>
    <row r="136" spans="1:3">
      <c r="A136">
        <v>424</v>
      </c>
      <c r="B136" t="s">
        <v>3253</v>
      </c>
      <c r="C136" t="s">
        <v>3037</v>
      </c>
    </row>
    <row r="137" spans="1:3">
      <c r="A137">
        <v>199</v>
      </c>
      <c r="B137" t="s">
        <v>3254</v>
      </c>
      <c r="C137" t="s">
        <v>3037</v>
      </c>
    </row>
    <row r="138" spans="1:3">
      <c r="A138">
        <v>266</v>
      </c>
      <c r="B138" t="s">
        <v>3255</v>
      </c>
      <c r="C138" t="s">
        <v>3256</v>
      </c>
    </row>
    <row r="139" spans="1:3">
      <c r="A139">
        <v>210</v>
      </c>
      <c r="B139" t="s">
        <v>3257</v>
      </c>
      <c r="C139" t="s">
        <v>3115</v>
      </c>
    </row>
    <row r="140" spans="1:3">
      <c r="A140">
        <v>394</v>
      </c>
      <c r="B140" t="s">
        <v>3258</v>
      </c>
      <c r="C140" t="s">
        <v>3259</v>
      </c>
    </row>
    <row r="141" spans="1:3">
      <c r="A141">
        <v>208</v>
      </c>
      <c r="B141" t="s">
        <v>3260</v>
      </c>
      <c r="C141" t="s">
        <v>3261</v>
      </c>
    </row>
    <row r="142" spans="1:3">
      <c r="A142">
        <v>243</v>
      </c>
      <c r="B142" t="s">
        <v>3262</v>
      </c>
      <c r="C142" t="s">
        <v>3263</v>
      </c>
    </row>
    <row r="143" spans="1:3">
      <c r="A143">
        <v>326</v>
      </c>
      <c r="B143" t="s">
        <v>3264</v>
      </c>
      <c r="C143" t="s">
        <v>3037</v>
      </c>
    </row>
    <row r="144" spans="1:3">
      <c r="A144">
        <v>445</v>
      </c>
      <c r="B144" t="s">
        <v>3265</v>
      </c>
      <c r="C144" t="s">
        <v>3127</v>
      </c>
    </row>
    <row r="145" spans="1:3">
      <c r="A145">
        <v>107</v>
      </c>
      <c r="B145" t="s">
        <v>3266</v>
      </c>
      <c r="C145" t="s">
        <v>3113</v>
      </c>
    </row>
    <row r="146" spans="1:3">
      <c r="A146">
        <v>43</v>
      </c>
      <c r="B146" t="s">
        <v>3267</v>
      </c>
      <c r="C146" t="s">
        <v>3037</v>
      </c>
    </row>
    <row r="147" spans="1:3">
      <c r="A147">
        <v>347</v>
      </c>
      <c r="B147" t="s">
        <v>3268</v>
      </c>
      <c r="C147" t="s">
        <v>3269</v>
      </c>
    </row>
    <row r="148" spans="1:3">
      <c r="A148">
        <v>433</v>
      </c>
      <c r="B148" t="s">
        <v>3270</v>
      </c>
      <c r="C148" t="s">
        <v>3041</v>
      </c>
    </row>
    <row r="149" spans="1:3">
      <c r="A149">
        <v>352</v>
      </c>
      <c r="B149" t="s">
        <v>3271</v>
      </c>
      <c r="C149" t="s">
        <v>3272</v>
      </c>
    </row>
    <row r="150" spans="1:3">
      <c r="A150">
        <v>295</v>
      </c>
      <c r="B150" t="s">
        <v>3273</v>
      </c>
      <c r="C150" t="s">
        <v>3274</v>
      </c>
    </row>
    <row r="151" spans="1:3">
      <c r="A151">
        <v>137</v>
      </c>
      <c r="B151" t="s">
        <v>3275</v>
      </c>
      <c r="C151" t="s">
        <v>3276</v>
      </c>
    </row>
    <row r="152" spans="1:3">
      <c r="A152">
        <v>282</v>
      </c>
      <c r="B152" t="s">
        <v>3277</v>
      </c>
      <c r="C152" t="s">
        <v>3278</v>
      </c>
    </row>
    <row r="153" spans="1:3">
      <c r="A153">
        <v>127</v>
      </c>
      <c r="B153" t="s">
        <v>3279</v>
      </c>
      <c r="C153" t="s">
        <v>3280</v>
      </c>
    </row>
    <row r="154" spans="1:3">
      <c r="A154">
        <v>38</v>
      </c>
      <c r="B154" t="s">
        <v>3281</v>
      </c>
      <c r="C154" t="s">
        <v>3037</v>
      </c>
    </row>
    <row r="155" spans="1:3">
      <c r="A155">
        <v>216</v>
      </c>
      <c r="B155" t="s">
        <v>3282</v>
      </c>
      <c r="C155" t="s">
        <v>3283</v>
      </c>
    </row>
    <row r="156" spans="1:3">
      <c r="A156">
        <v>181</v>
      </c>
      <c r="B156" t="s">
        <v>3284</v>
      </c>
      <c r="C156" t="s">
        <v>3283</v>
      </c>
    </row>
    <row r="157" spans="1:3">
      <c r="A157">
        <v>112</v>
      </c>
      <c r="B157" t="s">
        <v>3285</v>
      </c>
      <c r="C157" t="s">
        <v>102</v>
      </c>
    </row>
    <row r="158" spans="1:3">
      <c r="A158">
        <v>318</v>
      </c>
      <c r="B158" t="s">
        <v>3286</v>
      </c>
      <c r="C158" t="s">
        <v>3037</v>
      </c>
    </row>
    <row r="159" spans="1:3">
      <c r="A159">
        <v>55</v>
      </c>
      <c r="B159" t="s">
        <v>3287</v>
      </c>
      <c r="C159" t="s">
        <v>3288</v>
      </c>
    </row>
    <row r="160" spans="1:3">
      <c r="A160">
        <v>104</v>
      </c>
      <c r="B160" t="s">
        <v>3289</v>
      </c>
      <c r="C160" t="s">
        <v>3113</v>
      </c>
    </row>
    <row r="161" spans="1:3">
      <c r="A161">
        <v>388</v>
      </c>
      <c r="B161" t="s">
        <v>3290</v>
      </c>
      <c r="C161" t="s">
        <v>3043</v>
      </c>
    </row>
    <row r="162" spans="1:3">
      <c r="A162">
        <v>218</v>
      </c>
      <c r="B162" t="s">
        <v>3291</v>
      </c>
      <c r="C162" t="s">
        <v>3292</v>
      </c>
    </row>
    <row r="163" spans="1:3">
      <c r="A163">
        <v>16</v>
      </c>
      <c r="B163" t="s">
        <v>3293</v>
      </c>
      <c r="C163" t="s">
        <v>3041</v>
      </c>
    </row>
    <row r="164" spans="1:3">
      <c r="A164">
        <v>350</v>
      </c>
      <c r="B164" t="s">
        <v>3294</v>
      </c>
      <c r="C164" t="s">
        <v>3295</v>
      </c>
    </row>
    <row r="165" spans="1:3">
      <c r="A165">
        <v>454</v>
      </c>
      <c r="B165" t="s">
        <v>3296</v>
      </c>
      <c r="C165" t="s">
        <v>3041</v>
      </c>
    </row>
    <row r="166" spans="1:3">
      <c r="A166">
        <v>276</v>
      </c>
      <c r="B166" t="s">
        <v>3297</v>
      </c>
      <c r="C166" t="s">
        <v>3298</v>
      </c>
    </row>
    <row r="167" spans="1:3">
      <c r="A167">
        <v>438</v>
      </c>
      <c r="B167" t="s">
        <v>3299</v>
      </c>
      <c r="C167" t="s">
        <v>3300</v>
      </c>
    </row>
    <row r="168" spans="1:3">
      <c r="A168">
        <v>225</v>
      </c>
      <c r="B168" t="s">
        <v>3301</v>
      </c>
      <c r="C168" t="s">
        <v>3302</v>
      </c>
    </row>
    <row r="169" spans="1:3">
      <c r="A169">
        <v>338</v>
      </c>
      <c r="B169" t="s">
        <v>3303</v>
      </c>
      <c r="C169" t="s">
        <v>3304</v>
      </c>
    </row>
    <row r="170" spans="1:3">
      <c r="A170">
        <v>383</v>
      </c>
      <c r="B170" t="s">
        <v>3305</v>
      </c>
      <c r="C170" t="s">
        <v>3043</v>
      </c>
    </row>
    <row r="171" spans="1:3">
      <c r="A171">
        <v>1</v>
      </c>
      <c r="B171" t="s">
        <v>3306</v>
      </c>
      <c r="C171" t="s">
        <v>3307</v>
      </c>
    </row>
    <row r="172" spans="1:3">
      <c r="A172">
        <v>374</v>
      </c>
      <c r="B172" t="s">
        <v>3308</v>
      </c>
      <c r="C172" t="s">
        <v>3309</v>
      </c>
    </row>
    <row r="173" spans="1:3">
      <c r="A173">
        <v>253</v>
      </c>
      <c r="B173" t="s">
        <v>3310</v>
      </c>
      <c r="C173" t="s">
        <v>3250</v>
      </c>
    </row>
    <row r="174" spans="1:3">
      <c r="A174">
        <v>325</v>
      </c>
      <c r="B174" t="s">
        <v>3311</v>
      </c>
      <c r="C174" t="s">
        <v>3115</v>
      </c>
    </row>
    <row r="175" spans="1:3">
      <c r="A175">
        <v>116</v>
      </c>
      <c r="B175" t="s">
        <v>3312</v>
      </c>
      <c r="C175" t="s">
        <v>3043</v>
      </c>
    </row>
    <row r="176" spans="1:3">
      <c r="A176">
        <v>319</v>
      </c>
      <c r="B176" t="s">
        <v>3313</v>
      </c>
      <c r="C176" t="s">
        <v>3037</v>
      </c>
    </row>
    <row r="177" spans="1:3">
      <c r="A177">
        <v>25</v>
      </c>
      <c r="B177" t="s">
        <v>3314</v>
      </c>
      <c r="C177" t="s">
        <v>3315</v>
      </c>
    </row>
    <row r="178" spans="1:3">
      <c r="A178">
        <v>100</v>
      </c>
      <c r="B178" t="s">
        <v>3212</v>
      </c>
      <c r="C178" t="s">
        <v>3316</v>
      </c>
    </row>
    <row r="179" spans="1:3">
      <c r="A179">
        <v>50</v>
      </c>
      <c r="B179" t="s">
        <v>3317</v>
      </c>
      <c r="C179" t="s">
        <v>3037</v>
      </c>
    </row>
    <row r="180" spans="1:3">
      <c r="A180">
        <v>98</v>
      </c>
      <c r="B180" t="s">
        <v>3318</v>
      </c>
      <c r="C180" t="s">
        <v>3319</v>
      </c>
    </row>
    <row r="181" spans="1:3">
      <c r="A181">
        <v>87</v>
      </c>
      <c r="B181" t="s">
        <v>3320</v>
      </c>
      <c r="C181" t="s">
        <v>3321</v>
      </c>
    </row>
    <row r="182" spans="1:3">
      <c r="A182">
        <v>248</v>
      </c>
      <c r="B182" t="s">
        <v>3322</v>
      </c>
      <c r="C182" t="s">
        <v>3323</v>
      </c>
    </row>
    <row r="183" spans="1:3">
      <c r="A183">
        <v>51</v>
      </c>
      <c r="B183" t="s">
        <v>3324</v>
      </c>
      <c r="C183" t="s">
        <v>3325</v>
      </c>
    </row>
    <row r="184" spans="1:3">
      <c r="A184">
        <v>164</v>
      </c>
      <c r="B184" t="s">
        <v>3326</v>
      </c>
      <c r="C184" t="s">
        <v>3037</v>
      </c>
    </row>
    <row r="185" spans="1:3">
      <c r="A185">
        <v>465</v>
      </c>
      <c r="B185" t="s">
        <v>3327</v>
      </c>
      <c r="C185" t="s">
        <v>3120</v>
      </c>
    </row>
    <row r="186" spans="1:3">
      <c r="A186">
        <v>44</v>
      </c>
      <c r="B186" t="s">
        <v>3328</v>
      </c>
      <c r="C186" t="s">
        <v>3329</v>
      </c>
    </row>
    <row r="187" spans="1:3">
      <c r="A187">
        <v>301</v>
      </c>
      <c r="B187" t="s">
        <v>3330</v>
      </c>
      <c r="C187" t="s">
        <v>3331</v>
      </c>
    </row>
    <row r="188" spans="1:3">
      <c r="A188">
        <v>37</v>
      </c>
      <c r="B188" t="s">
        <v>3332</v>
      </c>
      <c r="C188" t="s">
        <v>3115</v>
      </c>
    </row>
    <row r="189" spans="1:3">
      <c r="A189">
        <v>35</v>
      </c>
      <c r="B189" t="s">
        <v>3333</v>
      </c>
      <c r="C189" t="s">
        <v>3113</v>
      </c>
    </row>
    <row r="190" spans="1:3">
      <c r="A190">
        <v>184</v>
      </c>
      <c r="B190" t="s">
        <v>3334</v>
      </c>
      <c r="C190" t="s">
        <v>3335</v>
      </c>
    </row>
    <row r="191" spans="1:3">
      <c r="A191">
        <v>292</v>
      </c>
      <c r="B191" t="s">
        <v>3336</v>
      </c>
      <c r="C191" t="s">
        <v>3337</v>
      </c>
    </row>
    <row r="192" spans="1:3">
      <c r="A192">
        <v>366</v>
      </c>
      <c r="B192" t="s">
        <v>3338</v>
      </c>
      <c r="C192" t="s">
        <v>3043</v>
      </c>
    </row>
    <row r="193" spans="1:3">
      <c r="A193">
        <v>67</v>
      </c>
      <c r="B193" t="s">
        <v>3339</v>
      </c>
      <c r="C193" t="s">
        <v>3037</v>
      </c>
    </row>
    <row r="194" spans="1:3">
      <c r="A194">
        <v>315</v>
      </c>
      <c r="B194" t="s">
        <v>3340</v>
      </c>
      <c r="C194">
        <v>92101</v>
      </c>
    </row>
    <row r="195" spans="1:3">
      <c r="A195">
        <v>309</v>
      </c>
      <c r="B195" t="s">
        <v>3341</v>
      </c>
      <c r="C195" t="s">
        <v>3041</v>
      </c>
    </row>
    <row r="196" spans="1:3">
      <c r="A196">
        <v>32</v>
      </c>
      <c r="B196" t="s">
        <v>3342</v>
      </c>
      <c r="C196" t="s">
        <v>3127</v>
      </c>
    </row>
    <row r="197" spans="1:3">
      <c r="A197">
        <v>115</v>
      </c>
      <c r="B197" t="s">
        <v>3343</v>
      </c>
      <c r="C197" t="s">
        <v>3344</v>
      </c>
    </row>
    <row r="198" spans="1:3">
      <c r="A198">
        <v>89</v>
      </c>
      <c r="B198" t="s">
        <v>3345</v>
      </c>
      <c r="C198" t="s">
        <v>3127</v>
      </c>
    </row>
    <row r="199" spans="1:3">
      <c r="A199">
        <v>198</v>
      </c>
      <c r="B199" t="s">
        <v>3346</v>
      </c>
      <c r="C199" t="s">
        <v>3115</v>
      </c>
    </row>
    <row r="200" spans="1:3">
      <c r="A200">
        <v>256</v>
      </c>
      <c r="B200" t="s">
        <v>3347</v>
      </c>
      <c r="C200" t="s">
        <v>3250</v>
      </c>
    </row>
    <row r="201" spans="1:3">
      <c r="A201">
        <v>68</v>
      </c>
      <c r="B201" t="s">
        <v>3348</v>
      </c>
      <c r="C201" t="s">
        <v>3037</v>
      </c>
    </row>
    <row r="202" spans="1:3">
      <c r="A202">
        <v>247</v>
      </c>
      <c r="B202" t="s">
        <v>3349</v>
      </c>
      <c r="C202" t="s">
        <v>3009</v>
      </c>
    </row>
    <row r="203" spans="1:3">
      <c r="A203">
        <v>448</v>
      </c>
      <c r="B203" t="s">
        <v>3350</v>
      </c>
      <c r="C203" t="s">
        <v>3351</v>
      </c>
    </row>
    <row r="204" spans="1:3">
      <c r="A204">
        <v>219</v>
      </c>
      <c r="B204" t="s">
        <v>3352</v>
      </c>
      <c r="C204" t="s">
        <v>3353</v>
      </c>
    </row>
    <row r="205" spans="1:3">
      <c r="A205">
        <v>94</v>
      </c>
      <c r="B205" t="s">
        <v>3354</v>
      </c>
      <c r="C205" t="s">
        <v>3115</v>
      </c>
    </row>
    <row r="206" spans="1:3">
      <c r="A206">
        <v>457</v>
      </c>
      <c r="B206" t="s">
        <v>3355</v>
      </c>
      <c r="C206" t="s">
        <v>3047</v>
      </c>
    </row>
    <row r="207" spans="1:3">
      <c r="A207">
        <v>328</v>
      </c>
      <c r="B207" t="s">
        <v>3356</v>
      </c>
      <c r="C207" t="s">
        <v>3357</v>
      </c>
    </row>
    <row r="208" spans="1:3">
      <c r="A208">
        <v>339</v>
      </c>
      <c r="B208" t="s">
        <v>3358</v>
      </c>
      <c r="C208" t="s">
        <v>3359</v>
      </c>
    </row>
    <row r="209" spans="1:3">
      <c r="A209">
        <v>149</v>
      </c>
      <c r="B209" t="s">
        <v>3360</v>
      </c>
      <c r="C209" t="s">
        <v>3361</v>
      </c>
    </row>
    <row r="210" spans="1:3">
      <c r="A210">
        <v>250</v>
      </c>
      <c r="B210" t="s">
        <v>3362</v>
      </c>
      <c r="C210" t="s">
        <v>3363</v>
      </c>
    </row>
    <row r="211" spans="1:3">
      <c r="A211">
        <v>281</v>
      </c>
      <c r="B211" t="s">
        <v>3364</v>
      </c>
      <c r="C211" t="s">
        <v>3113</v>
      </c>
    </row>
    <row r="212" spans="1:3">
      <c r="A212">
        <v>252</v>
      </c>
      <c r="B212" t="s">
        <v>3365</v>
      </c>
      <c r="C212" t="s">
        <v>3250</v>
      </c>
    </row>
    <row r="213" spans="1:3">
      <c r="A213">
        <v>120</v>
      </c>
      <c r="B213" t="s">
        <v>3366</v>
      </c>
      <c r="C213" t="s">
        <v>3367</v>
      </c>
    </row>
    <row r="214" spans="1:3">
      <c r="A214">
        <v>449</v>
      </c>
      <c r="B214" t="s">
        <v>3368</v>
      </c>
      <c r="C214" t="s">
        <v>3037</v>
      </c>
    </row>
    <row r="215" spans="1:3">
      <c r="A215">
        <v>249</v>
      </c>
      <c r="B215" t="s">
        <v>3369</v>
      </c>
      <c r="C215" t="s">
        <v>3370</v>
      </c>
    </row>
    <row r="216" spans="1:3">
      <c r="A216">
        <v>185</v>
      </c>
      <c r="B216" t="s">
        <v>3371</v>
      </c>
      <c r="C216" t="s">
        <v>3372</v>
      </c>
    </row>
    <row r="217" spans="1:3">
      <c r="A217">
        <v>436</v>
      </c>
      <c r="B217" t="s">
        <v>3373</v>
      </c>
      <c r="C217" t="s">
        <v>3374</v>
      </c>
    </row>
    <row r="218" spans="1:3">
      <c r="A218">
        <v>228</v>
      </c>
      <c r="B218" t="s">
        <v>3375</v>
      </c>
      <c r="C218" t="s">
        <v>3063</v>
      </c>
    </row>
    <row r="219" spans="1:3">
      <c r="A219">
        <v>403</v>
      </c>
      <c r="B219" t="s">
        <v>3376</v>
      </c>
      <c r="C219" t="s">
        <v>3037</v>
      </c>
    </row>
    <row r="220" spans="1:3">
      <c r="A220">
        <v>40</v>
      </c>
      <c r="B220" t="s">
        <v>3377</v>
      </c>
      <c r="C220" t="s">
        <v>3378</v>
      </c>
    </row>
    <row r="221" spans="1:3">
      <c r="A221">
        <v>400</v>
      </c>
      <c r="B221" t="s">
        <v>3379</v>
      </c>
      <c r="C221" t="s">
        <v>3037</v>
      </c>
    </row>
    <row r="222" spans="1:3">
      <c r="A222">
        <v>95</v>
      </c>
      <c r="B222" t="s">
        <v>3380</v>
      </c>
      <c r="C222" t="s">
        <v>3004</v>
      </c>
    </row>
    <row r="223" spans="1:3">
      <c r="A223">
        <v>342</v>
      </c>
      <c r="B223" t="s">
        <v>3381</v>
      </c>
      <c r="C223" t="s">
        <v>3115</v>
      </c>
    </row>
    <row r="224" spans="1:3">
      <c r="A224">
        <v>77</v>
      </c>
      <c r="B224" t="s">
        <v>3382</v>
      </c>
      <c r="C224" t="s">
        <v>3383</v>
      </c>
    </row>
    <row r="225" spans="1:3">
      <c r="A225">
        <v>4</v>
      </c>
      <c r="B225" t="s">
        <v>3384</v>
      </c>
      <c r="C225" t="s">
        <v>3385</v>
      </c>
    </row>
    <row r="226" spans="1:3">
      <c r="A226">
        <v>113</v>
      </c>
      <c r="B226" t="s">
        <v>3386</v>
      </c>
    </row>
    <row r="227" spans="1:3">
      <c r="A227">
        <v>182</v>
      </c>
      <c r="B227" t="s">
        <v>3387</v>
      </c>
      <c r="C227" t="s">
        <v>3388</v>
      </c>
    </row>
    <row r="228" spans="1:3">
      <c r="A228">
        <v>387</v>
      </c>
      <c r="B228" t="s">
        <v>3389</v>
      </c>
      <c r="C228" t="s">
        <v>3043</v>
      </c>
    </row>
    <row r="229" spans="1:3">
      <c r="A229">
        <v>330</v>
      </c>
      <c r="B229" t="s">
        <v>3390</v>
      </c>
      <c r="C229" t="s">
        <v>3391</v>
      </c>
    </row>
    <row r="230" spans="1:3">
      <c r="A230">
        <v>262</v>
      </c>
      <c r="B230" t="s">
        <v>3392</v>
      </c>
      <c r="C230" t="s">
        <v>3393</v>
      </c>
    </row>
    <row r="231" spans="1:3">
      <c r="A231">
        <v>240</v>
      </c>
      <c r="B231" t="s">
        <v>3394</v>
      </c>
      <c r="C231" t="s">
        <v>3041</v>
      </c>
    </row>
    <row r="232" spans="1:3">
      <c r="A232">
        <v>287</v>
      </c>
      <c r="B232" t="s">
        <v>3395</v>
      </c>
      <c r="C232" t="s">
        <v>3127</v>
      </c>
    </row>
    <row r="233" spans="1:3">
      <c r="A233">
        <v>439</v>
      </c>
      <c r="B233" t="s">
        <v>3396</v>
      </c>
      <c r="C233" t="s">
        <v>3037</v>
      </c>
    </row>
    <row r="234" spans="1:3">
      <c r="A234">
        <v>203</v>
      </c>
      <c r="B234" t="s">
        <v>3397</v>
      </c>
      <c r="C234" t="s">
        <v>3398</v>
      </c>
    </row>
    <row r="235" spans="1:3">
      <c r="A235">
        <v>42</v>
      </c>
      <c r="B235" t="s">
        <v>3399</v>
      </c>
      <c r="C235" t="s">
        <v>3400</v>
      </c>
    </row>
    <row r="236" spans="1:3">
      <c r="A236">
        <v>59</v>
      </c>
      <c r="B236" t="s">
        <v>3401</v>
      </c>
      <c r="C236" t="s">
        <v>3402</v>
      </c>
    </row>
    <row r="237" spans="1:3">
      <c r="A237">
        <v>428</v>
      </c>
      <c r="B237" t="s">
        <v>3403</v>
      </c>
      <c r="C237" t="s">
        <v>3404</v>
      </c>
    </row>
    <row r="238" spans="1:3">
      <c r="A238">
        <v>27</v>
      </c>
      <c r="B238" t="s">
        <v>3405</v>
      </c>
      <c r="C238" t="s">
        <v>3037</v>
      </c>
    </row>
    <row r="239" spans="1:3">
      <c r="A239">
        <v>74</v>
      </c>
      <c r="B239" t="s">
        <v>3406</v>
      </c>
      <c r="C239" t="s">
        <v>3054</v>
      </c>
    </row>
    <row r="240" spans="1:3">
      <c r="A240">
        <v>62</v>
      </c>
      <c r="B240" t="s">
        <v>3407</v>
      </c>
      <c r="C240" t="s">
        <v>3037</v>
      </c>
    </row>
    <row r="241" spans="1:3">
      <c r="A241">
        <v>419</v>
      </c>
      <c r="B241" t="s">
        <v>3408</v>
      </c>
      <c r="C241" t="s">
        <v>3409</v>
      </c>
    </row>
    <row r="242" spans="1:3">
      <c r="A242">
        <v>460</v>
      </c>
      <c r="B242" t="s">
        <v>3410</v>
      </c>
      <c r="C242" t="s">
        <v>3307</v>
      </c>
    </row>
    <row r="243" spans="1:3">
      <c r="A243">
        <v>299</v>
      </c>
      <c r="B243" t="s">
        <v>3411</v>
      </c>
      <c r="C243" t="s">
        <v>3412</v>
      </c>
    </row>
    <row r="244" spans="1:3">
      <c r="A244">
        <v>130</v>
      </c>
      <c r="B244" t="s">
        <v>3413</v>
      </c>
      <c r="C244" t="s">
        <v>3414</v>
      </c>
    </row>
    <row r="245" spans="1:3">
      <c r="A245">
        <v>11</v>
      </c>
      <c r="B245" t="s">
        <v>3415</v>
      </c>
      <c r="C245" t="s">
        <v>3416</v>
      </c>
    </row>
    <row r="246" spans="1:3">
      <c r="A246">
        <v>124</v>
      </c>
      <c r="B246" t="s">
        <v>3417</v>
      </c>
      <c r="C246" t="s">
        <v>3037</v>
      </c>
    </row>
    <row r="247" spans="1:3">
      <c r="A247">
        <v>158</v>
      </c>
      <c r="B247" t="s">
        <v>3418</v>
      </c>
      <c r="C247" t="s">
        <v>3037</v>
      </c>
    </row>
    <row r="248" spans="1:3">
      <c r="A248">
        <v>269</v>
      </c>
      <c r="B248" t="s">
        <v>3419</v>
      </c>
      <c r="C248" t="s">
        <v>3420</v>
      </c>
    </row>
    <row r="249" spans="1:3">
      <c r="A249">
        <v>136</v>
      </c>
      <c r="B249" t="s">
        <v>3421</v>
      </c>
      <c r="C249" t="s">
        <v>3422</v>
      </c>
    </row>
    <row r="250" spans="1:3">
      <c r="A250">
        <v>108</v>
      </c>
      <c r="B250" t="s">
        <v>3423</v>
      </c>
      <c r="C250" t="s">
        <v>3424</v>
      </c>
    </row>
    <row r="251" spans="1:3">
      <c r="A251">
        <v>172</v>
      </c>
      <c r="B251" t="s">
        <v>3425</v>
      </c>
      <c r="C251" t="s">
        <v>3037</v>
      </c>
    </row>
    <row r="252" spans="1:3">
      <c r="A252">
        <v>414</v>
      </c>
      <c r="B252" t="s">
        <v>3426</v>
      </c>
      <c r="C252" t="s">
        <v>3427</v>
      </c>
    </row>
    <row r="253" spans="1:3">
      <c r="A253">
        <v>233</v>
      </c>
      <c r="B253" t="s">
        <v>3428</v>
      </c>
      <c r="C253" t="s">
        <v>3037</v>
      </c>
    </row>
    <row r="254" spans="1:3">
      <c r="A254">
        <v>398</v>
      </c>
      <c r="B254" t="s">
        <v>3429</v>
      </c>
      <c r="C254" t="s">
        <v>3041</v>
      </c>
    </row>
    <row r="255" spans="1:3">
      <c r="A255">
        <v>399</v>
      </c>
      <c r="B255" t="s">
        <v>3430</v>
      </c>
      <c r="C255" t="s">
        <v>3431</v>
      </c>
    </row>
    <row r="256" spans="1:3">
      <c r="A256">
        <v>421</v>
      </c>
      <c r="B256" t="s">
        <v>3432</v>
      </c>
      <c r="C256" t="s">
        <v>3433</v>
      </c>
    </row>
    <row r="257" spans="1:3">
      <c r="A257">
        <v>259</v>
      </c>
      <c r="B257" t="s">
        <v>3434</v>
      </c>
      <c r="C257" t="s">
        <v>3250</v>
      </c>
    </row>
    <row r="258" spans="1:3">
      <c r="A258">
        <v>254</v>
      </c>
      <c r="B258" t="s">
        <v>3435</v>
      </c>
      <c r="C258" t="s">
        <v>3041</v>
      </c>
    </row>
    <row r="259" spans="1:3">
      <c r="A259">
        <v>190</v>
      </c>
      <c r="B259" t="s">
        <v>3436</v>
      </c>
      <c r="C259" t="s">
        <v>3127</v>
      </c>
    </row>
    <row r="260" spans="1:3">
      <c r="A260">
        <v>310</v>
      </c>
      <c r="B260" t="s">
        <v>3437</v>
      </c>
      <c r="C260" t="s">
        <v>3359</v>
      </c>
    </row>
    <row r="261" spans="1:3">
      <c r="A261">
        <v>369</v>
      </c>
      <c r="B261" t="s">
        <v>3438</v>
      </c>
      <c r="C261" t="s">
        <v>3132</v>
      </c>
    </row>
    <row r="262" spans="1:3">
      <c r="A262">
        <v>459</v>
      </c>
      <c r="B262" t="s">
        <v>3439</v>
      </c>
      <c r="C262" t="s">
        <v>3440</v>
      </c>
    </row>
    <row r="263" spans="1:3">
      <c r="A263">
        <v>165</v>
      </c>
      <c r="B263" t="s">
        <v>3441</v>
      </c>
      <c r="C263" t="s">
        <v>3037</v>
      </c>
    </row>
    <row r="264" spans="1:3">
      <c r="A264">
        <v>453</v>
      </c>
      <c r="B264" t="s">
        <v>3442</v>
      </c>
      <c r="C264" t="s">
        <v>3115</v>
      </c>
    </row>
    <row r="265" spans="1:3">
      <c r="A265">
        <v>418</v>
      </c>
      <c r="B265" t="s">
        <v>3443</v>
      </c>
      <c r="C265" t="s">
        <v>3444</v>
      </c>
    </row>
    <row r="266" spans="1:3">
      <c r="A266">
        <v>391</v>
      </c>
      <c r="B266" t="s">
        <v>3445</v>
      </c>
      <c r="C266" t="s">
        <v>3037</v>
      </c>
    </row>
    <row r="267" spans="1:3">
      <c r="A267">
        <v>377</v>
      </c>
      <c r="B267" t="s">
        <v>3446</v>
      </c>
      <c r="C267" t="s">
        <v>3447</v>
      </c>
    </row>
    <row r="268" spans="1:3">
      <c r="A268">
        <v>229</v>
      </c>
      <c r="B268" t="s">
        <v>3448</v>
      </c>
      <c r="C268" t="s">
        <v>3063</v>
      </c>
    </row>
    <row r="269" spans="1:3">
      <c r="A269">
        <v>429</v>
      </c>
      <c r="B269" t="s">
        <v>3449</v>
      </c>
      <c r="C269" t="s">
        <v>3450</v>
      </c>
    </row>
    <row r="270" spans="1:3">
      <c r="A270">
        <v>321</v>
      </c>
      <c r="B270" t="s">
        <v>3451</v>
      </c>
      <c r="C270" t="s">
        <v>3037</v>
      </c>
    </row>
    <row r="271" spans="1:3">
      <c r="A271">
        <v>234</v>
      </c>
      <c r="B271" t="s">
        <v>3452</v>
      </c>
      <c r="C271" t="s">
        <v>3037</v>
      </c>
    </row>
    <row r="272" spans="1:3">
      <c r="A272">
        <v>30</v>
      </c>
      <c r="B272" t="s">
        <v>3453</v>
      </c>
      <c r="C272" t="s">
        <v>3454</v>
      </c>
    </row>
    <row r="273" spans="1:3">
      <c r="A273">
        <v>452</v>
      </c>
      <c r="B273" t="s">
        <v>3455</v>
      </c>
      <c r="C273" t="s">
        <v>3115</v>
      </c>
    </row>
    <row r="274" spans="1:3">
      <c r="A274">
        <v>83</v>
      </c>
      <c r="B274" t="s">
        <v>3456</v>
      </c>
      <c r="C274" t="s">
        <v>3457</v>
      </c>
    </row>
    <row r="275" spans="1:3">
      <c r="A275">
        <v>286</v>
      </c>
      <c r="B275" t="s">
        <v>3458</v>
      </c>
      <c r="C275" t="s">
        <v>3041</v>
      </c>
    </row>
    <row r="276" spans="1:3">
      <c r="A276">
        <v>161</v>
      </c>
      <c r="B276" t="s">
        <v>3459</v>
      </c>
      <c r="C276" t="s">
        <v>3037</v>
      </c>
    </row>
    <row r="277" spans="1:3">
      <c r="A277">
        <v>163</v>
      </c>
      <c r="B277" t="s">
        <v>3460</v>
      </c>
      <c r="C277" t="s">
        <v>3037</v>
      </c>
    </row>
    <row r="278" spans="1:3">
      <c r="A278">
        <v>215</v>
      </c>
      <c r="B278" t="s">
        <v>3461</v>
      </c>
      <c r="C278" t="s">
        <v>3462</v>
      </c>
    </row>
    <row r="279" spans="1:3">
      <c r="A279">
        <v>408</v>
      </c>
      <c r="B279" t="s">
        <v>3463</v>
      </c>
      <c r="C279" t="s">
        <v>3464</v>
      </c>
    </row>
    <row r="280" spans="1:3">
      <c r="A280">
        <v>272</v>
      </c>
      <c r="B280" t="s">
        <v>3465</v>
      </c>
      <c r="C280" t="s">
        <v>3047</v>
      </c>
    </row>
    <row r="281" spans="1:3">
      <c r="A281">
        <v>155</v>
      </c>
      <c r="B281" t="s">
        <v>3466</v>
      </c>
      <c r="C281" t="s">
        <v>3041</v>
      </c>
    </row>
    <row r="282" spans="1:3">
      <c r="A282">
        <v>175</v>
      </c>
      <c r="B282" t="s">
        <v>3467</v>
      </c>
      <c r="C282" t="s">
        <v>3037</v>
      </c>
    </row>
    <row r="283" spans="1:3">
      <c r="A283">
        <v>378</v>
      </c>
      <c r="B283" t="s">
        <v>3468</v>
      </c>
      <c r="C283" t="s">
        <v>3469</v>
      </c>
    </row>
    <row r="284" spans="1:3">
      <c r="A284">
        <v>345</v>
      </c>
      <c r="B284" t="s">
        <v>3470</v>
      </c>
      <c r="C284" t="s">
        <v>3471</v>
      </c>
    </row>
    <row r="285" spans="1:3">
      <c r="A285">
        <v>12</v>
      </c>
      <c r="B285" t="s">
        <v>3472</v>
      </c>
      <c r="C285" t="s">
        <v>3473</v>
      </c>
    </row>
    <row r="286" spans="1:3">
      <c r="A286">
        <v>274</v>
      </c>
      <c r="B286" t="s">
        <v>3474</v>
      </c>
      <c r="C286" t="s">
        <v>3127</v>
      </c>
    </row>
    <row r="287" spans="1:3">
      <c r="A287">
        <v>354</v>
      </c>
      <c r="B287" t="s">
        <v>3475</v>
      </c>
      <c r="C287" t="s">
        <v>3476</v>
      </c>
    </row>
    <row r="288" spans="1:3">
      <c r="A288">
        <v>395</v>
      </c>
      <c r="B288" t="s">
        <v>3477</v>
      </c>
      <c r="C288" t="s">
        <v>3041</v>
      </c>
    </row>
    <row r="289" spans="1:3">
      <c r="A289">
        <v>317</v>
      </c>
      <c r="B289" t="s">
        <v>3478</v>
      </c>
      <c r="C289" t="s">
        <v>3479</v>
      </c>
    </row>
    <row r="290" spans="1:3">
      <c r="A290">
        <v>304</v>
      </c>
      <c r="B290" t="s">
        <v>3480</v>
      </c>
      <c r="C290" t="s">
        <v>3481</v>
      </c>
    </row>
    <row r="291" spans="1:3">
      <c r="A291">
        <v>189</v>
      </c>
      <c r="B291" t="s">
        <v>3482</v>
      </c>
      <c r="C291" t="s">
        <v>3483</v>
      </c>
    </row>
    <row r="292" spans="1:3">
      <c r="A292">
        <v>10</v>
      </c>
      <c r="B292" t="s">
        <v>3484</v>
      </c>
      <c r="C292" t="s">
        <v>3037</v>
      </c>
    </row>
    <row r="293" spans="1:3">
      <c r="A293">
        <v>224</v>
      </c>
      <c r="B293" t="s">
        <v>3485</v>
      </c>
      <c r="C293" t="s">
        <v>3486</v>
      </c>
    </row>
    <row r="294" spans="1:3">
      <c r="A294">
        <v>468</v>
      </c>
      <c r="B294" t="s">
        <v>3487</v>
      </c>
      <c r="C294" t="s">
        <v>3488</v>
      </c>
    </row>
    <row r="295" spans="1:3">
      <c r="A295">
        <v>232</v>
      </c>
      <c r="B295" t="s">
        <v>3489</v>
      </c>
      <c r="C295" t="s">
        <v>3037</v>
      </c>
    </row>
    <row r="296" spans="1:3">
      <c r="A296">
        <v>372</v>
      </c>
      <c r="B296" t="s">
        <v>3490</v>
      </c>
      <c r="C296" t="s">
        <v>3043</v>
      </c>
    </row>
    <row r="297" spans="1:3">
      <c r="A297">
        <v>166</v>
      </c>
      <c r="B297" t="s">
        <v>3491</v>
      </c>
      <c r="C297" t="s">
        <v>3037</v>
      </c>
    </row>
    <row r="298" spans="1:3">
      <c r="A298">
        <v>171</v>
      </c>
      <c r="B298" t="s">
        <v>3492</v>
      </c>
      <c r="C298" t="s">
        <v>3037</v>
      </c>
    </row>
    <row r="299" spans="1:3">
      <c r="A299">
        <v>255</v>
      </c>
      <c r="B299" t="s">
        <v>3493</v>
      </c>
      <c r="C299" t="s">
        <v>3041</v>
      </c>
    </row>
    <row r="300" spans="1:3">
      <c r="A300">
        <v>92</v>
      </c>
      <c r="B300" t="s">
        <v>3494</v>
      </c>
      <c r="C300" t="s">
        <v>3495</v>
      </c>
    </row>
    <row r="301" spans="1:3">
      <c r="A301">
        <v>314</v>
      </c>
      <c r="B301" t="s">
        <v>3496</v>
      </c>
      <c r="C301" t="s">
        <v>3497</v>
      </c>
    </row>
    <row r="302" spans="1:3">
      <c r="A302">
        <v>437</v>
      </c>
      <c r="B302" t="s">
        <v>3498</v>
      </c>
      <c r="C302" t="s">
        <v>3329</v>
      </c>
    </row>
    <row r="303" spans="1:3">
      <c r="A303">
        <v>420</v>
      </c>
      <c r="B303" t="s">
        <v>3499</v>
      </c>
      <c r="C303" t="s">
        <v>3500</v>
      </c>
    </row>
    <row r="304" spans="1:3">
      <c r="A304">
        <v>178</v>
      </c>
      <c r="B304" t="s">
        <v>3501</v>
      </c>
      <c r="C304" t="s">
        <v>3037</v>
      </c>
    </row>
    <row r="305" spans="1:3">
      <c r="A305">
        <v>344</v>
      </c>
      <c r="B305" t="s">
        <v>3502</v>
      </c>
      <c r="C305" t="s">
        <v>3503</v>
      </c>
    </row>
    <row r="306" spans="1:3">
      <c r="A306">
        <v>413</v>
      </c>
      <c r="B306" t="s">
        <v>3504</v>
      </c>
      <c r="C306" t="s">
        <v>3037</v>
      </c>
    </row>
    <row r="307" spans="1:3">
      <c r="A307">
        <v>209</v>
      </c>
      <c r="B307" t="s">
        <v>3505</v>
      </c>
      <c r="C307" t="s">
        <v>3506</v>
      </c>
    </row>
    <row r="308" spans="1:3">
      <c r="A308">
        <v>187</v>
      </c>
      <c r="B308" t="s">
        <v>3507</v>
      </c>
      <c r="C308" t="s">
        <v>3508</v>
      </c>
    </row>
    <row r="309" spans="1:3">
      <c r="A309">
        <v>99</v>
      </c>
      <c r="B309" t="s">
        <v>3509</v>
      </c>
      <c r="C309" t="s">
        <v>3113</v>
      </c>
    </row>
    <row r="310" spans="1:3">
      <c r="A310">
        <v>231</v>
      </c>
      <c r="B310" t="s">
        <v>3510</v>
      </c>
      <c r="C310" t="s">
        <v>3047</v>
      </c>
    </row>
    <row r="311" spans="1:3">
      <c r="A311">
        <v>110</v>
      </c>
      <c r="B311" t="s">
        <v>3511</v>
      </c>
      <c r="C311" t="s">
        <v>102</v>
      </c>
    </row>
    <row r="312" spans="1:3">
      <c r="A312">
        <v>275</v>
      </c>
      <c r="B312" t="s">
        <v>3512</v>
      </c>
      <c r="C312" t="s">
        <v>3513</v>
      </c>
    </row>
    <row r="313" spans="1:3">
      <c r="A313">
        <v>263</v>
      </c>
      <c r="B313" t="s">
        <v>3514</v>
      </c>
      <c r="C313" t="s">
        <v>3037</v>
      </c>
    </row>
    <row r="314" spans="1:3">
      <c r="A314">
        <v>472</v>
      </c>
      <c r="B314" t="s">
        <v>3515</v>
      </c>
      <c r="C314" t="s">
        <v>3054</v>
      </c>
    </row>
    <row r="315" spans="1:3">
      <c r="A315">
        <v>186</v>
      </c>
      <c r="B315" t="s">
        <v>3516</v>
      </c>
      <c r="C315" t="s">
        <v>3037</v>
      </c>
    </row>
    <row r="316" spans="1:3">
      <c r="A316">
        <v>349</v>
      </c>
      <c r="B316" t="s">
        <v>3517</v>
      </c>
      <c r="C316" t="s">
        <v>3518</v>
      </c>
    </row>
    <row r="317" spans="1:3">
      <c r="A317">
        <v>335</v>
      </c>
      <c r="B317" t="s">
        <v>3519</v>
      </c>
      <c r="C317" t="s">
        <v>102</v>
      </c>
    </row>
    <row r="318" spans="1:3">
      <c r="A318">
        <v>356</v>
      </c>
      <c r="B318" t="s">
        <v>3520</v>
      </c>
      <c r="C318" t="s">
        <v>3521</v>
      </c>
    </row>
    <row r="319" spans="1:3">
      <c r="A319">
        <v>214</v>
      </c>
      <c r="B319" t="s">
        <v>3522</v>
      </c>
      <c r="C319" t="s">
        <v>3037</v>
      </c>
    </row>
    <row r="320" spans="1:3">
      <c r="A320">
        <v>327</v>
      </c>
      <c r="B320" t="s">
        <v>3523</v>
      </c>
      <c r="C320" t="s">
        <v>3357</v>
      </c>
    </row>
    <row r="321" spans="1:3">
      <c r="A321">
        <v>332</v>
      </c>
      <c r="B321" t="s">
        <v>3524</v>
      </c>
      <c r="C321" t="s">
        <v>3525</v>
      </c>
    </row>
    <row r="322" spans="1:3">
      <c r="A322">
        <v>66</v>
      </c>
      <c r="B322" t="s">
        <v>3526</v>
      </c>
      <c r="C322" t="s">
        <v>3037</v>
      </c>
    </row>
    <row r="323" spans="1:3">
      <c r="A323">
        <v>64</v>
      </c>
      <c r="B323" t="s">
        <v>3527</v>
      </c>
      <c r="C323" t="s">
        <v>3528</v>
      </c>
    </row>
    <row r="324" spans="1:3">
      <c r="A324">
        <v>61</v>
      </c>
      <c r="B324" t="s">
        <v>3529</v>
      </c>
      <c r="C324" t="s">
        <v>3054</v>
      </c>
    </row>
    <row r="325" spans="1:3">
      <c r="A325">
        <v>273</v>
      </c>
      <c r="B325" t="s">
        <v>3530</v>
      </c>
      <c r="C325" t="s">
        <v>3037</v>
      </c>
    </row>
    <row r="326" spans="1:3">
      <c r="A326">
        <v>169</v>
      </c>
      <c r="B326" t="s">
        <v>3531</v>
      </c>
      <c r="C326" t="s">
        <v>3037</v>
      </c>
    </row>
    <row r="327" spans="1:3">
      <c r="A327">
        <v>244</v>
      </c>
      <c r="B327" t="s">
        <v>3532</v>
      </c>
      <c r="C327" t="s">
        <v>3201</v>
      </c>
    </row>
    <row r="328" spans="1:3">
      <c r="A328">
        <v>88</v>
      </c>
      <c r="B328" t="s">
        <v>3533</v>
      </c>
      <c r="C328" t="s">
        <v>3534</v>
      </c>
    </row>
    <row r="329" spans="1:3">
      <c r="A329">
        <v>359</v>
      </c>
      <c r="B329" t="s">
        <v>3535</v>
      </c>
      <c r="C329" t="s">
        <v>3115</v>
      </c>
    </row>
    <row r="330" spans="1:3">
      <c r="A330">
        <v>86</v>
      </c>
      <c r="B330" t="s">
        <v>3536</v>
      </c>
      <c r="C330" t="s">
        <v>2994</v>
      </c>
    </row>
    <row r="331" spans="1:3">
      <c r="A331">
        <v>392</v>
      </c>
      <c r="B331" t="s">
        <v>3537</v>
      </c>
      <c r="C331" t="s">
        <v>3538</v>
      </c>
    </row>
    <row r="332" spans="1:3">
      <c r="A332">
        <v>260</v>
      </c>
      <c r="B332" t="s">
        <v>3539</v>
      </c>
      <c r="C332" t="s">
        <v>3047</v>
      </c>
    </row>
    <row r="333" spans="1:3">
      <c r="A333">
        <v>47</v>
      </c>
      <c r="B333" t="s">
        <v>3540</v>
      </c>
      <c r="C333" t="s">
        <v>3541</v>
      </c>
    </row>
    <row r="334" spans="1:3">
      <c r="A334">
        <v>122</v>
      </c>
      <c r="B334" t="s">
        <v>3542</v>
      </c>
      <c r="C334" t="s">
        <v>3543</v>
      </c>
    </row>
    <row r="335" spans="1:3">
      <c r="A335">
        <v>148</v>
      </c>
      <c r="B335" t="s">
        <v>3544</v>
      </c>
      <c r="C335" t="s">
        <v>3545</v>
      </c>
    </row>
    <row r="336" spans="1:3">
      <c r="A336">
        <v>146</v>
      </c>
      <c r="B336" t="s">
        <v>3546</v>
      </c>
      <c r="C336" t="s">
        <v>3547</v>
      </c>
    </row>
    <row r="337" spans="1:3">
      <c r="A337">
        <v>173</v>
      </c>
      <c r="B337" t="s">
        <v>3548</v>
      </c>
      <c r="C337" t="s">
        <v>3037</v>
      </c>
    </row>
    <row r="338" spans="1:3">
      <c r="A338">
        <v>170</v>
      </c>
      <c r="B338" t="s">
        <v>3549</v>
      </c>
      <c r="C338" t="s">
        <v>3037</v>
      </c>
    </row>
    <row r="339" spans="1:3">
      <c r="A339">
        <v>202</v>
      </c>
      <c r="B339" t="s">
        <v>3550</v>
      </c>
      <c r="C339" t="s">
        <v>3551</v>
      </c>
    </row>
    <row r="340" spans="1:3">
      <c r="A340">
        <v>119</v>
      </c>
      <c r="B340" t="s">
        <v>3552</v>
      </c>
      <c r="C340" t="s">
        <v>3043</v>
      </c>
    </row>
    <row r="341" spans="1:3">
      <c r="A341">
        <v>380</v>
      </c>
      <c r="B341" t="s">
        <v>3553</v>
      </c>
      <c r="C341" t="s">
        <v>3554</v>
      </c>
    </row>
    <row r="342" spans="1:3">
      <c r="A342">
        <v>270</v>
      </c>
      <c r="B342" t="s">
        <v>3555</v>
      </c>
      <c r="C342" t="s">
        <v>3115</v>
      </c>
    </row>
    <row r="343" spans="1:3">
      <c r="A343">
        <v>405</v>
      </c>
      <c r="B343" t="s">
        <v>3556</v>
      </c>
      <c r="C343" t="s">
        <v>3557</v>
      </c>
    </row>
    <row r="344" spans="1:3">
      <c r="A344">
        <v>307</v>
      </c>
      <c r="B344" t="s">
        <v>3558</v>
      </c>
      <c r="C344" t="s">
        <v>3037</v>
      </c>
    </row>
    <row r="345" spans="1:3">
      <c r="A345">
        <v>131</v>
      </c>
      <c r="B345" t="s">
        <v>3559</v>
      </c>
      <c r="C345" t="s">
        <v>3560</v>
      </c>
    </row>
    <row r="346" spans="1:3">
      <c r="A346">
        <v>285</v>
      </c>
      <c r="B346" t="s">
        <v>3561</v>
      </c>
      <c r="C346" t="s">
        <v>3115</v>
      </c>
    </row>
    <row r="347" spans="1:3">
      <c r="A347">
        <v>412</v>
      </c>
      <c r="B347" t="s">
        <v>3562</v>
      </c>
      <c r="C347" t="s">
        <v>3427</v>
      </c>
    </row>
    <row r="348" spans="1:3">
      <c r="A348">
        <v>410</v>
      </c>
      <c r="B348" t="s">
        <v>3563</v>
      </c>
      <c r="C348" t="s">
        <v>3564</v>
      </c>
    </row>
    <row r="349" spans="1:3">
      <c r="A349">
        <v>6</v>
      </c>
      <c r="B349" t="s">
        <v>3565</v>
      </c>
      <c r="C349" t="s">
        <v>3115</v>
      </c>
    </row>
    <row r="350" spans="1:3">
      <c r="A350">
        <v>365</v>
      </c>
      <c r="B350" t="s">
        <v>3566</v>
      </c>
      <c r="C350" t="s">
        <v>3043</v>
      </c>
    </row>
    <row r="351" spans="1:3">
      <c r="A351">
        <v>159</v>
      </c>
      <c r="B351" t="s">
        <v>3567</v>
      </c>
      <c r="C351" t="s">
        <v>3037</v>
      </c>
    </row>
    <row r="352" spans="1:3">
      <c r="A352">
        <v>162</v>
      </c>
      <c r="B352" t="s">
        <v>3568</v>
      </c>
      <c r="C352" t="s">
        <v>3037</v>
      </c>
    </row>
    <row r="353" spans="1:3">
      <c r="A353">
        <v>308</v>
      </c>
      <c r="B353" t="s">
        <v>3569</v>
      </c>
      <c r="C353" t="s">
        <v>3570</v>
      </c>
    </row>
    <row r="354" spans="1:3">
      <c r="A354">
        <v>397</v>
      </c>
      <c r="B354" t="s">
        <v>3571</v>
      </c>
      <c r="C354" t="s">
        <v>3543</v>
      </c>
    </row>
    <row r="355" spans="1:3">
      <c r="A355">
        <v>168</v>
      </c>
      <c r="B355" t="s">
        <v>3572</v>
      </c>
      <c r="C355" t="s">
        <v>3037</v>
      </c>
    </row>
    <row r="356" spans="1:3">
      <c r="A356">
        <v>24</v>
      </c>
      <c r="B356" t="s">
        <v>3573</v>
      </c>
      <c r="C356" t="s">
        <v>3574</v>
      </c>
    </row>
    <row r="357" spans="1:3">
      <c r="A357">
        <v>297</v>
      </c>
      <c r="B357" t="s">
        <v>3575</v>
      </c>
      <c r="C357" t="s">
        <v>3576</v>
      </c>
    </row>
    <row r="358" spans="1:3">
      <c r="A358">
        <v>192</v>
      </c>
      <c r="B358" t="s">
        <v>3577</v>
      </c>
      <c r="C358" t="s">
        <v>3115</v>
      </c>
    </row>
    <row r="359" spans="1:3">
      <c r="A359">
        <v>373</v>
      </c>
      <c r="B359" t="s">
        <v>3578</v>
      </c>
      <c r="C359" t="s">
        <v>3579</v>
      </c>
    </row>
    <row r="360" spans="1:3">
      <c r="A360">
        <v>348</v>
      </c>
      <c r="B360" t="s">
        <v>3580</v>
      </c>
      <c r="C360" t="s">
        <v>3269</v>
      </c>
    </row>
    <row r="361" spans="1:3">
      <c r="A361">
        <v>323</v>
      </c>
      <c r="B361" t="s">
        <v>3581</v>
      </c>
      <c r="C361" t="s">
        <v>3037</v>
      </c>
    </row>
    <row r="362" spans="1:3">
      <c r="A362">
        <v>230</v>
      </c>
      <c r="B362" t="s">
        <v>3582</v>
      </c>
      <c r="C362" t="s">
        <v>3037</v>
      </c>
    </row>
    <row r="363" spans="1:3">
      <c r="A363">
        <v>156</v>
      </c>
      <c r="B363" t="s">
        <v>3583</v>
      </c>
      <c r="C363" t="s">
        <v>3584</v>
      </c>
    </row>
    <row r="364" spans="1:3">
      <c r="A364">
        <v>358</v>
      </c>
      <c r="B364" t="s">
        <v>3585</v>
      </c>
      <c r="C364" t="s">
        <v>3037</v>
      </c>
    </row>
    <row r="365" spans="1:3">
      <c r="A365">
        <v>467</v>
      </c>
      <c r="B365" t="s">
        <v>3586</v>
      </c>
      <c r="C365" t="s">
        <v>3120</v>
      </c>
    </row>
    <row r="366" spans="1:3">
      <c r="A366">
        <v>46</v>
      </c>
      <c r="B366" t="s">
        <v>3587</v>
      </c>
      <c r="C366" t="s">
        <v>3588</v>
      </c>
    </row>
    <row r="367" spans="1:3">
      <c r="A367">
        <v>23</v>
      </c>
      <c r="B367" t="s">
        <v>3589</v>
      </c>
      <c r="C367" t="s">
        <v>3590</v>
      </c>
    </row>
    <row r="368" spans="1:3">
      <c r="A368">
        <v>364</v>
      </c>
      <c r="B368" t="s">
        <v>3591</v>
      </c>
      <c r="C368" t="s">
        <v>3592</v>
      </c>
    </row>
    <row r="369" spans="1:3">
      <c r="A369">
        <v>103</v>
      </c>
      <c r="B369" t="s">
        <v>3593</v>
      </c>
      <c r="C369" t="s">
        <v>3113</v>
      </c>
    </row>
    <row r="370" spans="1:3">
      <c r="A370">
        <v>7</v>
      </c>
      <c r="B370" t="s">
        <v>3594</v>
      </c>
      <c r="C370" t="s">
        <v>3115</v>
      </c>
    </row>
    <row r="371" spans="1:3">
      <c r="A371">
        <v>474</v>
      </c>
      <c r="B371" t="s">
        <v>3595</v>
      </c>
      <c r="C371" t="s">
        <v>3596</v>
      </c>
    </row>
    <row r="372" spans="1:3">
      <c r="A372">
        <v>375</v>
      </c>
      <c r="B372" t="s">
        <v>3597</v>
      </c>
      <c r="C372" t="s">
        <v>3197</v>
      </c>
    </row>
    <row r="373" spans="1:3">
      <c r="A373">
        <v>264</v>
      </c>
      <c r="B373" t="s">
        <v>3598</v>
      </c>
      <c r="C373" t="s">
        <v>3599</v>
      </c>
    </row>
    <row r="374" spans="1:3">
      <c r="A374">
        <v>451</v>
      </c>
      <c r="B374" t="s">
        <v>3600</v>
      </c>
      <c r="C374" t="s">
        <v>3127</v>
      </c>
    </row>
    <row r="375" spans="1:3">
      <c r="A375">
        <v>336</v>
      </c>
      <c r="B375" t="s">
        <v>3601</v>
      </c>
      <c r="C375" t="s">
        <v>102</v>
      </c>
    </row>
    <row r="376" spans="1:3">
      <c r="A376">
        <v>312</v>
      </c>
      <c r="B376" t="s">
        <v>3602</v>
      </c>
      <c r="C376" t="s">
        <v>3603</v>
      </c>
    </row>
    <row r="377" spans="1:3">
      <c r="A377">
        <v>390</v>
      </c>
      <c r="B377" t="s">
        <v>3604</v>
      </c>
      <c r="C377" t="s">
        <v>3132</v>
      </c>
    </row>
    <row r="378" spans="1:3">
      <c r="A378">
        <v>128</v>
      </c>
      <c r="B378" t="s">
        <v>3605</v>
      </c>
      <c r="C378" t="s">
        <v>3606</v>
      </c>
    </row>
    <row r="379" spans="1:3">
      <c r="A379">
        <v>20</v>
      </c>
      <c r="B379" t="s">
        <v>3607</v>
      </c>
      <c r="C379" t="s">
        <v>3127</v>
      </c>
    </row>
    <row r="380" spans="1:3">
      <c r="A380">
        <v>19</v>
      </c>
      <c r="B380" t="s">
        <v>3608</v>
      </c>
      <c r="C380" t="s">
        <v>3037</v>
      </c>
    </row>
    <row r="381" spans="1:3">
      <c r="A381">
        <v>191</v>
      </c>
      <c r="B381" t="s">
        <v>3609</v>
      </c>
      <c r="C381" t="s">
        <v>3073</v>
      </c>
    </row>
    <row r="382" spans="1:3">
      <c r="A382">
        <v>151</v>
      </c>
      <c r="B382" t="s">
        <v>3610</v>
      </c>
      <c r="C382" t="s">
        <v>3611</v>
      </c>
    </row>
    <row r="383" spans="1:3">
      <c r="A383">
        <v>197</v>
      </c>
      <c r="B383" t="s">
        <v>3612</v>
      </c>
      <c r="C383" t="s">
        <v>3037</v>
      </c>
    </row>
    <row r="384" spans="1:3">
      <c r="A384">
        <v>31</v>
      </c>
      <c r="B384" t="s">
        <v>3613</v>
      </c>
      <c r="C384" t="s">
        <v>3614</v>
      </c>
    </row>
    <row r="385" spans="1:3">
      <c r="A385">
        <v>5</v>
      </c>
      <c r="B385" t="s">
        <v>3615</v>
      </c>
      <c r="C385" t="s">
        <v>3115</v>
      </c>
    </row>
    <row r="386" spans="1:3">
      <c r="A386">
        <v>427</v>
      </c>
      <c r="B386" t="s">
        <v>3616</v>
      </c>
      <c r="C386" t="s">
        <v>3404</v>
      </c>
    </row>
    <row r="387" spans="1:3">
      <c r="A387">
        <v>56</v>
      </c>
      <c r="B387" t="s">
        <v>3617</v>
      </c>
      <c r="C387" t="s">
        <v>3618</v>
      </c>
    </row>
    <row r="388" spans="1:3">
      <c r="A388">
        <v>293</v>
      </c>
      <c r="B388" t="s">
        <v>3619</v>
      </c>
      <c r="C388" t="s">
        <v>3041</v>
      </c>
    </row>
    <row r="389" spans="1:3">
      <c r="A389">
        <v>362</v>
      </c>
      <c r="B389" t="s">
        <v>3620</v>
      </c>
      <c r="C389" t="s">
        <v>3621</v>
      </c>
    </row>
    <row r="390" spans="1:3">
      <c r="A390">
        <v>402</v>
      </c>
      <c r="B390" t="s">
        <v>3622</v>
      </c>
      <c r="C390" t="s">
        <v>3037</v>
      </c>
    </row>
    <row r="391" spans="1:3">
      <c r="A391">
        <v>213</v>
      </c>
      <c r="B391" t="s">
        <v>3623</v>
      </c>
      <c r="C391" t="s">
        <v>3115</v>
      </c>
    </row>
    <row r="392" spans="1:3">
      <c r="A392">
        <v>340</v>
      </c>
      <c r="B392" t="s">
        <v>3624</v>
      </c>
      <c r="C392" t="s">
        <v>3625</v>
      </c>
    </row>
    <row r="393" spans="1:3">
      <c r="A393">
        <v>140</v>
      </c>
      <c r="B393" t="s">
        <v>3626</v>
      </c>
      <c r="C393" t="s">
        <v>3627</v>
      </c>
    </row>
    <row r="394" spans="1:3">
      <c r="A394">
        <v>329</v>
      </c>
      <c r="B394" t="s">
        <v>3628</v>
      </c>
      <c r="C394" t="s">
        <v>3629</v>
      </c>
    </row>
    <row r="395" spans="1:3">
      <c r="A395">
        <v>144</v>
      </c>
      <c r="B395" t="s">
        <v>3630</v>
      </c>
      <c r="C395" t="s">
        <v>3631</v>
      </c>
    </row>
    <row r="396" spans="1:3">
      <c r="A396">
        <v>271</v>
      </c>
      <c r="B396" t="s">
        <v>3632</v>
      </c>
      <c r="C396" t="s">
        <v>3359</v>
      </c>
    </row>
    <row r="397" spans="1:3">
      <c r="A397">
        <v>382</v>
      </c>
      <c r="B397" t="s">
        <v>3633</v>
      </c>
      <c r="C397" t="s">
        <v>3634</v>
      </c>
    </row>
    <row r="398" spans="1:3">
      <c r="A398">
        <v>376</v>
      </c>
      <c r="B398" t="s">
        <v>3635</v>
      </c>
      <c r="C398" t="s">
        <v>3636</v>
      </c>
    </row>
    <row r="399" spans="1:3">
      <c r="A399">
        <v>129</v>
      </c>
      <c r="B399" t="s">
        <v>3637</v>
      </c>
      <c r="C399" t="s">
        <v>3638</v>
      </c>
    </row>
    <row r="400" spans="1:3">
      <c r="A400">
        <v>447</v>
      </c>
      <c r="B400" t="s">
        <v>3639</v>
      </c>
      <c r="C400" t="s">
        <v>3640</v>
      </c>
    </row>
    <row r="401" spans="1:3">
      <c r="A401">
        <v>235</v>
      </c>
      <c r="B401" t="s">
        <v>3641</v>
      </c>
      <c r="C401" t="s">
        <v>3037</v>
      </c>
    </row>
    <row r="402" spans="1:3">
      <c r="A402">
        <v>57</v>
      </c>
      <c r="B402" t="s">
        <v>3642</v>
      </c>
      <c r="C402" t="s">
        <v>3643</v>
      </c>
    </row>
    <row r="403" spans="1:3">
      <c r="A403">
        <v>126</v>
      </c>
      <c r="B403" t="s">
        <v>3644</v>
      </c>
      <c r="C403" t="s">
        <v>3645</v>
      </c>
    </row>
    <row r="404" spans="1:3">
      <c r="A404">
        <v>90</v>
      </c>
      <c r="B404" t="s">
        <v>3646</v>
      </c>
      <c r="C404" t="s">
        <v>3041</v>
      </c>
    </row>
    <row r="405" spans="1:3">
      <c r="A405">
        <v>78</v>
      </c>
      <c r="B405" t="s">
        <v>3647</v>
      </c>
      <c r="C405" t="s">
        <v>3037</v>
      </c>
    </row>
    <row r="406" spans="1:3">
      <c r="A406">
        <v>147</v>
      </c>
      <c r="B406" t="s">
        <v>3648</v>
      </c>
      <c r="C406" t="s">
        <v>3649</v>
      </c>
    </row>
    <row r="407" spans="1:3">
      <c r="A407">
        <v>206</v>
      </c>
      <c r="B407" t="s">
        <v>3650</v>
      </c>
      <c r="C407" t="s">
        <v>3217</v>
      </c>
    </row>
    <row r="408" spans="1:3">
      <c r="A408">
        <v>367</v>
      </c>
      <c r="B408" t="s">
        <v>3651</v>
      </c>
      <c r="C408" t="s">
        <v>3132</v>
      </c>
    </row>
    <row r="409" spans="1:3">
      <c r="A409">
        <v>294</v>
      </c>
      <c r="B409" t="s">
        <v>3652</v>
      </c>
      <c r="C409" t="s">
        <v>3653</v>
      </c>
    </row>
    <row r="410" spans="1:3">
      <c r="A410">
        <v>291</v>
      </c>
      <c r="B410" t="s">
        <v>3654</v>
      </c>
      <c r="C410" t="s">
        <v>3073</v>
      </c>
    </row>
    <row r="411" spans="1:3">
      <c r="A411">
        <v>361</v>
      </c>
      <c r="B411" t="s">
        <v>3655</v>
      </c>
      <c r="C411" t="s">
        <v>3579</v>
      </c>
    </row>
    <row r="412" spans="1:3">
      <c r="A412">
        <v>353</v>
      </c>
      <c r="B412" t="s">
        <v>3656</v>
      </c>
      <c r="C412" t="s">
        <v>3657</v>
      </c>
    </row>
    <row r="413" spans="1:3">
      <c r="A413">
        <v>461</v>
      </c>
      <c r="B413" t="s">
        <v>3658</v>
      </c>
      <c r="C413" t="s">
        <v>3307</v>
      </c>
    </row>
    <row r="414" spans="1:3">
      <c r="A414">
        <v>0</v>
      </c>
      <c r="B414" t="s">
        <v>3659</v>
      </c>
      <c r="C414" t="s">
        <v>3660</v>
      </c>
    </row>
    <row r="415" spans="1:3">
      <c r="A415">
        <v>435</v>
      </c>
      <c r="B415" t="s">
        <v>3661</v>
      </c>
      <c r="C415" t="s">
        <v>3662</v>
      </c>
    </row>
    <row r="416" spans="1:3">
      <c r="A416">
        <v>139</v>
      </c>
      <c r="B416" t="s">
        <v>3663</v>
      </c>
      <c r="C416" t="s">
        <v>3664</v>
      </c>
    </row>
    <row r="417" spans="1:3">
      <c r="A417">
        <v>201</v>
      </c>
      <c r="B417" t="s">
        <v>3665</v>
      </c>
      <c r="C417" t="s">
        <v>3666</v>
      </c>
    </row>
    <row r="418" spans="1:3">
      <c r="A418">
        <v>423</v>
      </c>
      <c r="B418" t="s">
        <v>3667</v>
      </c>
      <c r="C418" t="s">
        <v>3037</v>
      </c>
    </row>
    <row r="419" spans="1:3">
      <c r="A419">
        <v>469</v>
      </c>
      <c r="B419" t="s">
        <v>3668</v>
      </c>
      <c r="C419" t="s">
        <v>3115</v>
      </c>
    </row>
    <row r="420" spans="1:3">
      <c r="A420">
        <v>132</v>
      </c>
      <c r="B420" t="s">
        <v>3669</v>
      </c>
      <c r="C420" t="s">
        <v>2042</v>
      </c>
    </row>
    <row r="421" spans="1:3">
      <c r="A421">
        <v>39</v>
      </c>
      <c r="B421" t="s">
        <v>2997</v>
      </c>
      <c r="C421" t="s">
        <v>3037</v>
      </c>
    </row>
    <row r="422" spans="1:3">
      <c r="A422">
        <v>316</v>
      </c>
      <c r="B422" t="s">
        <v>3670</v>
      </c>
      <c r="C422" t="s">
        <v>3037</v>
      </c>
    </row>
    <row r="423" spans="1:3">
      <c r="A423">
        <v>440</v>
      </c>
      <c r="B423" t="s">
        <v>3671</v>
      </c>
      <c r="C423" t="s">
        <v>10</v>
      </c>
    </row>
    <row r="424" spans="1:3">
      <c r="A424">
        <v>212</v>
      </c>
      <c r="B424" t="s">
        <v>3672</v>
      </c>
      <c r="C424" t="s">
        <v>3037</v>
      </c>
    </row>
    <row r="425" spans="1:3">
      <c r="A425">
        <v>53</v>
      </c>
      <c r="B425" t="s">
        <v>3673</v>
      </c>
      <c r="C425" t="s">
        <v>3288</v>
      </c>
    </row>
    <row r="426" spans="1:3">
      <c r="A426">
        <v>278</v>
      </c>
      <c r="B426" t="s">
        <v>3674</v>
      </c>
      <c r="C426" t="s">
        <v>3037</v>
      </c>
    </row>
    <row r="427" spans="1:3">
      <c r="A427">
        <v>416</v>
      </c>
      <c r="B427" t="s">
        <v>3675</v>
      </c>
      <c r="C427" t="s">
        <v>3676</v>
      </c>
    </row>
    <row r="428" spans="1:3">
      <c r="A428">
        <v>455</v>
      </c>
      <c r="B428" t="s">
        <v>3677</v>
      </c>
      <c r="C428" t="s">
        <v>3127</v>
      </c>
    </row>
    <row r="429" spans="1:3">
      <c r="A429">
        <v>466</v>
      </c>
      <c r="B429" t="s">
        <v>3678</v>
      </c>
      <c r="C429" t="s">
        <v>3037</v>
      </c>
    </row>
    <row r="430" spans="1:3">
      <c r="A430">
        <v>177</v>
      </c>
      <c r="B430" t="s">
        <v>3679</v>
      </c>
      <c r="C430" t="s">
        <v>3037</v>
      </c>
    </row>
    <row r="431" spans="1:3">
      <c r="A431">
        <v>29</v>
      </c>
      <c r="B431" t="s">
        <v>3680</v>
      </c>
      <c r="C431" t="s">
        <v>3681</v>
      </c>
    </row>
    <row r="432" spans="1:3">
      <c r="A432">
        <v>183</v>
      </c>
      <c r="B432" t="s">
        <v>3682</v>
      </c>
      <c r="C432" t="s">
        <v>3683</v>
      </c>
    </row>
    <row r="433" spans="1:3">
      <c r="A433">
        <v>431</v>
      </c>
      <c r="B433" t="s">
        <v>3684</v>
      </c>
      <c r="C433" t="s">
        <v>3685</v>
      </c>
    </row>
    <row r="434" spans="1:3">
      <c r="A434">
        <v>180</v>
      </c>
      <c r="B434" t="s">
        <v>3686</v>
      </c>
      <c r="C434" t="s">
        <v>3687</v>
      </c>
    </row>
    <row r="435" spans="1:3">
      <c r="A435">
        <v>111</v>
      </c>
      <c r="B435" t="s">
        <v>3688</v>
      </c>
      <c r="C435" t="s">
        <v>102</v>
      </c>
    </row>
    <row r="436" spans="1:3">
      <c r="A436">
        <v>475</v>
      </c>
      <c r="B436" t="s">
        <v>3689</v>
      </c>
      <c r="C436" t="s">
        <v>3690</v>
      </c>
    </row>
    <row r="437" spans="1:3">
      <c r="A437">
        <v>434</v>
      </c>
      <c r="B437" t="s">
        <v>3691</v>
      </c>
      <c r="C437" t="s">
        <v>3037</v>
      </c>
    </row>
    <row r="438" spans="1:3">
      <c r="A438">
        <v>70</v>
      </c>
      <c r="B438" t="s">
        <v>3692</v>
      </c>
      <c r="C438" t="s">
        <v>3063</v>
      </c>
    </row>
    <row r="439" spans="1:3">
      <c r="A439">
        <v>261</v>
      </c>
      <c r="B439" t="s">
        <v>3693</v>
      </c>
      <c r="C439" t="s">
        <v>3694</v>
      </c>
    </row>
    <row r="440" spans="1:3">
      <c r="A440">
        <v>211</v>
      </c>
      <c r="B440" t="s">
        <v>3695</v>
      </c>
      <c r="C440" t="s">
        <v>3115</v>
      </c>
    </row>
    <row r="441" spans="1:3">
      <c r="A441">
        <v>333</v>
      </c>
      <c r="B441" t="s">
        <v>3696</v>
      </c>
      <c r="C441" t="s">
        <v>2994</v>
      </c>
    </row>
    <row r="442" spans="1:3">
      <c r="A442">
        <v>257</v>
      </c>
      <c r="B442" t="s">
        <v>3697</v>
      </c>
      <c r="C442" t="s">
        <v>3250</v>
      </c>
    </row>
    <row r="443" spans="1:3">
      <c r="A443">
        <v>193</v>
      </c>
      <c r="B443" t="s">
        <v>3698</v>
      </c>
      <c r="C443" t="s">
        <v>3127</v>
      </c>
    </row>
    <row r="444" spans="1:3">
      <c r="A444">
        <v>222</v>
      </c>
      <c r="B444" t="s">
        <v>3699</v>
      </c>
      <c r="C444" t="s">
        <v>3088</v>
      </c>
    </row>
    <row r="445" spans="1:3">
      <c r="A445">
        <v>69</v>
      </c>
      <c r="B445" t="s">
        <v>3700</v>
      </c>
      <c r="C445" t="s">
        <v>3115</v>
      </c>
    </row>
    <row r="446" spans="1:3">
      <c r="A446">
        <v>363</v>
      </c>
      <c r="B446" t="s">
        <v>3701</v>
      </c>
      <c r="C446" t="s">
        <v>3702</v>
      </c>
    </row>
    <row r="447" spans="1:3">
      <c r="A447">
        <v>351</v>
      </c>
      <c r="B447" t="s">
        <v>3703</v>
      </c>
      <c r="C447" t="s">
        <v>3704</v>
      </c>
    </row>
    <row r="448" spans="1:3">
      <c r="A448">
        <v>26</v>
      </c>
      <c r="B448" t="s">
        <v>3705</v>
      </c>
      <c r="C448" t="s">
        <v>3115</v>
      </c>
    </row>
    <row r="449" spans="1:3">
      <c r="A449">
        <v>15</v>
      </c>
      <c r="B449" t="s">
        <v>3706</v>
      </c>
      <c r="C449" t="s">
        <v>3707</v>
      </c>
    </row>
    <row r="450" spans="1:3">
      <c r="A450">
        <v>204</v>
      </c>
      <c r="B450" t="s">
        <v>3708</v>
      </c>
      <c r="C450" t="s">
        <v>3217</v>
      </c>
    </row>
    <row r="451" spans="1:3">
      <c r="A451">
        <v>290</v>
      </c>
      <c r="B451" t="s">
        <v>3709</v>
      </c>
      <c r="C451" t="s">
        <v>3710</v>
      </c>
    </row>
    <row r="452" spans="1:3">
      <c r="A452">
        <v>48</v>
      </c>
      <c r="B452" t="s">
        <v>3711</v>
      </c>
      <c r="C452" t="s">
        <v>3712</v>
      </c>
    </row>
    <row r="453" spans="1:3">
      <c r="A453">
        <v>458</v>
      </c>
      <c r="B453" t="s">
        <v>3713</v>
      </c>
      <c r="C453" t="s">
        <v>3714</v>
      </c>
    </row>
    <row r="454" spans="1:3">
      <c r="A454">
        <v>34</v>
      </c>
      <c r="B454" t="s">
        <v>3715</v>
      </c>
      <c r="C454" t="s">
        <v>3716</v>
      </c>
    </row>
    <row r="455" spans="1:3">
      <c r="A455">
        <v>415</v>
      </c>
      <c r="B455" t="s">
        <v>3717</v>
      </c>
      <c r="C455" t="s">
        <v>3037</v>
      </c>
    </row>
    <row r="456" spans="1:3">
      <c r="A456">
        <v>196</v>
      </c>
      <c r="B456" t="s">
        <v>3718</v>
      </c>
      <c r="C456" t="s">
        <v>3719</v>
      </c>
    </row>
    <row r="457" spans="1:3">
      <c r="A457">
        <v>322</v>
      </c>
      <c r="B457" t="s">
        <v>3720</v>
      </c>
      <c r="C457" t="s">
        <v>3037</v>
      </c>
    </row>
    <row r="458" spans="1:3">
      <c r="A458">
        <v>152</v>
      </c>
      <c r="B458" t="s">
        <v>3721</v>
      </c>
      <c r="C458" t="s">
        <v>3722</v>
      </c>
    </row>
    <row r="459" spans="1:3">
      <c r="A459">
        <v>432</v>
      </c>
      <c r="B459" t="s">
        <v>3723</v>
      </c>
      <c r="C459" t="s">
        <v>3724</v>
      </c>
    </row>
    <row r="460" spans="1:3">
      <c r="A460">
        <v>72</v>
      </c>
      <c r="B460" t="s">
        <v>3725</v>
      </c>
      <c r="C460" t="s">
        <v>3063</v>
      </c>
    </row>
    <row r="461" spans="1:3">
      <c r="A461">
        <v>430</v>
      </c>
      <c r="B461" t="s">
        <v>3726</v>
      </c>
      <c r="C461" t="s">
        <v>3404</v>
      </c>
    </row>
    <row r="462" spans="1:3">
      <c r="A462">
        <v>464</v>
      </c>
      <c r="B462" t="s">
        <v>3727</v>
      </c>
      <c r="C462" t="s">
        <v>3127</v>
      </c>
    </row>
    <row r="463" spans="1:3">
      <c r="A463">
        <v>36</v>
      </c>
      <c r="B463" t="s">
        <v>3728</v>
      </c>
      <c r="C463" t="s">
        <v>3041</v>
      </c>
    </row>
    <row r="464" spans="1:3">
      <c r="A464">
        <v>227</v>
      </c>
      <c r="B464" t="s">
        <v>3729</v>
      </c>
      <c r="C464" t="s">
        <v>3041</v>
      </c>
    </row>
    <row r="465" spans="1:3">
      <c r="A465">
        <v>471</v>
      </c>
      <c r="B465" t="s">
        <v>3730</v>
      </c>
      <c r="C465" t="s">
        <v>3054</v>
      </c>
    </row>
    <row r="466" spans="1:3">
      <c r="A466">
        <v>370</v>
      </c>
      <c r="B466" t="s">
        <v>3731</v>
      </c>
      <c r="C466" t="s">
        <v>3732</v>
      </c>
    </row>
    <row r="467" spans="1:3">
      <c r="A467">
        <v>118</v>
      </c>
      <c r="B467" t="s">
        <v>3733</v>
      </c>
      <c r="C467" t="s">
        <v>3127</v>
      </c>
    </row>
    <row r="468" spans="1:3">
      <c r="A468">
        <v>462</v>
      </c>
      <c r="B468" t="s">
        <v>3734</v>
      </c>
      <c r="C468" t="s">
        <v>3037</v>
      </c>
    </row>
    <row r="469" spans="1:3">
      <c r="A469">
        <v>289</v>
      </c>
      <c r="B469" t="s">
        <v>3735</v>
      </c>
      <c r="C469" t="s">
        <v>3073</v>
      </c>
    </row>
    <row r="470" spans="1:3">
      <c r="A470">
        <v>153</v>
      </c>
      <c r="B470" t="s">
        <v>3736</v>
      </c>
      <c r="C470" t="s">
        <v>3037</v>
      </c>
    </row>
    <row r="471" spans="1:3">
      <c r="A471">
        <v>355</v>
      </c>
      <c r="B471" t="s">
        <v>3737</v>
      </c>
      <c r="C471" t="s">
        <v>3738</v>
      </c>
    </row>
    <row r="472" spans="1:3">
      <c r="A472">
        <v>279</v>
      </c>
      <c r="B472" t="s">
        <v>3739</v>
      </c>
      <c r="C472" t="s">
        <v>3740</v>
      </c>
    </row>
    <row r="473" spans="1:3">
      <c r="A473">
        <v>200</v>
      </c>
      <c r="B473" t="s">
        <v>3741</v>
      </c>
      <c r="C473" t="s">
        <v>3742</v>
      </c>
    </row>
    <row r="474" spans="1:3">
      <c r="A474">
        <v>251</v>
      </c>
      <c r="B474" t="s">
        <v>3743</v>
      </c>
      <c r="C474" t="s">
        <v>3744</v>
      </c>
    </row>
    <row r="475" spans="1:3">
      <c r="A475">
        <v>17</v>
      </c>
      <c r="B475" t="s">
        <v>3745</v>
      </c>
      <c r="C475" t="s">
        <v>3307</v>
      </c>
    </row>
    <row r="476" spans="1:3">
      <c r="A476">
        <v>79</v>
      </c>
      <c r="B476" t="s">
        <v>3746</v>
      </c>
      <c r="C476" t="s">
        <v>3747</v>
      </c>
    </row>
    <row r="477" spans="1:3">
      <c r="A477">
        <v>13</v>
      </c>
      <c r="B477" t="s">
        <v>3748</v>
      </c>
      <c r="C477" t="s">
        <v>3749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Sheet5</vt:lpstr>
      <vt:lpstr>judges</vt:lpstr>
      <vt:lpstr>Sheet6</vt:lpstr>
      <vt:lpstr>combined data (paired by gift)</vt:lpstr>
      <vt:lpstr>donors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Renee DiResta</dc:creator>
  <cp:lastModifiedBy>Renee DiResta</cp:lastModifiedBy>
  <dcterms:created xsi:type="dcterms:W3CDTF">2012-11-03T19:09:35Z</dcterms:created>
  <dcterms:modified xsi:type="dcterms:W3CDTF">2012-11-03T21:45:36Z</dcterms:modified>
</cp:coreProperties>
</file>